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4" sheetId="1" r:id="rId4"/>
    <sheet state="visible" name="SP3" sheetId="2" r:id="rId5"/>
    <sheet state="visible" name="SP2" sheetId="3" r:id="rId6"/>
    <sheet state="visible" name="SP1" sheetId="4" r:id="rId7"/>
    <sheet state="visible" name="Bugs-Phase" sheetId="5" r:id="rId8"/>
    <sheet state="visible" name="Holidays Form" sheetId="6" r:id="rId9"/>
    <sheet state="visible" name="Holidays" sheetId="7" r:id="rId10"/>
    <sheet state="visible" name="Pivot Table 1" sheetId="8" r:id="rId11"/>
  </sheets>
  <definedNames>
    <definedName name="cdate_sp4">'SP4'!$C$2:$C$497</definedName>
    <definedName name="prd_sp2">'SP2'!$G$2:$G$885</definedName>
    <definedName name="prd_sp1">'SP1'!$G$2:$G$583</definedName>
    <definedName name="cdate_sp1">'SP1'!$C$2:$C$583</definedName>
    <definedName name="prd_sp3">'SP3'!$G$2:$G$473</definedName>
    <definedName name="cdate_sp3">'SP3'!$C$2:$C$473</definedName>
    <definedName name="cdate_sp2">'SP2'!$C$2:$C$885</definedName>
    <definedName name="prd_sp4">'SP4'!$G$2:$G$497</definedName>
    <definedName hidden="1" localSheetId="5" name="_xlnm._FilterDatabase">'Holidays Form'!$A$1:$D$2435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<sst xmlns="http://schemas.openxmlformats.org/spreadsheetml/2006/main" count="14089" uniqueCount="43">
  <si>
    <t>Christmas</t>
  </si>
  <si>
    <t>Chinese NY</t>
  </si>
  <si>
    <t>Assumptions: A phase starts with the last milestone of the previous phase. All project start on 16.06 and assuming development releted bugs end at approx. 30.06</t>
  </si>
  <si>
    <t>SP4</t>
  </si>
  <si>
    <t>Project Phases</t>
  </si>
  <si>
    <t>Start</t>
  </si>
  <si>
    <t>End</t>
  </si>
  <si>
    <t>Duration</t>
  </si>
  <si>
    <t>K Bugs</t>
  </si>
  <si>
    <t>K Bugs SLES</t>
  </si>
  <si>
    <t>K-Bugs/Day</t>
  </si>
  <si>
    <t>Alpha Phase</t>
  </si>
  <si>
    <t>Beta Phase</t>
  </si>
  <si>
    <t>RC Phase</t>
  </si>
  <si>
    <t>GM-FCS Phase</t>
  </si>
  <si>
    <t>SP3</t>
  </si>
  <si>
    <t>SP2</t>
  </si>
  <si>
    <t>SP1</t>
  </si>
  <si>
    <t>Opened</t>
  </si>
  <si>
    <t>Product</t>
  </si>
  <si>
    <t>PUBLIC SUSE Linux Enterprise Server 15 SP4</t>
  </si>
  <si>
    <t>NO</t>
  </si>
  <si>
    <t>SUSE Linux Enterprise Server 15 SP4</t>
  </si>
  <si>
    <t>YES</t>
  </si>
  <si>
    <t>SUSE Linux Enterprise Desktop 15 SP4</t>
  </si>
  <si>
    <t>PUBLIC SUSE Linux Enterprise Desktop 15 SP4</t>
  </si>
  <si>
    <t>SUSE Linux Enterprise Real Time 15 SP4</t>
  </si>
  <si>
    <t>SUSE Linux Enterprise Server 15 SP3</t>
  </si>
  <si>
    <t>SUSE Linux Enterprise Server for SAP Applications 15 SP3</t>
  </si>
  <si>
    <t>PUBLIC SUSE Linux Enterprise Server 15 SP3</t>
  </si>
  <si>
    <t>SUSE Linux Enterprise Server 15 SP2</t>
  </si>
  <si>
    <t>SUSE Linux Enterprise Real Time 15 SP2</t>
  </si>
  <si>
    <t>SUSE Linux Enterprise Server for SAP Applications 15 SP2</t>
  </si>
  <si>
    <t>SUSE Linux Enterprise Server 15 SP1</t>
  </si>
  <si>
    <t>SUSE Linux Enterprise Desktop 15 SP1</t>
  </si>
  <si>
    <t>Beta SUSE Linux Enterprise Server 15 SP1</t>
  </si>
  <si>
    <t>SUSE Linux Enterprise Server for SAP Applications 15 SP1</t>
  </si>
  <si>
    <t>SUSE Linux Enterprise Real Time 15 SP1</t>
  </si>
  <si>
    <t>Beta SUSE Linux Enterprise Desktop 15 SP1</t>
  </si>
  <si>
    <t>Date</t>
  </si>
  <si>
    <t>Weeknum</t>
  </si>
  <si>
    <t>COUNTA of Date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</si>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</sst>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 HH:mm:ss"/>
    <numFmt numFmtId="166" formatCode="yyyy-mm-dd hh:mm:ss"/>
    <numFmt numFmtId="167" formatCode="dd/MM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8000"/>
      <name val="Inconsolata"/>
    </font>
    <font>
      <b/>
      <sz val="11.0"/>
      <color rgb="FF000000"/>
      <name val="Inconsolata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readingOrder="0"/>
    </xf>
    <xf borderId="0" fillId="0" fontId="2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2" fontId="4" numFmtId="0" xfId="0" applyFont="1"/>
    <xf borderId="0" fillId="0" fontId="1" numFmtId="165" xfId="0" applyFont="1" applyNumberFormat="1"/>
    <xf borderId="0" fillId="0" fontId="5" numFmtId="0" xfId="0" applyAlignment="1" applyFont="1">
      <alignment readingOrder="0"/>
    </xf>
    <xf borderId="0" fillId="0" fontId="5" numFmtId="167" xfId="0" applyFont="1" applyNumberFormat="1"/>
    <xf borderId="0" fillId="0" fontId="5" numFmtId="0" xfId="0" applyFont="1"/>
    <xf borderId="0" fillId="0" fontId="5" numFmtId="4" xfId="0" applyFont="1" applyNumberFormat="1"/>
    <xf borderId="1" fillId="0" fontId="6" numFmtId="0" xfId="0" applyAlignment="1" applyBorder="1" applyFont="1">
      <alignment readingOrder="0"/>
    </xf>
    <xf borderId="0" fillId="3" fontId="6" numFmtId="0" xfId="0" applyAlignment="1" applyFill="1" applyFont="1">
      <alignment vertical="bottom"/>
    </xf>
    <xf borderId="0" fillId="3" fontId="6" numFmtId="167" xfId="0" applyAlignment="1" applyFont="1" applyNumberFormat="1">
      <alignment vertical="bottom"/>
    </xf>
    <xf borderId="0" fillId="3" fontId="6" numFmtId="0" xfId="0" applyAlignment="1" applyFont="1">
      <alignment readingOrder="0" vertical="bottom"/>
    </xf>
    <xf borderId="0" fillId="3" fontId="6" numFmtId="4" xfId="0" applyAlignment="1" applyFont="1" applyNumberFormat="1">
      <alignment readingOrder="0" vertical="bottom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horizontal="right" vertical="bottom"/>
    </xf>
    <xf borderId="0" fillId="0" fontId="5" numFmtId="167" xfId="0" applyAlignment="1" applyFont="1" applyNumberFormat="1">
      <alignment horizontal="right" readingOrder="0" vertical="bottom"/>
    </xf>
    <xf borderId="0" fillId="0" fontId="5" numFmtId="0" xfId="0" applyFont="1"/>
    <xf borderId="0" fillId="0" fontId="5" numFmtId="4" xfId="0" applyFont="1" applyNumberFormat="1"/>
    <xf borderId="0" fillId="0" fontId="5" numFmtId="0" xfId="0" applyAlignment="1" applyFont="1">
      <alignment readingOrder="0" vertical="bottom"/>
    </xf>
    <xf borderId="2" fillId="0" fontId="6" numFmtId="0" xfId="0" applyBorder="1" applyFont="1"/>
    <xf borderId="0" fillId="0" fontId="5" numFmtId="2" xfId="0" applyFont="1" applyNumberFormat="1"/>
    <xf borderId="0" fillId="2" fontId="0" numFmtId="0" xfId="0" applyAlignment="1" applyFont="1">
      <alignment readingOrder="0"/>
    </xf>
    <xf borderId="0" fillId="0" fontId="6" numFmtId="0" xfId="0" applyFont="1"/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4" fontId="2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7">
    <tableStyle count="3" pivot="0" name="Bugs-Phase-style">
      <tableStyleElement dxfId="1" type="headerRow"/>
      <tableStyleElement dxfId="2" type="firstRowStripe"/>
      <tableStyleElement dxfId="3" type="secondRowStripe"/>
    </tableStyle>
    <tableStyle count="3" pivot="0" name="Bugs-Phase-style 2">
      <tableStyleElement dxfId="1" type="headerRow"/>
      <tableStyleElement dxfId="2" type="firstRowStripe"/>
      <tableStyleElement dxfId="3" type="secondRowStripe"/>
    </tableStyle>
    <tableStyle count="3" pivot="0" name="Bugs-Phase-style 3">
      <tableStyleElement dxfId="1" type="headerRow"/>
      <tableStyleElement dxfId="2" type="firstRowStripe"/>
      <tableStyleElement dxfId="3" type="secondRowStripe"/>
    </tableStyle>
    <tableStyle count="3" pivot="0" name="Bugs-Phase-style 4">
      <tableStyleElement dxfId="1" type="headerRow"/>
      <tableStyleElement dxfId="2" type="firstRowStripe"/>
      <tableStyleElement dxfId="3" type="secondRowStripe"/>
    </tableStyle>
    <tableStyle count="3" pivot="0" name="Bugs-Phase-style 5">
      <tableStyleElement dxfId="1" type="headerRow"/>
      <tableStyleElement dxfId="2" type="firstRowStripe"/>
      <tableStyleElement dxfId="3" type="secondRowStripe"/>
    </tableStyle>
    <tableStyle count="3" pivot="0" name="Bugs-Phase-style 6">
      <tableStyleElement dxfId="1" type="headerRow"/>
      <tableStyleElement dxfId="2" type="firstRowStripe"/>
      <tableStyleElement dxfId="3" type="secondRowStripe"/>
    </tableStyle>
    <tableStyle count="3" pivot="0" name="Bugs-Phase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SP1, SP2, SP3 and SP4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1'!$A$2:$A$55</c:f>
            </c:strRef>
          </c:cat>
          <c:val>
            <c:numRef>
              <c:f>'Pivot Table 1'!$B$2:$B$55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1'!$A$2:$A$55</c:f>
            </c:strRef>
          </c:cat>
          <c:val>
            <c:numRef>
              <c:f>'Pivot Table 1'!$C$2:$C$55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1'!$A$2:$A$55</c:f>
            </c:strRef>
          </c:cat>
          <c:val>
            <c:numRef>
              <c:f>'Pivot Table 1'!$D$2:$D$55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'Pivot Table 1'!$A$2:$A$55</c:f>
            </c:strRef>
          </c:cat>
          <c:val>
            <c:numRef>
              <c:f>'Pivot Table 1'!$E$2:$E$55</c:f>
              <c:numCache/>
            </c:numRef>
          </c:val>
          <c:smooth val="0"/>
        </c:ser>
        <c:axId val="1261576637"/>
        <c:axId val="591639831"/>
      </c:lineChart>
      <c:catAx>
        <c:axId val="1261576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Weeknum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639831"/>
      </c:catAx>
      <c:valAx>
        <c:axId val="591639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1576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819150</xdr:colOff>
      <xdr:row>33</xdr:row>
      <xdr:rowOff>76200</xdr:rowOff>
    </xdr:from>
    <xdr:ext cx="7991475" cy="4943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F2238" sheet="Holidays"/>
  </cacheSource>
  <cacheFields>
    <cacheField name="Date" numFmtId="167">
      <sharedItems containsSemiMixedTypes="0" containsDate="1" containsString="0">
        <d v="2022-02-15T00:00:00Z"/>
        <d v="2021-09-09T00:00:00Z"/>
        <d v="2022-03-15T00:00:00Z"/>
        <d v="2021-12-30T00:00:00Z"/>
        <d v="2021-11-24T00:00:00Z"/>
        <d v="2022-02-14T00:00:00Z"/>
        <d v="2022-01-19T00:00:00Z"/>
        <d v="2022-01-17T00:00:00Z"/>
        <d v="2022-04-19T00:00:00Z"/>
        <d v="2021-11-19T00:00:00Z"/>
        <d v="2022-03-30T00:00:00Z"/>
        <d v="2022-03-03T00:00:00Z"/>
        <d v="2022-04-04T00:00:00Z"/>
        <d v="2021-11-01T00:00:00Z"/>
        <d v="2021-11-04T00:00:00Z"/>
        <d v="2021-11-18T00:00:00Z"/>
        <d v="2022-01-11T00:00:00Z"/>
        <d v="2022-01-28T00:00:00Z"/>
        <d v="2022-02-09T00:00:00Z"/>
        <d v="2022-03-17T00:00:00Z"/>
        <d v="2022-04-08T00:00:00Z"/>
        <d v="2022-05-10T00:00:00Z"/>
        <d v="2022-01-31T00:00:00Z"/>
        <d v="2021-09-23T00:00:00Z"/>
        <d v="2022-03-16T00:00:00Z"/>
        <d v="2022-05-03T00:00:00Z"/>
        <d v="2022-05-04T00:00:00Z"/>
        <d v="2021-12-08T00:00:00Z"/>
        <d v="2022-03-18T00:00:00Z"/>
        <d v="2022-03-29T00:00:00Z"/>
        <d v="2022-03-01T00:00:00Z"/>
        <d v="2022-02-22T00:00:00Z"/>
        <d v="2022-02-10T00:00:00Z"/>
        <d v="2021-11-30T00:00:00Z"/>
        <d v="2021-10-01T00:00:00Z"/>
        <d v="2022-02-03T00:00:00Z"/>
        <d v="2021-12-03T00:00:00Z"/>
        <d v="2021-11-25T00:00:00Z"/>
        <d v="2022-01-05T00:00:00Z"/>
        <d v="2022-01-04T00:00:00Z"/>
        <d v="2022-03-14T00:00:00Z"/>
        <d v="2022-05-16T00:00:00Z"/>
        <d v="2022-02-17T00:00:00Z"/>
        <d v="2022-02-25T00:00:00Z"/>
        <d v="2022-05-13T00:00:00Z"/>
        <d v="2022-05-28T00:00:00Z"/>
        <d v="2022-06-08T00:00:00Z"/>
        <d v="2022-03-28T00:00:00Z"/>
        <d v="2021-12-10T00:00:00Z"/>
        <d v="2021-11-12T00:00:00Z"/>
        <d v="2022-06-07T00:00:00Z"/>
        <d v="2022-04-12T00:00:00Z"/>
        <d v="2022-02-24T00:00:00Z"/>
        <d v="2022-06-13T00:00:00Z"/>
        <d v="2021-08-28T00:00:00Z"/>
        <d v="2021-11-09T00:00:00Z"/>
        <d v="2021-11-23T00:00:00Z"/>
        <d v="2021-12-16T00:00:00Z"/>
        <d v="2022-03-22T00:00:00Z"/>
        <d v="2022-03-23T00:00:00Z"/>
        <d v="2022-04-20T00:00:00Z"/>
        <d v="2022-04-25T00:00:00Z"/>
        <d v="2022-05-05T00:00:00Z"/>
        <d v="2022-05-23T00:00:00Z"/>
        <d v="2022-05-24T00:00:00Z"/>
        <d v="2022-05-31T00:00:00Z"/>
        <d v="2022-01-20T00:00:00Z"/>
        <d v="2022-05-25T00:00:00Z"/>
        <d v="2022-03-09T00:00:00Z"/>
        <d v="2022-01-06T00:00:00Z"/>
        <d v="2022-06-15T00:00:00Z"/>
        <d v="2021-11-29T00:00:00Z"/>
        <d v="2021-12-01T00:00:00Z"/>
        <d v="2021-12-09T00:00:00Z"/>
        <d v="2022-02-08T00:00:00Z"/>
        <d v="2022-05-27T00:00:00Z"/>
        <d v="2022-05-02T00:00:00Z"/>
        <d v="2021-12-06T00:00:00Z"/>
        <d v="2022-01-12T00:00:00Z"/>
        <d v="2021-06-24T00:00:00Z"/>
        <d v="2021-10-05T00:00:00Z"/>
        <d v="2021-12-23T00:00:00Z"/>
        <d v="2022-01-21T00:00:00Z"/>
        <d v="2022-02-11T00:00:00Z"/>
        <d v="2022-03-21T00:00:00Z"/>
        <d v="2022-05-30T00:00:00Z"/>
        <d v="2022-03-10T00:00:00Z"/>
        <d v="2022-04-01T00:00:00Z"/>
        <d v="2021-09-27T00:00:00Z"/>
        <d v="2022-01-18T00:00:00Z"/>
        <d v="2022-01-27T00:00:00Z"/>
        <d v="2021-08-04T00:00:00Z"/>
        <d v="2021-08-05T00:00:00Z"/>
        <d v="2021-09-01T00:00:00Z"/>
        <d v="2021-10-06T00:00:00Z"/>
        <d v="2021-10-18T00:00:00Z"/>
        <d v="2021-10-22T00:00:00Z"/>
        <d v="2021-11-03T00:00:00Z"/>
        <d v="2021-11-15T00:00:00Z"/>
        <d v="2021-12-02T00:00:00Z"/>
        <d v="2021-12-07T00:00:00Z"/>
        <d v="2021-12-13T00:00:00Z"/>
        <d v="2022-01-25T00:00:00Z"/>
        <d v="2022-03-08T00:00:00Z"/>
        <d v="2022-03-31T00:00:00Z"/>
        <d v="2022-04-27T00:00:00Z"/>
        <d v="2022-05-17T00:00:00Z"/>
        <d v="2022-03-02T00:00:00Z"/>
        <d v="2022-03-04T00:00:00Z"/>
        <d v="2021-10-13T00:00:00Z"/>
        <d v="2021-09-21T00:00:00Z"/>
        <d v="2021-10-28T00:00:00Z"/>
        <d v="2022-03-24T00:00:00Z"/>
        <d v="2022-02-16T00:00:00Z"/>
        <d v="2022-02-26T00:00:00Z"/>
        <d v="2022-02-01T00:00:00Z"/>
        <d v="2022-06-03T00:00:00Z"/>
        <d v="2021-08-24T00:00:00Z"/>
        <d v="2021-11-17T00:00:00Z"/>
        <d v="2022-03-11T00:00:00Z"/>
        <d v="2021-09-22T00:00:00Z"/>
        <d v="2021-10-11T00:00:00Z"/>
        <d v="2022-04-11T00:00:00Z"/>
        <d v="2022-02-07T00:00:00Z"/>
        <d v="2021-09-14T00:00:00Z"/>
        <d v="2021-10-29T00:00:00Z"/>
        <d v="2022-01-07T00:00:00Z"/>
        <d v="2022-05-09T00:00:00Z"/>
        <d v="2022-02-21T00:00:00Z"/>
        <d v="2021-08-18T00:00:00Z"/>
        <d v="2021-09-16T00:00:00Z"/>
        <d v="2021-10-14T00:00:00Z"/>
        <d v="2022-01-03T00:00:00Z"/>
        <d v="2021-08-20T00:00:00Z"/>
        <d v="2021-08-21T00:00:00Z"/>
        <d v="2021-08-22T00:00:00Z"/>
        <d v="2021-11-10T00:00:00Z"/>
        <d v="2022-02-02T00:00:00Z"/>
        <d v="2022-05-20T00:00:00Z"/>
        <d v="2022-06-10T00:00:00Z"/>
        <d v="2021-09-02T00:00:00Z"/>
        <d v="2021-08-31T00:00:00Z"/>
        <d v="2021-10-04T00:00:00Z"/>
        <d v="2021-11-28T00:00:00Z"/>
        <d v="2021-07-13T00:00:00Z"/>
        <d v="2022-01-13T00:00:00Z"/>
        <d v="2022-05-19T00:00:00Z"/>
        <d v="2021-09-07T00:00:00Z"/>
        <d v="2022-01-24T00:00:00Z"/>
        <d v="2021-09-03T00:00:00Z"/>
        <d v="2021-09-06T00:00:00Z"/>
        <d v="2021-09-08T00:00:00Z"/>
        <d v="2021-09-10T00:00:00Z"/>
        <d v="2021-09-13T00:00:00Z"/>
        <d v="2021-12-20T00:00:00Z"/>
        <d v="2022-06-23T00:00:00Z"/>
        <d v="2022-06-27T00:00:00Z"/>
        <d v="2021-10-27T00:00:00Z"/>
        <d v="2022-06-22T00:00:00Z"/>
        <d v="2021-09-20T00:00:00Z"/>
        <d v="2021-11-08T00:00:00Z"/>
        <d v="2021-11-11T00:00:00Z"/>
        <d v="2022-04-06T00:00:00Z"/>
        <d v="2022-04-07T00:00:00Z"/>
        <d v="2022-05-06T00:00:00Z"/>
        <d v="2022-05-11T00:00:00Z"/>
        <d v="2021-07-17T00:00:00Z"/>
        <d v="2021-09-28T00:00:00Z"/>
        <d v="2021-03-09T00:00:00Z"/>
        <d v="2021-03-19T00:00:00Z"/>
        <d v="2021-02-04T00:00:00Z"/>
        <d v="2020-10-12T00:00:00Z"/>
        <d v="2021-03-11T00:00:00Z"/>
        <d v="2020-09-29T00:00:00Z"/>
        <d v="2021-04-07T00:00:00Z"/>
        <d v="2021-01-13T00:00:00Z"/>
        <d v="2020-10-01T00:00:00Z"/>
        <d v="2020-11-03T00:00:00Z"/>
        <d v="2020-12-25T00:00:00Z"/>
        <d v="2021-02-17T00:00:00Z"/>
        <d v="2021-03-16T00:00:00Z"/>
        <d v="2021-03-29T00:00:00Z"/>
        <d v="2021-04-20T00:00:00Z"/>
        <d v="2021-05-10T00:00:00Z"/>
        <d v="2021-06-25T00:00:00Z"/>
        <d v="2020-12-09T00:00:00Z"/>
        <d v="2021-02-24T00:00:00Z"/>
        <d v="2020-10-06T00:00:00Z"/>
        <d v="2020-10-10T00:00:00Z"/>
        <d v="2021-02-19T00:00:00Z"/>
        <d v="2021-02-23T00:00:00Z"/>
        <d v="2021-03-04T00:00:00Z"/>
        <d v="2021-03-10T00:00:00Z"/>
        <d v="2021-03-22T00:00:00Z"/>
        <d v="2021-04-10T00:00:00Z"/>
        <d v="2021-04-13T00:00:00Z"/>
        <d v="2020-11-11T00:00:00Z"/>
        <d v="2020-11-04T00:00:00Z"/>
        <d v="2021-03-02T00:00:00Z"/>
        <d v="2020-10-28T00:00:00Z"/>
        <d v="2021-01-21T00:00:00Z"/>
        <d v="2020-12-04T00:00:00Z"/>
        <d v="2020-11-30T00:00:00Z"/>
        <d v="2020-10-07T00:00:00Z"/>
        <d v="2020-09-17T00:00:00Z"/>
        <d v="2021-01-22T00:00:00Z"/>
        <d v="2021-02-08T00:00:00Z"/>
        <d v="2020-12-17T00:00:00Z"/>
        <d v="2021-01-29T00:00:00Z"/>
        <d v="2021-02-22T00:00:00Z"/>
        <d v="2021-01-14T00:00:00Z"/>
        <d v="2021-06-04T00:00:00Z"/>
        <d v="2021-03-12T00:00:00Z"/>
        <d v="2021-06-23T00:00:00Z"/>
        <d v="2020-11-26T00:00:00Z"/>
        <d v="2021-01-20T00:00:00Z"/>
        <d v="2020-09-21T00:00:00Z"/>
        <d v="2021-06-10T00:00:00Z"/>
        <d v="2020-09-23T00:00:00Z"/>
        <d v="2020-10-13T00:00:00Z"/>
        <d v="2020-11-13T00:00:00Z"/>
        <d v="2021-03-15T00:00:00Z"/>
        <d v="2021-04-05T00:00:00Z"/>
        <d v="2020-07-29T00:00:00Z"/>
        <d v="2021-01-11T00:00:00Z"/>
        <d v="2021-04-25T00:00:00Z"/>
        <d v="2021-05-05T00:00:00Z"/>
        <d v="2021-06-02T00:00:00Z"/>
        <d v="2021-02-25T00:00:00Z"/>
        <d v="2020-10-15T00:00:00Z"/>
        <d v="2020-11-10T00:00:00Z"/>
        <d v="2021-02-01T00:00:00Z"/>
        <d v="2020-12-18T00:00:00Z"/>
        <d v="2021-05-03T00:00:00Z"/>
        <d v="2020-07-07T00:00:00Z"/>
        <d v="2020-07-10T00:00:00Z"/>
        <d v="2020-09-03T00:00:00Z"/>
        <d v="2020-12-07T00:00:00Z"/>
        <d v="2020-12-21T00:00:00Z"/>
        <d v="2021-02-05T00:00:00Z"/>
        <d v="2021-02-10T00:00:00Z"/>
        <d v="2021-02-18T00:00:00Z"/>
        <d v="2021-03-03T00:00:00Z"/>
        <d v="2021-03-25T00:00:00Z"/>
        <d v="2021-04-16T00:00:00Z"/>
        <d v="2021-04-27T00:00:00Z"/>
        <d v="2021-05-07T00:00:00Z"/>
        <d v="2021-06-01T00:00:00Z"/>
        <d v="2021-02-12T00:00:00Z"/>
        <d v="2021-04-21T00:00:00Z"/>
        <d v="2020-11-27T00:00:00Z"/>
        <d v="2021-06-09T00:00:00Z"/>
        <d v="2021-01-26T00:00:00Z"/>
        <d v="2021-01-05T00:00:00Z"/>
        <d v="2020-10-05T00:00:00Z"/>
        <d v="2021-04-09T00:00:00Z"/>
        <d v="2020-10-14T00:00:00Z"/>
        <d v="2021-01-12T00:00:00Z"/>
        <d v="2020-08-05T00:00:00Z"/>
        <d v="2020-09-18T00:00:00Z"/>
        <d v="2020-09-24T00:00:00Z"/>
        <d v="2020-09-30T00:00:00Z"/>
        <d v="2020-10-26T00:00:00Z"/>
        <d v="2020-12-01T00:00:00Z"/>
        <d v="2020-12-03T00:00:00Z"/>
        <d v="2021-02-02T00:00:00Z"/>
        <d v="2021-03-01T00:00:00Z"/>
        <d v="2021-03-17T00:00:00Z"/>
        <d v="2021-03-24T00:00:00Z"/>
        <d v="2021-04-14T00:00:00Z"/>
        <d v="2021-04-22T00:00:00Z"/>
        <d v="2021-05-06T00:00:00Z"/>
        <d v="2021-05-13T00:00:00Z"/>
        <d v="2021-05-20T00:00:00Z"/>
        <d v="2021-06-11T00:00:00Z"/>
        <d v="2021-06-13T00:00:00Z"/>
        <d v="2021-06-18T00:00:00Z"/>
        <d v="2020-10-08T00:00:00Z"/>
        <d v="2020-10-21T00:00:00Z"/>
        <d v="2021-04-06T00:00:00Z"/>
        <d v="2021-05-12T00:00:00Z"/>
        <d v="2021-05-26T00:00:00Z"/>
        <d v="2021-01-10T00:00:00Z"/>
        <d v="2021-01-27T00:00:00Z"/>
        <d v="2021-03-30T00:00:00Z"/>
        <d v="2021-04-15T00:00:00Z"/>
        <d v="2020-11-16T00:00:00Z"/>
        <d v="2020-09-16T00:00:00Z"/>
        <d v="2020-08-10T00:00:00Z"/>
        <d v="2020-12-10T00:00:00Z"/>
        <d v="2020-12-11T00:00:00Z"/>
        <d v="2020-12-16T00:00:00Z"/>
        <d v="2021-02-09T00:00:00Z"/>
        <d v="2021-03-31T00:00:00Z"/>
        <d v="2021-04-12T00:00:00Z"/>
        <d v="2021-06-21T00:00:00Z"/>
        <d v="2020-12-31T00:00:00Z"/>
        <d v="2021-02-03T00:00:00Z"/>
        <d v="2021-05-25T00:00:00Z"/>
        <d v="2020-11-24T00:00:00Z"/>
        <d v="2020-07-14T00:00:00Z"/>
        <d v="2020-08-19T00:00:00Z"/>
        <d v="2020-11-05T00:00:00Z"/>
        <d v="2021-06-07T00:00:00Z"/>
        <d v="2020-07-19T00:00:00Z"/>
        <d v="2020-07-27T00:00:00Z"/>
        <d v="2020-10-31T00:00:00Z"/>
        <d v="2021-03-08T00:00:00Z"/>
        <d v="2020-12-14T00:00:00Z"/>
        <d v="2021-04-18T00:00:00Z"/>
        <d v="2021-02-11T00:00:00Z"/>
        <d v="2021-05-18T00:00:00Z"/>
        <d v="2020-09-25T00:00:00Z"/>
        <d v="2020-11-25T00:00:00Z"/>
        <d v="2021-01-18T00:00:00Z"/>
        <d v="2021-01-15T00:00:00Z"/>
        <d v="2020-11-20T00:00:00Z"/>
        <d v="2020-07-17T00:00:00Z"/>
        <d v="2021-04-30T00:00:00Z"/>
        <d v="2021-06-14T00:00:00Z"/>
        <d v="2021-01-06T00:00:00Z"/>
        <d v="2021-02-13T00:00:00Z"/>
        <d v="2020-12-22T00:00:00Z"/>
        <d v="2020-09-01T00:00:00Z"/>
        <d v="2021-05-27T00:00:00Z"/>
        <d v="2020-08-13T00:00:00Z"/>
        <d v="2020-08-25T00:00:00Z"/>
        <d v="2020-11-17T00:00:00Z"/>
        <d v="2020-08-03T00:00:00Z"/>
        <d v="2020-08-24T00:00:00Z"/>
        <d v="2020-11-12T00:00:00Z"/>
        <d v="2020-12-29T00:00:00Z"/>
        <d v="2021-06-08T00:00:00Z"/>
        <d v="2021-05-21T00:00:00Z"/>
        <d v="2020-12-15T00:00:00Z"/>
        <d v="2020-12-02T00:00:00Z"/>
        <d v="2021-01-08T00:00:00Z"/>
        <d v="2020-09-11T00:00:00Z"/>
        <d v="2021-04-01T00:00:00Z"/>
        <d v="2020-08-21T00:00:00Z"/>
        <d v="2020-09-28T00:00:00Z"/>
        <d v="2021-03-06T00:00:00Z"/>
        <d v="2021-01-28T00:00:00Z"/>
        <d v="2021-04-08T00:00:00Z"/>
        <d v="2020-10-16T00:00:00Z"/>
        <d v="2021-06-03T00:00:00Z"/>
        <d v="2021-06-15T00:00:00Z"/>
        <d v="2021-04-29T00:00:00Z"/>
        <d v="2020-07-21T00:00:00Z"/>
        <d v="2021-01-19T00:00:00Z"/>
        <d v="2021-05-17T00:00:00Z"/>
        <d v="2021-06-28T00:00:00Z"/>
        <d v="2021-03-18T00:00:00Z"/>
        <d v="2020-09-22T00:00:00Z"/>
        <d v="2020-07-16T00:00:00Z"/>
        <d v="2020-05-14T00:00:00Z"/>
        <d v="2020-01-09T00:00:00Z"/>
        <d v="2020-02-12T00:00:00Z"/>
        <d v="2020-02-27T00:00:00Z"/>
        <d v="2019-11-26T00:00:00Z"/>
        <d v="2020-05-11T00:00:00Z"/>
        <d v="2020-01-03T00:00:00Z"/>
        <d v="2020-01-08T00:00:00Z"/>
        <d v="2019-11-19T00:00:00Z"/>
        <d v="2020-01-19T00:00:00Z"/>
        <d v="2020-01-21T00:00:00Z"/>
        <d v="2020-02-06T00:00:00Z"/>
        <d v="2020-04-08T00:00:00Z"/>
        <d v="2020-03-03T00:00:00Z"/>
        <d v="2020-03-26T00:00:00Z"/>
        <d v="2020-02-20T00:00:00Z"/>
        <d v="2019-11-18T00:00:00Z"/>
        <d v="2020-03-22T00:00:00Z"/>
        <d v="2020-04-09T00:00:00Z"/>
        <d v="2019-12-06T00:00:00Z"/>
        <d v="2020-05-12T00:00:00Z"/>
        <d v="2020-03-20T00:00:00Z"/>
        <d v="2020-03-30T00:00:00Z"/>
        <d v="2019-09-25T00:00:00Z"/>
        <d v="2020-03-11T00:00:00Z"/>
        <d v="2020-01-22T00:00:00Z"/>
        <d v="2019-12-17T00:00:00Z"/>
        <d v="2019-09-20T00:00:00Z"/>
        <d v="2020-05-19T00:00:00Z"/>
        <d v="2020-01-23T00:00:00Z"/>
        <d v="2020-03-02T00:00:00Z"/>
        <d v="2019-12-09T00:00:00Z"/>
        <d v="2019-12-05T00:00:00Z"/>
        <d v="2019-10-17T00:00:00Z"/>
        <d v="2019-12-25T00:00:00Z"/>
        <d v="2020-04-22T00:00:00Z"/>
        <d v="2020-05-13T00:00:00Z"/>
        <d v="2020-04-24T00:00:00Z"/>
        <d v="2020-04-29T00:00:00Z"/>
        <d v="2019-08-22T00:00:00Z"/>
        <d v="2020-02-14T00:00:00Z"/>
        <d v="2020-04-25T00:00:00Z"/>
        <d v="2020-05-04T00:00:00Z"/>
        <d v="2020-05-27T00:00:00Z"/>
        <d v="2020-06-08T00:00:00Z"/>
        <d v="2020-06-09T00:00:00Z"/>
        <d v="2020-06-11T00:00:00Z"/>
        <d v="2020-03-18T00:00:00Z"/>
        <d v="2020-04-14T00:00:00Z"/>
        <d v="2020-01-29T00:00:00Z"/>
        <d v="2020-01-30T00:00:00Z"/>
        <d v="2020-02-13T00:00:00Z"/>
        <d v="2020-06-16T00:00:00Z"/>
        <d v="2020-06-17T00:00:00Z"/>
        <d v="2019-11-14T00:00:00Z"/>
        <d v="2020-03-16T00:00:00Z"/>
        <d v="2019-11-11T00:00:00Z"/>
        <d v="2020-02-18T00:00:00Z"/>
        <d v="2020-02-21T00:00:00Z"/>
        <d v="2020-01-16T00:00:00Z"/>
        <d v="2019-12-19T00:00:00Z"/>
        <d v="2020-01-31T00:00:00Z"/>
        <d v="2020-04-13T00:00:00Z"/>
        <d v="2019-12-24T00:00:00Z"/>
        <d v="2019-12-26T00:00:00Z"/>
        <d v="2020-03-13T00:00:00Z"/>
        <d v="2020-04-21T00:00:00Z"/>
        <d v="2020-06-01T00:00:00Z"/>
        <d v="2020-06-12T00:00:00Z"/>
        <d v="2019-08-07T00:00:00Z"/>
        <d v="2019-11-29T00:00:00Z"/>
        <d v="2019-12-12T00:00:00Z"/>
        <d v="2019-12-18T00:00:00Z"/>
        <d v="2020-01-10T00:00:00Z"/>
        <d v="2020-04-01T00:00:00Z"/>
        <d v="2020-04-07T00:00:00Z"/>
        <d v="2020-04-15T00:00:00Z"/>
        <d v="2020-03-06T00:00:00Z"/>
        <d v="2020-03-24T00:00:00Z"/>
        <d v="2019-12-02T00:00:00Z"/>
        <d v="2019-12-03T00:00:00Z"/>
        <d v="2020-06-23T00:00:00Z"/>
        <d v="2019-08-30T00:00:00Z"/>
        <d v="2019-12-31T00:00:00Z"/>
        <d v="2020-02-03T00:00:00Z"/>
        <d v="2019-10-30T00:00:00Z"/>
        <d v="2020-01-27T00:00:00Z"/>
        <d v="2020-01-02T00:00:00Z"/>
        <d v="2020-02-17T00:00:00Z"/>
        <d v="2020-03-07T00:00:00Z"/>
        <d v="2020-03-27T00:00:00Z"/>
        <d v="2020-04-03T00:00:00Z"/>
        <d v="2020-04-30T00:00:00Z"/>
        <d v="2020-05-26T00:00:00Z"/>
        <d v="2019-12-10T00:00:00Z"/>
        <d v="2020-03-23T00:00:00Z"/>
        <d v="2020-03-31T00:00:00Z"/>
        <d v="2020-06-03T00:00:00Z"/>
        <d v="2020-02-24T00:00:00Z"/>
        <d v="2020-03-04T00:00:00Z"/>
        <d v="2020-06-10T00:00:00Z"/>
        <d v="2019-08-20T00:00:00Z"/>
        <d v="2019-11-12T00:00:00Z"/>
        <d v="2020-01-07T00:00:00Z"/>
        <d v="2020-05-06T00:00:00Z"/>
        <d v="2020-05-18T00:00:00Z"/>
        <d v="2020-06-19T00:00:00Z"/>
        <d v="2020-03-19T00:00:00Z"/>
        <d v="2019-10-08T00:00:00Z"/>
        <d v="2019-11-27T00:00:00Z"/>
        <d v="2020-02-11T00:00:00Z"/>
        <d v="2020-05-05T00:00:00Z"/>
        <d v="2019-12-11T00:00:00Z"/>
        <d v="2019-10-04T00:00:00Z"/>
        <d v="2019-12-04T00:00:00Z"/>
        <d v="2020-05-15T00:00:00Z"/>
        <d v="2019-12-13T00:00:00Z"/>
        <d v="2020-03-25T00:00:00Z"/>
        <d v="2020-04-02T00:00:00Z"/>
        <d v="2019-11-21T00:00:00Z"/>
        <d v="2019-10-07T00:00:00Z"/>
        <d v="2020-04-19T00:00:00Z"/>
        <d v="2020-02-04T00:00:00Z"/>
        <d v="2020-04-16T00:00:00Z"/>
        <d v="2020-06-05T00:00:00Z"/>
        <d v="2020-01-20T00:00:00Z"/>
        <d v="2020-02-26T00:00:00Z"/>
        <d v="2020-04-17T00:00:00Z"/>
        <d v="2019-11-15T00:00:00Z"/>
        <d v="2020-02-28T00:00:00Z"/>
        <d v="2019-09-30T00:00:00Z"/>
        <d v="2020-06-15T00:00:00Z"/>
        <d v="2019-10-14T00:00:00Z"/>
        <d v="2020-03-15T00:00:00Z"/>
        <d v="2020-02-05T00:00:00Z"/>
        <d v="2020-02-16T00:00:00Z"/>
        <d v="2019-10-19T00:00:00Z"/>
        <d v="2019-10-22T00:00:00Z"/>
        <d v="2019-10-29T00:00:00Z"/>
        <d v="2019-12-29T00:00:00Z"/>
        <d v="2020-04-10T00:00:00Z"/>
        <d v="2020-01-06T00:00:00Z"/>
        <d v="2020-05-28T00:00:00Z"/>
        <d v="2019-11-13T00:00:00Z"/>
        <d v="2020-05-01T00:00:00Z"/>
        <d v="2020-06-22T00:00:00Z"/>
        <d v="2020-02-10T00:00:00Z"/>
        <d v="2019-09-23T00:00:00Z"/>
        <d v="2019-10-21T00:00:00Z"/>
        <d v="2020-01-13T00:00:00Z"/>
        <d v="2020-02-19T00:00:00Z"/>
        <d v="2020-03-09T00:00:00Z"/>
        <d v="2020-05-25T00:00:00Z"/>
        <d v="2019-10-23T00:00:00Z"/>
        <d v="2020-02-25T00:00:00Z"/>
        <d v="2020-05-20T00:00:00Z"/>
        <d v="2019-12-20T00:00:00Z"/>
        <d v="2020-04-28T00:00:00Z"/>
        <d v="2019-11-01T00:00:00Z"/>
        <d v="2019-11-04T00:00:00Z"/>
        <d v="2020-01-14T00:00:00Z"/>
        <d v="2020-03-05T00:00:00Z"/>
        <d v="2020-06-29T00:00:00Z"/>
        <d v="2020-02-01T00:00:00Z"/>
        <d v="2019-10-31T00:00:00Z"/>
        <d v="2020-01-15T00:00:00Z"/>
        <d v="2019-10-18T00:00:00Z"/>
        <d v="2020-06-02T00:00:00Z"/>
        <d v="2019-10-16T00:00:00Z"/>
        <d v="2020-04-06T00:00:00Z"/>
        <d v="2020-03-10T00:00:00Z"/>
        <d v="2019-12-27T00:00:00Z"/>
        <d v="2020-06-27T00:00:00Z"/>
        <d v="2019-11-06T00:00:00Z"/>
        <d v="2020-03-17T00:00:00Z"/>
        <d v="2019-10-03T00:00:00Z"/>
        <d v="2020-05-16T00:00:00Z"/>
        <d v="2020-05-07T00:00:00Z"/>
        <d v="2019-08-06T00:00:00Z"/>
        <d v="2019-08-08T00:00:00Z"/>
        <d v="2019-08-25T00:00:00Z"/>
        <d v="2020-06-04T00:00:00Z"/>
        <d v="2019-04-04T00:00:00Z"/>
        <d v="2019-02-11T00:00:00Z"/>
        <d v="2019-02-12T00:00:00Z"/>
        <d v="2019-04-08T00:00:00Z"/>
        <d v="2019-06-07T00:00:00Z"/>
        <d v="2019-04-01T00:00:00Z"/>
        <d v="2018-11-14T00:00:00Z"/>
        <d v="2019-03-04T00:00:00Z"/>
        <d v="2019-02-13T00:00:00Z"/>
        <d v="2019-04-15T00:00:00Z"/>
        <d v="2019-01-23T00:00:00Z"/>
        <d v="2019-01-16T00:00:00Z"/>
        <d v="2018-12-12T00:00:00Z"/>
        <d v="2018-12-11T00:00:00Z"/>
        <d v="2019-04-16T00:00:00Z"/>
        <d v="2019-04-09T00:00:00Z"/>
        <d v="2018-12-21T00:00:00Z"/>
        <d v="2019-01-18T00:00:00Z"/>
        <d v="2019-02-22T00:00:00Z"/>
        <d v="2019-05-29T00:00:00Z"/>
        <d v="2019-06-26T00:00:00Z"/>
        <d v="2018-10-11T00:00:00Z"/>
        <d v="2019-02-06T00:00:00Z"/>
        <d v="2019-05-17T00:00:00Z"/>
        <d v="2019-01-17T00:00:00Z"/>
        <d v="2019-01-30T00:00:00Z"/>
        <d v="2018-06-20T00:00:00Z"/>
        <d v="2019-03-01T00:00:00Z"/>
        <d v="2019-02-05T00:00:00Z"/>
        <d v="2019-01-29T00:00:00Z"/>
        <d v="2019-04-19T00:00:00Z"/>
        <d v="2018-12-03T00:00:00Z"/>
        <d v="2018-12-19T00:00:00Z"/>
        <d v="2019-01-22T00:00:00Z"/>
        <d v="2019-01-25T00:00:00Z"/>
        <d v="2019-01-31T00:00:00Z"/>
        <d v="2019-02-08T00:00:00Z"/>
        <d v="2019-03-12T00:00:00Z"/>
        <d v="2019-03-27T00:00:00Z"/>
        <d v="2019-03-29T00:00:00Z"/>
        <d v="2019-04-02T00:00:00Z"/>
        <d v="2019-05-06T00:00:00Z"/>
        <d v="2019-06-28T00:00:00Z"/>
        <d v="2018-11-21T00:00:00Z"/>
        <d v="2018-09-21T00:00:00Z"/>
        <d v="2019-04-05T00:00:00Z"/>
        <d v="2019-02-25T00:00:00Z"/>
        <d v="2019-06-05T00:00:00Z"/>
        <d v="2019-01-09T00:00:00Z"/>
        <d v="2019-03-18T00:00:00Z"/>
        <d v="2019-06-04T00:00:00Z"/>
        <d v="2019-03-21T00:00:00Z"/>
        <d v="2019-05-23T00:00:00Z"/>
        <d v="2019-03-19T00:00:00Z"/>
        <d v="2019-01-24T00:00:00Z"/>
        <d v="2019-04-22T00:00:00Z"/>
        <d v="2019-06-12T00:00:00Z"/>
        <d v="2018-10-22T00:00:00Z"/>
        <d v="2019-01-02T00:00:00Z"/>
        <d v="2019-03-07T00:00:00Z"/>
        <d v="2019-03-15T00:00:00Z"/>
        <d v="2019-04-10T00:00:00Z"/>
        <d v="2019-04-23T00:00:00Z"/>
        <d v="2019-04-26T00:00:00Z"/>
        <d v="2019-05-16T00:00:00Z"/>
        <d v="2019-06-24T00:00:00Z"/>
        <d v="2019-02-28T00:00:00Z"/>
        <d v="2019-03-05T00:00:00Z"/>
        <d v="2019-02-18T00:00:00Z"/>
        <d v="2019-05-10T00:00:00Z"/>
        <d v="2018-11-20T00:00:00Z"/>
        <d v="2018-12-14T00:00:00Z"/>
        <d v="2019-01-15T00:00:00Z"/>
        <d v="2018-08-30T00:00:00Z"/>
        <d v="2019-01-11T00:00:00Z"/>
        <d v="2019-02-27T00:00:00Z"/>
        <d v="2019-01-07T00:00:00Z"/>
        <d v="2019-02-04T00:00:00Z"/>
        <d v="2019-03-20T00:00:00Z"/>
        <d v="2018-12-20T00:00:00Z"/>
        <d v="2018-08-01T00:00:00Z"/>
        <d v="2018-08-02T00:00:00Z"/>
        <d v="2019-02-26T00:00:00Z"/>
        <d v="2019-05-22T00:00:00Z"/>
        <d v="2019-05-31T00:00:00Z"/>
        <d v="2018-08-29T00:00:00Z"/>
        <d v="2018-10-26T00:00:00Z"/>
        <d v="2018-12-13T00:00:00Z"/>
        <d v="2019-02-01T00:00:00Z"/>
        <d v="2019-05-09T00:00:00Z"/>
        <d v="2018-09-26T00:00:00Z"/>
        <d v="2019-03-03T00:00:00Z"/>
        <d v="2019-03-13T00:00:00Z"/>
        <d v="2019-03-28T00:00:00Z"/>
        <d v="2018-11-09T00:00:00Z"/>
        <d v="2019-04-03T00:00:00Z"/>
        <d v="2018-11-29T00:00:00Z"/>
        <d v="2018-11-30T00:00:00Z"/>
        <d v="2019-04-17T00:00:00Z"/>
        <d v="2019-04-24T00:00:00Z"/>
        <d v="2019-05-14T00:00:00Z"/>
        <d v="2019-01-21T00:00:00Z"/>
        <d v="2019-03-06T00:00:00Z"/>
        <d v="2019-05-03T00:00:00Z"/>
        <d v="2019-05-28T00:00:00Z"/>
        <d v="2018-11-15T00:00:00Z"/>
        <d v="2019-01-12T00:00:00Z"/>
        <d v="2018-12-18T00:00:00Z"/>
        <d v="2019-01-28T00:00:00Z"/>
        <d v="2019-06-03T00:00:00Z"/>
        <d v="2018-12-27T00:00:00Z"/>
        <d v="2019-04-12T00:00:00Z"/>
        <d v="2018-08-09T00:00:00Z"/>
        <d v="2018-10-30T00:00:00Z"/>
        <d v="2018-10-17T00:00:00Z"/>
        <d v="2019-02-20T00:00:00Z"/>
        <d v="2018-08-13T00:00:00Z"/>
        <d v="2018-10-16T00:00:00Z"/>
        <d v="2019-01-10T00:00:00Z"/>
        <d v="2018-08-16T00:00:00Z"/>
        <d v="2018-08-21T00:00:00Z"/>
        <d v="2018-07-27T00:00:00Z"/>
        <d v="2018-08-15T00:00:00Z"/>
        <d v="2018-11-12T00:00:00Z"/>
        <d v="2018-11-13T00:00:00Z"/>
        <d v="2018-10-25T00:00:00Z"/>
        <d v="2018-09-03T00:00:00Z"/>
        <d v="2019-06-18T00:00:00Z"/>
        <d v="2018-10-09T00:00:00Z"/>
        <d v="2019-03-25T00:00:00Z"/>
        <d v="2019-02-15T00:00:00Z"/>
        <d v="2019-04-25T00:00:00Z"/>
        <d v="2018-08-07T00:00:00Z"/>
        <d v="2019-01-08T00:00:00Z"/>
        <d v="2019-03-26T00:00:00Z"/>
        <d v="2018-10-18T00:00:00Z"/>
        <d v="2018-11-05T00:00:00Z"/>
        <d v="2018-11-27T00:00:00Z"/>
        <d v="2018-12-06T00:00:00Z"/>
        <d v="2019-06-06T00:00:00Z"/>
        <d v="2018-10-12T00:00:00Z"/>
        <d v="2019-01-03T00:00:00Z"/>
        <d v="2018-11-02T00:00:00Z"/>
        <d v="2019-03-08T00:00:00Z"/>
        <d v="2019-03-22T00:00:00Z"/>
        <d v="2018-11-16T00:00:00Z"/>
        <d v="2018-10-29T00:00:00Z"/>
        <d v="2018-09-19T00:00:00Z"/>
        <d v="2018-09-20T00:00:00Z"/>
        <d v="2018-12-17T00:00:00Z"/>
        <d v="2019-03-14T00:00:00Z"/>
        <d v="2019-06-14T00:00:00Z"/>
        <d v="2019-06-19T00:00:00Z"/>
        <d v="2019-02-19T00:00:00Z"/>
        <d v="2019-06-20T00:00:00Z"/>
        <d v="2019-02-21T00:00:00Z"/>
        <d v="2019-03-11T00:00:00Z"/>
      </sharedItems>
    </cacheField>
    <cacheField name="Product" numFmtId="0">
      <sharedItems>
        <s v="SP4"/>
        <s v="SP3"/>
        <s v="SP2"/>
        <s v="SP1"/>
      </sharedItems>
    </cacheField>
    <cacheField name="Christmas" numFmtId="0">
      <sharedItems>
        <s v="NO"/>
        <s v="YES"/>
      </sharedItems>
    </cacheField>
    <cacheField name="Chinese NY" numFmtId="0">
      <sharedItems>
        <s v="NO"/>
        <s v="YES"/>
      </sharedItems>
    </cacheField>
    <cacheField name="Weeknum" numFmtId="0">
      <sharedItems containsSemiMixedTypes="0" containsString="0" containsNumber="1" containsInteger="1">
        <n v="8.0"/>
        <n v="37.0"/>
        <n v="12.0"/>
        <n v="53.0"/>
        <n v="48.0"/>
        <n v="4.0"/>
        <n v="17.0"/>
        <n v="47.0"/>
        <n v="14.0"/>
        <n v="10.0"/>
        <n v="15.0"/>
        <n v="45.0"/>
        <n v="3.0"/>
        <n v="5.0"/>
        <n v="7.0"/>
        <n v="20.0"/>
        <n v="6.0"/>
        <n v="39.0"/>
        <n v="19.0"/>
        <n v="50.0"/>
        <n v="9.0"/>
        <n v="49.0"/>
        <n v="40.0"/>
        <n v="2.0"/>
        <n v="21.0"/>
        <n v="22.0"/>
        <n v="24.0"/>
        <n v="46.0"/>
        <n v="16.0"/>
        <n v="25.0"/>
        <n v="35.0"/>
        <n v="51.0"/>
        <n v="13.0"/>
        <n v="18.0"/>
        <n v="23.0"/>
        <n v="11.0"/>
        <n v="26.0"/>
        <n v="41.0"/>
        <n v="52.0"/>
        <n v="32.0"/>
        <n v="36.0"/>
        <n v="43.0"/>
        <n v="42.0"/>
        <n v="44.0"/>
        <n v="38.0"/>
        <n v="34.0"/>
        <n v="29.0"/>
        <n v="27.0"/>
        <n v="31.0"/>
        <n v="28.0"/>
        <n v="33.0"/>
        <n v="3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56" firstHeaderRow="0" firstDataRow="1" firstDataCol="1"/>
  <pivotFields>
    <pivotField name="Date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name="Product" axis="axisCol" compact="0" outline="0" multipleItemSelectionAllowed="1" showAll="0" sortType="ascending">
      <items>
        <item x="3"/>
        <item x="2"/>
        <item x="1"/>
        <item x="0"/>
        <item t="default"/>
      </items>
    </pivotField>
    <pivotField name="Christmas" compact="0" outline="0" multipleItemSelectionAllowed="1" showAll="0">
      <items>
        <item x="0"/>
        <item x="1"/>
        <item t="default"/>
      </items>
    </pivotField>
    <pivotField name="Chinese NY" compact="0" outline="0" multipleItemSelectionAllowed="1" showAll="0">
      <items>
        <item x="0"/>
        <item x="1"/>
        <item t="default"/>
      </items>
    </pivotField>
    <pivotField name="Weeknum" axis="axisRow" compact="0" outline="0" multipleItemSelectionAllowed="1" showAll="0" sortType="ascending">
      <items>
        <item x="52"/>
        <item x="23"/>
        <item x="12"/>
        <item x="5"/>
        <item x="13"/>
        <item x="16"/>
        <item x="14"/>
        <item x="0"/>
        <item x="20"/>
        <item x="9"/>
        <item x="35"/>
        <item x="2"/>
        <item x="32"/>
        <item x="8"/>
        <item x="10"/>
        <item x="28"/>
        <item x="6"/>
        <item x="33"/>
        <item x="18"/>
        <item x="15"/>
        <item x="24"/>
        <item x="25"/>
        <item x="34"/>
        <item x="26"/>
        <item x="29"/>
        <item x="36"/>
        <item x="47"/>
        <item x="49"/>
        <item x="46"/>
        <item x="51"/>
        <item x="48"/>
        <item x="39"/>
        <item x="50"/>
        <item x="45"/>
        <item x="30"/>
        <item x="40"/>
        <item x="1"/>
        <item x="44"/>
        <item x="17"/>
        <item x="22"/>
        <item x="37"/>
        <item x="42"/>
        <item x="41"/>
        <item x="43"/>
        <item x="11"/>
        <item x="27"/>
        <item x="7"/>
        <item x="4"/>
        <item x="21"/>
        <item x="19"/>
        <item x="31"/>
        <item x="38"/>
        <item x="3"/>
        <item t="default"/>
      </items>
    </pivotField>
  </pivotFields>
  <rowFields>
    <field x="4"/>
  </rowFields>
  <colFields>
    <field x="1"/>
  </colFields>
  <dataFields>
    <dataField name="COUNTA of Date" fld="0" subtotal="count" baseField="0"/>
  </dataFields>
</pivotTableDefinition>
</file>

<file path=xl/tables/table1.xml><?xml version="1.0" encoding="utf-8"?>
<table xmlns="http://schemas.openxmlformats.org/spreadsheetml/2006/main" ref="A18:F22" displayName="Table_1" id="1">
  <tableColumns count="6">
    <tableColumn name="Project Phases" id="1"/>
    <tableColumn name="Start" id="2"/>
    <tableColumn name="End" id="3"/>
    <tableColumn name="Duration" id="4"/>
    <tableColumn name="K Bugs" id="5"/>
    <tableColumn name="K Bugs SLES" id="6"/>
  </tableColumns>
  <tableStyleInfo name="Bugs-Phase-style" showColumnStripes="0" showFirstColumn="1" showLastColumn="1" showRowStripes="1"/>
</table>
</file>

<file path=xl/tables/table2.xml><?xml version="1.0" encoding="utf-8"?>
<table xmlns="http://schemas.openxmlformats.org/spreadsheetml/2006/main" ref="A11:F15" displayName="Table_2" id="2">
  <tableColumns count="6">
    <tableColumn name="Project Phases" id="1"/>
    <tableColumn name="Start" id="2"/>
    <tableColumn name="End" id="3"/>
    <tableColumn name="Duration" id="4"/>
    <tableColumn name="K Bugs" id="5"/>
    <tableColumn name="K Bugs SLES" id="6"/>
  </tableColumns>
  <tableStyleInfo name="Bugs-Phase-style 2" showColumnStripes="0" showFirstColumn="1" showLastColumn="1" showRowStripes="1"/>
</table>
</file>

<file path=xl/tables/table3.xml><?xml version="1.0" encoding="utf-8"?>
<table xmlns="http://schemas.openxmlformats.org/spreadsheetml/2006/main" ref="A25:F29" displayName="Table_3" id="3">
  <tableColumns count="6">
    <tableColumn name="Project Phases" id="1"/>
    <tableColumn name="Start" id="2"/>
    <tableColumn name="End" id="3"/>
    <tableColumn name="Duration" id="4"/>
    <tableColumn name="K Bugs" id="5"/>
    <tableColumn name="K Bugs SLES" id="6"/>
  </tableColumns>
  <tableStyleInfo name="Bugs-Phase-style 3" showColumnStripes="0" showFirstColumn="1" showLastColumn="1" showRowStripes="1"/>
</table>
</file>

<file path=xl/tables/table4.xml><?xml version="1.0" encoding="utf-8"?>
<table xmlns="http://schemas.openxmlformats.org/spreadsheetml/2006/main" ref="G25:G29" displayName="Table_4" id="4">
  <tableColumns count="1">
    <tableColumn name="K-Bugs/Day" id="1"/>
  </tableColumns>
  <tableStyleInfo name="Bugs-Phase-style 4" showColumnStripes="0" showFirstColumn="1" showLastColumn="1" showRowStripes="1"/>
</table>
</file>

<file path=xl/tables/table5.xml><?xml version="1.0" encoding="utf-8"?>
<table xmlns="http://schemas.openxmlformats.org/spreadsheetml/2006/main" ref="G11:G15" displayName="Table_5" id="5">
  <tableColumns count="1">
    <tableColumn name="K-Bugs/Day" id="1"/>
  </tableColumns>
  <tableStyleInfo name="Bugs-Phase-style 5" showColumnStripes="0" showFirstColumn="1" showLastColumn="1" showRowStripes="1"/>
</table>
</file>

<file path=xl/tables/table6.xml><?xml version="1.0" encoding="utf-8"?>
<table xmlns="http://schemas.openxmlformats.org/spreadsheetml/2006/main" ref="A4:G8" displayName="Table_6" id="6">
  <tableColumns count="7">
    <tableColumn name="Project Phases" id="1"/>
    <tableColumn name="Start" id="2"/>
    <tableColumn name="End" id="3"/>
    <tableColumn name="Duration" id="4"/>
    <tableColumn name="K Bugs" id="5"/>
    <tableColumn name="K Bugs SLES" id="6"/>
    <tableColumn name="K-Bugs/Day" id="7"/>
  </tableColumns>
  <tableStyleInfo name="Bugs-Phase-style 6" showColumnStripes="0" showFirstColumn="1" showLastColumn="1" showRowStripes="1"/>
</table>
</file>

<file path=xl/tables/table7.xml><?xml version="1.0" encoding="utf-8"?>
<table xmlns="http://schemas.openxmlformats.org/spreadsheetml/2006/main" ref="G18:G22" displayName="Table_7" id="7">
  <tableColumns count="1">
    <tableColumn name="K-Bugs/Day" id="1"/>
  </tableColumns>
  <tableStyleInfo name="Bugs-Phase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7" max="7" width="40.75"/>
  </cols>
  <sheetData>
    <row r="1">
      <c r="A1" s="1" t="str">
        <f>IFERROR(__xludf.DUMMYFUNCTION("IMPORTRANGE(""https://docs.google.com/spreadsheets/d/1ox0O4Fssyxtr_qw6MOXantU3oMHtTEyB4yNntnqWioE"",""bugtab_sp4"")"),"Bug ID")</f>
        <v>Bug ID</v>
      </c>
      <c r="B1" s="1" t="str">
        <f>IFERROR(__xludf.DUMMYFUNCTION("""COMPUTED_VALUE"""),"Priority")</f>
        <v>Priority</v>
      </c>
      <c r="C1" s="1" t="str">
        <f>IFERROR(__xludf.DUMMYFUNCTION("""COMPUTED_VALUE"""),"Opened")</f>
        <v>Opened</v>
      </c>
      <c r="D1" s="1" t="str">
        <f>IFERROR(__xludf.DUMMYFUNCTION("""COMPUTED_VALUE"""),"Status")</f>
        <v>Status</v>
      </c>
      <c r="E1" s="1" t="str">
        <f>IFERROR(__xludf.DUMMYFUNCTION("""COMPUTED_VALUE"""),"Changed")</f>
        <v>Changed</v>
      </c>
      <c r="F1" s="1" t="str">
        <f>IFERROR(__xludf.DUMMYFUNCTION("""COMPUTED_VALUE"""),"Blocker")</f>
        <v>Blocker</v>
      </c>
      <c r="G1" s="1" t="str">
        <f>IFERROR(__xludf.DUMMYFUNCTION("""COMPUTED_VALUE"""),"Product")</f>
        <v>Product</v>
      </c>
      <c r="H1" s="2" t="s">
        <v>0</v>
      </c>
      <c r="I1" s="2" t="s">
        <v>1</v>
      </c>
      <c r="J1" s="3">
        <v>44592.0</v>
      </c>
      <c r="K1" s="3">
        <v>44598.0</v>
      </c>
    </row>
    <row r="2">
      <c r="A2" s="4">
        <f>IFERROR(__xludf.DUMMYFUNCTION("""COMPUTED_VALUE"""),1200569.0)</f>
        <v>1200569</v>
      </c>
      <c r="B2" s="4" t="str">
        <f>IFERROR(__xludf.DUMMYFUNCTION("""COMPUTED_VALUE"""),"P1 - Urgent")</f>
        <v>P1 - Urgent</v>
      </c>
      <c r="C2" s="5">
        <f>IFERROR(__xludf.DUMMYFUNCTION("""COMPUTED_VALUE"""),44727.57608796296)</f>
        <v>44727.57609</v>
      </c>
      <c r="D2" s="4" t="str">
        <f>IFERROR(__xludf.DUMMYFUNCTION("""COMPUTED_VALUE"""),"CONFIRMED")</f>
        <v>CONFIRMED</v>
      </c>
      <c r="E2" s="6">
        <f>IFERROR(__xludf.DUMMYFUNCTION("""COMPUTED_VALUE"""),44736.473032407404)</f>
        <v>44736.47303</v>
      </c>
      <c r="F2" s="4" t="str">
        <f>IFERROR(__xludf.DUMMYFUNCTION("""COMPUTED_VALUE"""),"Yes")</f>
        <v>Yes</v>
      </c>
      <c r="G2" s="4" t="str">
        <f>IFERROR(__xludf.DUMMYFUNCTION("""COMPUTED_VALUE"""),"PUBLIC SUSE Linux Enterprise Server 15 SP4")</f>
        <v>PUBLIC SUSE Linux Enterprise Server 15 SP4</v>
      </c>
      <c r="H2" s="7" t="str">
        <f>IF(AND(GTE($C2,DATEVALUE("24/12/2021")), LTE($C2,DATEVALUE("06/01/2022"))), "YES", "NO")</f>
        <v>NO</v>
      </c>
      <c r="I2" s="7" t="str">
        <f t="shared" ref="I2:I497" si="2">IF(AND(GTE($C2,DATEVALUE($J$1)), LTE($C2,DATEVALUE($K$1))), "YES", "NO")</f>
        <v>NO</v>
      </c>
      <c r="J2" s="4">
        <f t="shared" ref="J2:K2" si="1">WEEKNUM(J1)</f>
        <v>6</v>
      </c>
      <c r="K2" s="4">
        <f t="shared" si="1"/>
        <v>7</v>
      </c>
    </row>
    <row r="3">
      <c r="A3" s="4">
        <f>IFERROR(__xludf.DUMMYFUNCTION("""COMPUTED_VALUE"""),1195973.0)</f>
        <v>1195973</v>
      </c>
      <c r="B3" s="4" t="str">
        <f>IFERROR(__xludf.DUMMYFUNCTION("""COMPUTED_VALUE"""),"P1 - Urgent")</f>
        <v>P1 - Urgent</v>
      </c>
      <c r="C3" s="5">
        <f>IFERROR(__xludf.DUMMYFUNCTION("""COMPUTED_VALUE"""),44607.53023148148)</f>
        <v>44607.53023</v>
      </c>
      <c r="D3" s="4" t="str">
        <f>IFERROR(__xludf.DUMMYFUNCTION("""COMPUTED_VALUE"""),"REOPENED")</f>
        <v>REOPENED</v>
      </c>
      <c r="E3" s="6">
        <f>IFERROR(__xludf.DUMMYFUNCTION("""COMPUTED_VALUE"""),44734.532488425924)</f>
        <v>44734.53249</v>
      </c>
      <c r="F3" s="4" t="str">
        <f>IFERROR(__xludf.DUMMYFUNCTION("""COMPUTED_VALUE""")," ---")</f>
        <v> ---</v>
      </c>
      <c r="G3" s="4" t="str">
        <f>IFERROR(__xludf.DUMMYFUNCTION("""COMPUTED_VALUE"""),"SUSE Linux Enterprise Server 15 SP4")</f>
        <v>SUSE Linux Enterprise Server 15 SP4</v>
      </c>
      <c r="H3" s="7" t="str">
        <f t="shared" ref="H3:H497" si="3">IF(AND(GTE(C3,DATEVALUE("24/12/2021")), LTE(C3,DATEVALUE("06/01/2022"))), "YES", "NO")</f>
        <v>NO</v>
      </c>
      <c r="I3" s="7" t="str">
        <f t="shared" si="2"/>
        <v>NO</v>
      </c>
    </row>
    <row r="4">
      <c r="A4" s="4">
        <f>IFERROR(__xludf.DUMMYFUNCTION("""COMPUTED_VALUE"""),1190362.0)</f>
        <v>1190362</v>
      </c>
      <c r="B4" s="4" t="str">
        <f>IFERROR(__xludf.DUMMYFUNCTION("""COMPUTED_VALUE"""),"P1 - Urgent")</f>
        <v>P1 - Urgent</v>
      </c>
      <c r="C4" s="5">
        <f>IFERROR(__xludf.DUMMYFUNCTION("""COMPUTED_VALUE"""),44448.939039351855)</f>
        <v>44448.93904</v>
      </c>
      <c r="D4" s="4" t="str">
        <f>IFERROR(__xludf.DUMMYFUNCTION("""COMPUTED_VALUE"""),"RESOLVED")</f>
        <v>RESOLVED</v>
      </c>
      <c r="E4" s="6">
        <f>IFERROR(__xludf.DUMMYFUNCTION("""COMPUTED_VALUE"""),44469.502974537034)</f>
        <v>44469.50297</v>
      </c>
      <c r="F4" s="4" t="str">
        <f>IFERROR(__xludf.DUMMYFUNCTION("""COMPUTED_VALUE""")," ---")</f>
        <v> ---</v>
      </c>
      <c r="G4" s="4" t="str">
        <f>IFERROR(__xludf.DUMMYFUNCTION("""COMPUTED_VALUE"""),"SUSE Linux Enterprise Server 15 SP4")</f>
        <v>SUSE Linux Enterprise Server 15 SP4</v>
      </c>
      <c r="H4" s="7" t="str">
        <f t="shared" si="3"/>
        <v>NO</v>
      </c>
      <c r="I4" s="7" t="str">
        <f t="shared" si="2"/>
        <v>NO</v>
      </c>
    </row>
    <row r="5">
      <c r="A5" s="4">
        <f>IFERROR(__xludf.DUMMYFUNCTION("""COMPUTED_VALUE"""),1197146.0)</f>
        <v>1197146</v>
      </c>
      <c r="B5" s="4" t="str">
        <f>IFERROR(__xludf.DUMMYFUNCTION("""COMPUTED_VALUE"""),"P1 - Urgent")</f>
        <v>P1 - Urgent</v>
      </c>
      <c r="C5" s="5">
        <f>IFERROR(__xludf.DUMMYFUNCTION("""COMPUTED_VALUE"""),44635.756377314814)</f>
        <v>44635.75638</v>
      </c>
      <c r="D5" s="4" t="str">
        <f>IFERROR(__xludf.DUMMYFUNCTION("""COMPUTED_VALUE"""),"RESOLVED")</f>
        <v>RESOLVED</v>
      </c>
      <c r="E5" s="6">
        <f>IFERROR(__xludf.DUMMYFUNCTION("""COMPUTED_VALUE"""),44668.499872685185)</f>
        <v>44668.49987</v>
      </c>
      <c r="F5" s="4" t="str">
        <f>IFERROR(__xludf.DUMMYFUNCTION("""COMPUTED_VALUE""")," ---")</f>
        <v> ---</v>
      </c>
      <c r="G5" s="4" t="str">
        <f>IFERROR(__xludf.DUMMYFUNCTION("""COMPUTED_VALUE"""),"SUSE Linux Enterprise Server 15 SP4")</f>
        <v>SUSE Linux Enterprise Server 15 SP4</v>
      </c>
      <c r="H5" s="7" t="str">
        <f t="shared" si="3"/>
        <v>NO</v>
      </c>
      <c r="I5" s="7" t="str">
        <f t="shared" si="2"/>
        <v>NO</v>
      </c>
    </row>
    <row r="6">
      <c r="A6" s="4">
        <f>IFERROR(__xludf.DUMMYFUNCTION("""COMPUTED_VALUE"""),1194163.0)</f>
        <v>1194163</v>
      </c>
      <c r="B6" s="4" t="str">
        <f>IFERROR(__xludf.DUMMYFUNCTION("""COMPUTED_VALUE"""),"P1 - Urgent")</f>
        <v>P1 - Urgent</v>
      </c>
      <c r="C6" s="5">
        <f>IFERROR(__xludf.DUMMYFUNCTION("""COMPUTED_VALUE"""),44560.115949074076)</f>
        <v>44560.11595</v>
      </c>
      <c r="D6" s="4" t="str">
        <f>IFERROR(__xludf.DUMMYFUNCTION("""COMPUTED_VALUE"""),"RESOLVED")</f>
        <v>RESOLVED</v>
      </c>
      <c r="E6" s="6">
        <f>IFERROR(__xludf.DUMMYFUNCTION("""COMPUTED_VALUE"""),44677.43071759259)</f>
        <v>44677.43072</v>
      </c>
      <c r="F6" s="4" t="str">
        <f>IFERROR(__xludf.DUMMYFUNCTION("""COMPUTED_VALUE""")," ---")</f>
        <v> ---</v>
      </c>
      <c r="G6" s="4" t="str">
        <f>IFERROR(__xludf.DUMMYFUNCTION("""COMPUTED_VALUE"""),"SUSE Linux Enterprise Server 15 SP4")</f>
        <v>SUSE Linux Enterprise Server 15 SP4</v>
      </c>
      <c r="H6" s="7" t="str">
        <f t="shared" si="3"/>
        <v>YES</v>
      </c>
      <c r="I6" s="7" t="str">
        <f t="shared" si="2"/>
        <v>NO</v>
      </c>
    </row>
    <row r="7">
      <c r="A7" s="4">
        <f>IFERROR(__xludf.DUMMYFUNCTION("""COMPUTED_VALUE"""),1193020.0)</f>
        <v>1193020</v>
      </c>
      <c r="B7" s="4" t="str">
        <f>IFERROR(__xludf.DUMMYFUNCTION("""COMPUTED_VALUE"""),"P1 - Urgent")</f>
        <v>P1 - Urgent</v>
      </c>
      <c r="C7" s="5">
        <f>IFERROR(__xludf.DUMMYFUNCTION("""COMPUTED_VALUE"""),44524.29945601852)</f>
        <v>44524.29946</v>
      </c>
      <c r="D7" s="4" t="str">
        <f>IFERROR(__xludf.DUMMYFUNCTION("""COMPUTED_VALUE"""),"RESOLVED")</f>
        <v>RESOLVED</v>
      </c>
      <c r="E7" s="6">
        <f>IFERROR(__xludf.DUMMYFUNCTION("""COMPUTED_VALUE"""),44586.47525462963)</f>
        <v>44586.47525</v>
      </c>
      <c r="F7" s="4" t="str">
        <f>IFERROR(__xludf.DUMMYFUNCTION("""COMPUTED_VALUE"""),"Yes")</f>
        <v>Yes</v>
      </c>
      <c r="G7" s="4" t="str">
        <f>IFERROR(__xludf.DUMMYFUNCTION("""COMPUTED_VALUE"""),"SUSE Linux Enterprise Server 15 SP4")</f>
        <v>SUSE Linux Enterprise Server 15 SP4</v>
      </c>
      <c r="H7" s="7" t="str">
        <f t="shared" si="3"/>
        <v>NO</v>
      </c>
      <c r="I7" s="7" t="str">
        <f t="shared" si="2"/>
        <v>NO</v>
      </c>
    </row>
    <row r="8">
      <c r="A8" s="4">
        <f>IFERROR(__xludf.DUMMYFUNCTION("""COMPUTED_VALUE"""),1195926.0)</f>
        <v>1195926</v>
      </c>
      <c r="B8" s="4" t="str">
        <f>IFERROR(__xludf.DUMMYFUNCTION("""COMPUTED_VALUE"""),"P1 - Urgent")</f>
        <v>P1 - Urgent</v>
      </c>
      <c r="C8" s="5">
        <f>IFERROR(__xludf.DUMMYFUNCTION("""COMPUTED_VALUE"""),44606.85449074074)</f>
        <v>44606.85449</v>
      </c>
      <c r="D8" s="4" t="str">
        <f>IFERROR(__xludf.DUMMYFUNCTION("""COMPUTED_VALUE"""),"RESOLVED")</f>
        <v>RESOLVED</v>
      </c>
      <c r="E8" s="6">
        <f>IFERROR(__xludf.DUMMYFUNCTION("""COMPUTED_VALUE"""),44728.81046296296)</f>
        <v>44728.81046</v>
      </c>
      <c r="F8" s="4" t="str">
        <f>IFERROR(__xludf.DUMMYFUNCTION("""COMPUTED_VALUE""")," ---")</f>
        <v> ---</v>
      </c>
      <c r="G8" s="4" t="str">
        <f>IFERROR(__xludf.DUMMYFUNCTION("""COMPUTED_VALUE"""),"SUSE Linux Enterprise Server 15 SP4")</f>
        <v>SUSE Linux Enterprise Server 15 SP4</v>
      </c>
      <c r="H8" s="7" t="str">
        <f t="shared" si="3"/>
        <v>NO</v>
      </c>
      <c r="I8" s="7" t="str">
        <f t="shared" si="2"/>
        <v>NO</v>
      </c>
    </row>
    <row r="9">
      <c r="A9" s="4">
        <f>IFERROR(__xludf.DUMMYFUNCTION("""COMPUTED_VALUE"""),1194915.0)</f>
        <v>1194915</v>
      </c>
      <c r="B9" s="4" t="str">
        <f>IFERROR(__xludf.DUMMYFUNCTION("""COMPUTED_VALUE"""),"P1 - Urgent")</f>
        <v>P1 - Urgent</v>
      </c>
      <c r="C9" s="5">
        <f>IFERROR(__xludf.DUMMYFUNCTION("""COMPUTED_VALUE"""),44580.94479166667)</f>
        <v>44580.94479</v>
      </c>
      <c r="D9" s="4" t="str">
        <f>IFERROR(__xludf.DUMMYFUNCTION("""COMPUTED_VALUE"""),"RESOLVED")</f>
        <v>RESOLVED</v>
      </c>
      <c r="E9" s="6">
        <f>IFERROR(__xludf.DUMMYFUNCTION("""COMPUTED_VALUE"""),44636.645)</f>
        <v>44636.645</v>
      </c>
      <c r="F9" s="4" t="str">
        <f>IFERROR(__xludf.DUMMYFUNCTION("""COMPUTED_VALUE""")," ---")</f>
        <v> ---</v>
      </c>
      <c r="G9" s="4" t="str">
        <f>IFERROR(__xludf.DUMMYFUNCTION("""COMPUTED_VALUE"""),"SUSE Linux Enterprise Server 15 SP4")</f>
        <v>SUSE Linux Enterprise Server 15 SP4</v>
      </c>
      <c r="H9" s="7" t="str">
        <f t="shared" si="3"/>
        <v>NO</v>
      </c>
      <c r="I9" s="7" t="str">
        <f t="shared" si="2"/>
        <v>NO</v>
      </c>
    </row>
    <row r="10">
      <c r="A10" s="4">
        <f>IFERROR(__xludf.DUMMYFUNCTION("""COMPUTED_VALUE"""),1194742.0)</f>
        <v>1194742</v>
      </c>
      <c r="B10" s="4" t="str">
        <f>IFERROR(__xludf.DUMMYFUNCTION("""COMPUTED_VALUE"""),"P1 - Urgent")</f>
        <v>P1 - Urgent</v>
      </c>
      <c r="C10" s="5">
        <f>IFERROR(__xludf.DUMMYFUNCTION("""COMPUTED_VALUE"""),44578.42765046296)</f>
        <v>44578.42765</v>
      </c>
      <c r="D10" s="4" t="str">
        <f>IFERROR(__xludf.DUMMYFUNCTION("""COMPUTED_VALUE"""),"RESOLVED")</f>
        <v>RESOLVED</v>
      </c>
      <c r="E10" s="6">
        <f>IFERROR(__xludf.DUMMYFUNCTION("""COMPUTED_VALUE"""),44600.51342592593)</f>
        <v>44600.51343</v>
      </c>
      <c r="F10" s="4" t="str">
        <f>IFERROR(__xludf.DUMMYFUNCTION("""COMPUTED_VALUE""")," ---")</f>
        <v> ---</v>
      </c>
      <c r="G10" s="4" t="str">
        <f>IFERROR(__xludf.DUMMYFUNCTION("""COMPUTED_VALUE"""),"SUSE Linux Enterprise Server 15 SP4")</f>
        <v>SUSE Linux Enterprise Server 15 SP4</v>
      </c>
      <c r="H10" s="7" t="str">
        <f t="shared" si="3"/>
        <v>NO</v>
      </c>
      <c r="I10" s="7" t="str">
        <f t="shared" si="2"/>
        <v>NO</v>
      </c>
    </row>
    <row r="11">
      <c r="A11" s="4">
        <f>IFERROR(__xludf.DUMMYFUNCTION("""COMPUTED_VALUE"""),1198602.0)</f>
        <v>1198602</v>
      </c>
      <c r="B11" s="4" t="str">
        <f>IFERROR(__xludf.DUMMYFUNCTION("""COMPUTED_VALUE"""),"P1 - Urgent")</f>
        <v>P1 - Urgent</v>
      </c>
      <c r="C11" s="5">
        <f>IFERROR(__xludf.DUMMYFUNCTION("""COMPUTED_VALUE"""),44670.46744212963)</f>
        <v>44670.46744</v>
      </c>
      <c r="D11" s="4" t="str">
        <f>IFERROR(__xludf.DUMMYFUNCTION("""COMPUTED_VALUE"""),"RESOLVED")</f>
        <v>RESOLVED</v>
      </c>
      <c r="E11" s="6">
        <f>IFERROR(__xludf.DUMMYFUNCTION("""COMPUTED_VALUE"""),44696.624548611115)</f>
        <v>44696.62455</v>
      </c>
      <c r="F11" s="4" t="str">
        <f>IFERROR(__xludf.DUMMYFUNCTION("""COMPUTED_VALUE""")," ---")</f>
        <v> ---</v>
      </c>
      <c r="G11" s="4" t="str">
        <f>IFERROR(__xludf.DUMMYFUNCTION("""COMPUTED_VALUE"""),"SUSE Linux Enterprise Server 15 SP4")</f>
        <v>SUSE Linux Enterprise Server 15 SP4</v>
      </c>
      <c r="H11" s="7" t="str">
        <f t="shared" si="3"/>
        <v>NO</v>
      </c>
      <c r="I11" s="7" t="str">
        <f t="shared" si="2"/>
        <v>NO</v>
      </c>
    </row>
    <row r="12">
      <c r="A12" s="4">
        <f>IFERROR(__xludf.DUMMYFUNCTION("""COMPUTED_VALUE"""),1192913.0)</f>
        <v>1192913</v>
      </c>
      <c r="B12" s="4" t="str">
        <f>IFERROR(__xludf.DUMMYFUNCTION("""COMPUTED_VALUE"""),"P1 - Urgent")</f>
        <v>P1 - Urgent</v>
      </c>
      <c r="C12" s="5">
        <f>IFERROR(__xludf.DUMMYFUNCTION("""COMPUTED_VALUE"""),44519.93311342593)</f>
        <v>44519.93311</v>
      </c>
      <c r="D12" s="4" t="str">
        <f>IFERROR(__xludf.DUMMYFUNCTION("""COMPUTED_VALUE"""),"RESOLVED")</f>
        <v>RESOLVED</v>
      </c>
      <c r="E12" s="6">
        <f>IFERROR(__xludf.DUMMYFUNCTION("""COMPUTED_VALUE"""),44668.49408564815)</f>
        <v>44668.49409</v>
      </c>
      <c r="F12" s="4" t="str">
        <f>IFERROR(__xludf.DUMMYFUNCTION("""COMPUTED_VALUE""")," ---")</f>
        <v> ---</v>
      </c>
      <c r="G12" s="4" t="str">
        <f>IFERROR(__xludf.DUMMYFUNCTION("""COMPUTED_VALUE"""),"SUSE Linux Enterprise Server 15 SP4")</f>
        <v>SUSE Linux Enterprise Server 15 SP4</v>
      </c>
      <c r="H12" s="7" t="str">
        <f t="shared" si="3"/>
        <v>NO</v>
      </c>
      <c r="I12" s="7" t="str">
        <f t="shared" si="2"/>
        <v>NO</v>
      </c>
    </row>
    <row r="13">
      <c r="A13" s="4">
        <f>IFERROR(__xludf.DUMMYFUNCTION("""COMPUTED_VALUE"""),1197762.0)</f>
        <v>1197762</v>
      </c>
      <c r="B13" s="4" t="str">
        <f>IFERROR(__xludf.DUMMYFUNCTION("""COMPUTED_VALUE"""),"P1 - Urgent")</f>
        <v>P1 - Urgent</v>
      </c>
      <c r="C13" s="5">
        <f>IFERROR(__xludf.DUMMYFUNCTION("""COMPUTED_VALUE"""),44650.69269675926)</f>
        <v>44650.6927</v>
      </c>
      <c r="D13" s="4" t="str">
        <f>IFERROR(__xludf.DUMMYFUNCTION("""COMPUTED_VALUE"""),"RESOLVED")</f>
        <v>RESOLVED</v>
      </c>
      <c r="E13" s="6">
        <f>IFERROR(__xludf.DUMMYFUNCTION("""COMPUTED_VALUE"""),44673.05321759259)</f>
        <v>44673.05322</v>
      </c>
      <c r="F13" s="4" t="str">
        <f>IFERROR(__xludf.DUMMYFUNCTION("""COMPUTED_VALUE""")," ---")</f>
        <v> ---</v>
      </c>
      <c r="G13" s="4" t="str">
        <f>IFERROR(__xludf.DUMMYFUNCTION("""COMPUTED_VALUE"""),"SUSE Linux Enterprise Server 15 SP4")</f>
        <v>SUSE Linux Enterprise Server 15 SP4</v>
      </c>
      <c r="H13" s="7" t="str">
        <f t="shared" si="3"/>
        <v>NO</v>
      </c>
      <c r="I13" s="7" t="str">
        <f t="shared" si="2"/>
        <v>NO</v>
      </c>
    </row>
    <row r="14">
      <c r="A14" s="4">
        <f>IFERROR(__xludf.DUMMYFUNCTION("""COMPUTED_VALUE"""),1195944.0)</f>
        <v>1195944</v>
      </c>
      <c r="B14" s="4" t="str">
        <f>IFERROR(__xludf.DUMMYFUNCTION("""COMPUTED_VALUE"""),"P1 - Urgent")</f>
        <v>P1 - Urgent</v>
      </c>
      <c r="C14" s="5">
        <f>IFERROR(__xludf.DUMMYFUNCTION("""COMPUTED_VALUE"""),44607.346296296295)</f>
        <v>44607.3463</v>
      </c>
      <c r="D14" s="4" t="str">
        <f>IFERROR(__xludf.DUMMYFUNCTION("""COMPUTED_VALUE"""),"RESOLVED")</f>
        <v>RESOLVED</v>
      </c>
      <c r="E14" s="6">
        <f>IFERROR(__xludf.DUMMYFUNCTION("""COMPUTED_VALUE"""),44736.46628472222)</f>
        <v>44736.46628</v>
      </c>
      <c r="F14" s="4" t="str">
        <f>IFERROR(__xludf.DUMMYFUNCTION("""COMPUTED_VALUE"""),"Yes")</f>
        <v>Yes</v>
      </c>
      <c r="G14" s="4" t="str">
        <f>IFERROR(__xludf.DUMMYFUNCTION("""COMPUTED_VALUE"""),"PUBLIC SUSE Linux Enterprise Server 15 SP4")</f>
        <v>PUBLIC SUSE Linux Enterprise Server 15 SP4</v>
      </c>
      <c r="H14" s="7" t="str">
        <f t="shared" si="3"/>
        <v>NO</v>
      </c>
      <c r="I14" s="7" t="str">
        <f t="shared" si="2"/>
        <v>NO</v>
      </c>
    </row>
    <row r="15">
      <c r="A15" s="4">
        <f>IFERROR(__xludf.DUMMYFUNCTION("""COMPUTED_VALUE"""),1196728.0)</f>
        <v>1196728</v>
      </c>
      <c r="B15" s="4" t="str">
        <f>IFERROR(__xludf.DUMMYFUNCTION("""COMPUTED_VALUE"""),"P1 - Urgent")</f>
        <v>P1 - Urgent</v>
      </c>
      <c r="C15" s="5">
        <f>IFERROR(__xludf.DUMMYFUNCTION("""COMPUTED_VALUE"""),44623.87366898148)</f>
        <v>44623.87367</v>
      </c>
      <c r="D15" s="4" t="str">
        <f>IFERROR(__xludf.DUMMYFUNCTION("""COMPUTED_VALUE"""),"RESOLVED")</f>
        <v>RESOLVED</v>
      </c>
      <c r="E15" s="6">
        <f>IFERROR(__xludf.DUMMYFUNCTION("""COMPUTED_VALUE"""),44687.490439814814)</f>
        <v>44687.49044</v>
      </c>
      <c r="F15" s="4" t="str">
        <f>IFERROR(__xludf.DUMMYFUNCTION("""COMPUTED_VALUE""")," ---")</f>
        <v> ---</v>
      </c>
      <c r="G15" s="4" t="str">
        <f>IFERROR(__xludf.DUMMYFUNCTION("""COMPUTED_VALUE"""),"SUSE Linux Enterprise Server 15 SP4")</f>
        <v>SUSE Linux Enterprise Server 15 SP4</v>
      </c>
      <c r="H15" s="7" t="str">
        <f t="shared" si="3"/>
        <v>NO</v>
      </c>
      <c r="I15" s="7" t="str">
        <f t="shared" si="2"/>
        <v>NO</v>
      </c>
    </row>
    <row r="16">
      <c r="A16" s="4">
        <f>IFERROR(__xludf.DUMMYFUNCTION("""COMPUTED_VALUE"""),1197997.0)</f>
        <v>1197997</v>
      </c>
      <c r="B16" s="4" t="str">
        <f>IFERROR(__xludf.DUMMYFUNCTION("""COMPUTED_VALUE"""),"P1 - Urgent")</f>
        <v>P1 - Urgent</v>
      </c>
      <c r="C16" s="5">
        <f>IFERROR(__xludf.DUMMYFUNCTION("""COMPUTED_VALUE"""),44655.38960648148)</f>
        <v>44655.38961</v>
      </c>
      <c r="D16" s="4" t="str">
        <f>IFERROR(__xludf.DUMMYFUNCTION("""COMPUTED_VALUE"""),"RESOLVED")</f>
        <v>RESOLVED</v>
      </c>
      <c r="E16" s="6">
        <f>IFERROR(__xludf.DUMMYFUNCTION("""COMPUTED_VALUE"""),44671.37881944444)</f>
        <v>44671.37882</v>
      </c>
      <c r="F16" s="4" t="str">
        <f>IFERROR(__xludf.DUMMYFUNCTION("""COMPUTED_VALUE""")," ---")</f>
        <v> ---</v>
      </c>
      <c r="G16" s="4" t="str">
        <f>IFERROR(__xludf.DUMMYFUNCTION("""COMPUTED_VALUE"""),"SUSE Linux Enterprise Server 15 SP4")</f>
        <v>SUSE Linux Enterprise Server 15 SP4</v>
      </c>
      <c r="H16" s="7" t="str">
        <f t="shared" si="3"/>
        <v>NO</v>
      </c>
      <c r="I16" s="7" t="str">
        <f t="shared" si="2"/>
        <v>NO</v>
      </c>
    </row>
    <row r="17">
      <c r="A17" s="4">
        <f>IFERROR(__xludf.DUMMYFUNCTION("""COMPUTED_VALUE"""),1192202.0)</f>
        <v>1192202</v>
      </c>
      <c r="B17" s="4" t="str">
        <f>IFERROR(__xludf.DUMMYFUNCTION("""COMPUTED_VALUE"""),"P1 - Urgent")</f>
        <v>P1 - Urgent</v>
      </c>
      <c r="C17" s="5">
        <f>IFERROR(__xludf.DUMMYFUNCTION("""COMPUTED_VALUE"""),44501.408796296295)</f>
        <v>44501.4088</v>
      </c>
      <c r="D17" s="4" t="str">
        <f>IFERROR(__xludf.DUMMYFUNCTION("""COMPUTED_VALUE"""),"RESOLVED")</f>
        <v>RESOLVED</v>
      </c>
      <c r="E17" s="6">
        <f>IFERROR(__xludf.DUMMYFUNCTION("""COMPUTED_VALUE"""),44668.493263888886)</f>
        <v>44668.49326</v>
      </c>
      <c r="F17" s="4" t="str">
        <f>IFERROR(__xludf.DUMMYFUNCTION("""COMPUTED_VALUE""")," ---")</f>
        <v> ---</v>
      </c>
      <c r="G17" s="4" t="str">
        <f>IFERROR(__xludf.DUMMYFUNCTION("""COMPUTED_VALUE"""),"SUSE Linux Enterprise Server 15 SP4")</f>
        <v>SUSE Linux Enterprise Server 15 SP4</v>
      </c>
      <c r="H17" s="7" t="str">
        <f t="shared" si="3"/>
        <v>NO</v>
      </c>
      <c r="I17" s="7" t="str">
        <f t="shared" si="2"/>
        <v>NO</v>
      </c>
    </row>
    <row r="18">
      <c r="A18" s="4">
        <f>IFERROR(__xludf.DUMMYFUNCTION("""COMPUTED_VALUE"""),1192327.0)</f>
        <v>1192327</v>
      </c>
      <c r="B18" s="4" t="str">
        <f>IFERROR(__xludf.DUMMYFUNCTION("""COMPUTED_VALUE"""),"P1 - Urgent")</f>
        <v>P1 - Urgent</v>
      </c>
      <c r="C18" s="5">
        <f>IFERROR(__xludf.DUMMYFUNCTION("""COMPUTED_VALUE"""),44504.365069444444)</f>
        <v>44504.36507</v>
      </c>
      <c r="D18" s="4" t="str">
        <f>IFERROR(__xludf.DUMMYFUNCTION("""COMPUTED_VALUE"""),"RESOLVED")</f>
        <v>RESOLVED</v>
      </c>
      <c r="E18" s="6">
        <f>IFERROR(__xludf.DUMMYFUNCTION("""COMPUTED_VALUE"""),44668.49344907407)</f>
        <v>44668.49345</v>
      </c>
      <c r="F18" s="4" t="str">
        <f>IFERROR(__xludf.DUMMYFUNCTION("""COMPUTED_VALUE"""),"Yes")</f>
        <v>Yes</v>
      </c>
      <c r="G18" s="4" t="str">
        <f>IFERROR(__xludf.DUMMYFUNCTION("""COMPUTED_VALUE"""),"SUSE Linux Enterprise Server 15 SP4")</f>
        <v>SUSE Linux Enterprise Server 15 SP4</v>
      </c>
      <c r="H18" s="7" t="str">
        <f t="shared" si="3"/>
        <v>NO</v>
      </c>
      <c r="I18" s="7" t="str">
        <f t="shared" si="2"/>
        <v>NO</v>
      </c>
    </row>
    <row r="19">
      <c r="A19" s="4">
        <f>IFERROR(__xludf.DUMMYFUNCTION("""COMPUTED_VALUE"""),1192855.0)</f>
        <v>1192855</v>
      </c>
      <c r="B19" s="4" t="str">
        <f>IFERROR(__xludf.DUMMYFUNCTION("""COMPUTED_VALUE"""),"P1 - Urgent")</f>
        <v>P1 - Urgent</v>
      </c>
      <c r="C19" s="5">
        <f>IFERROR(__xludf.DUMMYFUNCTION("""COMPUTED_VALUE"""),44518.98211805556)</f>
        <v>44518.98212</v>
      </c>
      <c r="D19" s="4" t="str">
        <f>IFERROR(__xludf.DUMMYFUNCTION("""COMPUTED_VALUE"""),"RESOLVED")</f>
        <v>RESOLVED</v>
      </c>
      <c r="E19" s="6">
        <f>IFERROR(__xludf.DUMMYFUNCTION("""COMPUTED_VALUE"""),44523.32925925926)</f>
        <v>44523.32926</v>
      </c>
      <c r="F19" s="4" t="str">
        <f>IFERROR(__xludf.DUMMYFUNCTION("""COMPUTED_VALUE"""),"Yes")</f>
        <v>Yes</v>
      </c>
      <c r="G19" s="4" t="str">
        <f>IFERROR(__xludf.DUMMYFUNCTION("""COMPUTED_VALUE"""),"SUSE Linux Enterprise Server 15 SP4")</f>
        <v>SUSE Linux Enterprise Server 15 SP4</v>
      </c>
      <c r="H19" s="7" t="str">
        <f t="shared" si="3"/>
        <v>NO</v>
      </c>
      <c r="I19" s="7" t="str">
        <f t="shared" si="2"/>
        <v>NO</v>
      </c>
    </row>
    <row r="20">
      <c r="A20" s="4">
        <f>IFERROR(__xludf.DUMMYFUNCTION("""COMPUTED_VALUE"""),1193640.0)</f>
        <v>1193640</v>
      </c>
      <c r="B20" s="4" t="str">
        <f>IFERROR(__xludf.DUMMYFUNCTION("""COMPUTED_VALUE"""),"P1 - Urgent")</f>
        <v>P1 - Urgent</v>
      </c>
      <c r="C20" s="5">
        <f>IFERROR(__xludf.DUMMYFUNCTION("""COMPUTED_VALUE"""),44542.34704861111)</f>
        <v>44542.34705</v>
      </c>
      <c r="D20" s="4" t="str">
        <f>IFERROR(__xludf.DUMMYFUNCTION("""COMPUTED_VALUE"""),"RESOLVED")</f>
        <v>RESOLVED</v>
      </c>
      <c r="E20" s="6">
        <f>IFERROR(__xludf.DUMMYFUNCTION("""COMPUTED_VALUE"""),44736.464895833335)</f>
        <v>44736.4649</v>
      </c>
      <c r="F20" s="4" t="str">
        <f>IFERROR(__xludf.DUMMYFUNCTION("""COMPUTED_VALUE""")," ---")</f>
        <v> ---</v>
      </c>
      <c r="G20" s="4" t="str">
        <f>IFERROR(__xludf.DUMMYFUNCTION("""COMPUTED_VALUE"""),"PUBLIC SUSE Linux Enterprise Server 15 SP4")</f>
        <v>PUBLIC SUSE Linux Enterprise Server 15 SP4</v>
      </c>
      <c r="H20" s="7" t="str">
        <f t="shared" si="3"/>
        <v>NO</v>
      </c>
      <c r="I20" s="7" t="str">
        <f t="shared" si="2"/>
        <v>NO</v>
      </c>
    </row>
    <row r="21">
      <c r="A21" s="4">
        <f>IFERROR(__xludf.DUMMYFUNCTION("""COMPUTED_VALUE"""),1194519.0)</f>
        <v>1194519</v>
      </c>
      <c r="B21" s="4" t="str">
        <f>IFERROR(__xludf.DUMMYFUNCTION("""COMPUTED_VALUE"""),"P1 - Urgent")</f>
        <v>P1 - Urgent</v>
      </c>
      <c r="C21" s="5">
        <f>IFERROR(__xludf.DUMMYFUNCTION("""COMPUTED_VALUE"""),44572.36184027778)</f>
        <v>44572.36184</v>
      </c>
      <c r="D21" s="4" t="str">
        <f>IFERROR(__xludf.DUMMYFUNCTION("""COMPUTED_VALUE"""),"RESOLVED")</f>
        <v>RESOLVED</v>
      </c>
      <c r="E21" s="6">
        <f>IFERROR(__xludf.DUMMYFUNCTION("""COMPUTED_VALUE"""),44634.83740740741)</f>
        <v>44634.83741</v>
      </c>
      <c r="F21" s="4" t="str">
        <f>IFERROR(__xludf.DUMMYFUNCTION("""COMPUTED_VALUE"""),"Yes")</f>
        <v>Yes</v>
      </c>
      <c r="G21" s="4" t="str">
        <f>IFERROR(__xludf.DUMMYFUNCTION("""COMPUTED_VALUE"""),"SUSE Linux Enterprise Server 15 SP4")</f>
        <v>SUSE Linux Enterprise Server 15 SP4</v>
      </c>
      <c r="H21" s="7" t="str">
        <f t="shared" si="3"/>
        <v>NO</v>
      </c>
      <c r="I21" s="7" t="str">
        <f t="shared" si="2"/>
        <v>NO</v>
      </c>
    </row>
    <row r="22">
      <c r="A22" s="4">
        <f>IFERROR(__xludf.DUMMYFUNCTION("""COMPUTED_VALUE"""),1194887.0)</f>
        <v>1194887</v>
      </c>
      <c r="B22" s="4" t="str">
        <f>IFERROR(__xludf.DUMMYFUNCTION("""COMPUTED_VALUE"""),"P1 - Urgent")</f>
        <v>P1 - Urgent</v>
      </c>
      <c r="C22" s="5">
        <f>IFERROR(__xludf.DUMMYFUNCTION("""COMPUTED_VALUE"""),44580.51201388889)</f>
        <v>44580.51201</v>
      </c>
      <c r="D22" s="4" t="str">
        <f>IFERROR(__xludf.DUMMYFUNCTION("""COMPUTED_VALUE"""),"RESOLVED")</f>
        <v>RESOLVED</v>
      </c>
      <c r="E22" s="6">
        <f>IFERROR(__xludf.DUMMYFUNCTION("""COMPUTED_VALUE"""),44668.49728009259)</f>
        <v>44668.49728</v>
      </c>
      <c r="F22" s="4" t="str">
        <f>IFERROR(__xludf.DUMMYFUNCTION("""COMPUTED_VALUE""")," ---")</f>
        <v> ---</v>
      </c>
      <c r="G22" s="4" t="str">
        <f>IFERROR(__xludf.DUMMYFUNCTION("""COMPUTED_VALUE"""),"SUSE Linux Enterprise Server 15 SP4")</f>
        <v>SUSE Linux Enterprise Server 15 SP4</v>
      </c>
      <c r="H22" s="7" t="str">
        <f t="shared" si="3"/>
        <v>NO</v>
      </c>
      <c r="I22" s="7" t="str">
        <f t="shared" si="2"/>
        <v>NO</v>
      </c>
    </row>
    <row r="23">
      <c r="A23" s="4">
        <f>IFERROR(__xludf.DUMMYFUNCTION("""COMPUTED_VALUE"""),1195281.0)</f>
        <v>1195281</v>
      </c>
      <c r="B23" s="4" t="str">
        <f>IFERROR(__xludf.DUMMYFUNCTION("""COMPUTED_VALUE"""),"P1 - Urgent")</f>
        <v>P1 - Urgent</v>
      </c>
      <c r="C23" s="5">
        <f>IFERROR(__xludf.DUMMYFUNCTION("""COMPUTED_VALUE"""),44589.65217592593)</f>
        <v>44589.65218</v>
      </c>
      <c r="D23" s="4" t="str">
        <f>IFERROR(__xludf.DUMMYFUNCTION("""COMPUTED_VALUE"""),"RESOLVED")</f>
        <v>RESOLVED</v>
      </c>
      <c r="E23" s="6">
        <f>IFERROR(__xludf.DUMMYFUNCTION("""COMPUTED_VALUE"""),44592.57215277778)</f>
        <v>44592.57215</v>
      </c>
      <c r="F23" s="4" t="str">
        <f>IFERROR(__xludf.DUMMYFUNCTION("""COMPUTED_VALUE""")," ---")</f>
        <v> ---</v>
      </c>
      <c r="G23" s="4" t="str">
        <f>IFERROR(__xludf.DUMMYFUNCTION("""COMPUTED_VALUE"""),"SUSE Linux Enterprise Server 15 SP4")</f>
        <v>SUSE Linux Enterprise Server 15 SP4</v>
      </c>
      <c r="H23" s="7" t="str">
        <f t="shared" si="3"/>
        <v>NO</v>
      </c>
      <c r="I23" s="7" t="str">
        <f t="shared" si="2"/>
        <v>NO</v>
      </c>
    </row>
    <row r="24">
      <c r="A24" s="4">
        <f>IFERROR(__xludf.DUMMYFUNCTION("""COMPUTED_VALUE"""),1195464.0)</f>
        <v>1195464</v>
      </c>
      <c r="B24" s="4" t="str">
        <f>IFERROR(__xludf.DUMMYFUNCTION("""COMPUTED_VALUE"""),"P1 - Urgent")</f>
        <v>P1 - Urgent</v>
      </c>
      <c r="C24" s="5">
        <f>IFERROR(__xludf.DUMMYFUNCTION("""COMPUTED_VALUE"""),44594.8296412037)</f>
        <v>44594.82964</v>
      </c>
      <c r="D24" s="4" t="str">
        <f>IFERROR(__xludf.DUMMYFUNCTION("""COMPUTED_VALUE"""),"RESOLVED")</f>
        <v>RESOLVED</v>
      </c>
      <c r="E24" s="6">
        <f>IFERROR(__xludf.DUMMYFUNCTION("""COMPUTED_VALUE"""),44668.4981712963)</f>
        <v>44668.49817</v>
      </c>
      <c r="F24" s="4" t="str">
        <f>IFERROR(__xludf.DUMMYFUNCTION("""COMPUTED_VALUE""")," ---")</f>
        <v> ---</v>
      </c>
      <c r="G24" s="4" t="str">
        <f>IFERROR(__xludf.DUMMYFUNCTION("""COMPUTED_VALUE"""),"PUBLIC SUSE Linux Enterprise Server 15 SP4")</f>
        <v>PUBLIC SUSE Linux Enterprise Server 15 SP4</v>
      </c>
      <c r="H24" s="7" t="str">
        <f t="shared" si="3"/>
        <v>NO</v>
      </c>
      <c r="I24" s="7" t="str">
        <f t="shared" si="2"/>
        <v>YES</v>
      </c>
    </row>
    <row r="25">
      <c r="A25" s="4">
        <f>IFERROR(__xludf.DUMMYFUNCTION("""COMPUTED_VALUE"""),1195749.0)</f>
        <v>1195749</v>
      </c>
      <c r="B25" s="4" t="str">
        <f>IFERROR(__xludf.DUMMYFUNCTION("""COMPUTED_VALUE"""),"P1 - Urgent")</f>
        <v>P1 - Urgent</v>
      </c>
      <c r="C25" s="5">
        <f>IFERROR(__xludf.DUMMYFUNCTION("""COMPUTED_VALUE"""),44601.942291666666)</f>
        <v>44601.94229</v>
      </c>
      <c r="D25" s="4" t="str">
        <f>IFERROR(__xludf.DUMMYFUNCTION("""COMPUTED_VALUE"""),"RESOLVED")</f>
        <v>RESOLVED</v>
      </c>
      <c r="E25" s="6">
        <f>IFERROR(__xludf.DUMMYFUNCTION("""COMPUTED_VALUE"""),44662.14172453704)</f>
        <v>44662.14172</v>
      </c>
      <c r="F25" s="4" t="str">
        <f>IFERROR(__xludf.DUMMYFUNCTION("""COMPUTED_VALUE""")," ---")</f>
        <v> ---</v>
      </c>
      <c r="G25" s="4" t="str">
        <f>IFERROR(__xludf.DUMMYFUNCTION("""COMPUTED_VALUE"""),"SUSE Linux Enterprise Server 15 SP4")</f>
        <v>SUSE Linux Enterprise Server 15 SP4</v>
      </c>
      <c r="H25" s="7" t="str">
        <f t="shared" si="3"/>
        <v>NO</v>
      </c>
      <c r="I25" s="7" t="str">
        <f t="shared" si="2"/>
        <v>NO</v>
      </c>
    </row>
    <row r="26">
      <c r="A26" s="4">
        <f>IFERROR(__xludf.DUMMYFUNCTION("""COMPUTED_VALUE"""),1196213.0)</f>
        <v>1196213</v>
      </c>
      <c r="B26" s="4" t="str">
        <f>IFERROR(__xludf.DUMMYFUNCTION("""COMPUTED_VALUE"""),"P1 - Urgent")</f>
        <v>P1 - Urgent</v>
      </c>
      <c r="C26" s="5">
        <f>IFERROR(__xludf.DUMMYFUNCTION("""COMPUTED_VALUE"""),44612.95663194444)</f>
        <v>44612.95663</v>
      </c>
      <c r="D26" s="4" t="str">
        <f>IFERROR(__xludf.DUMMYFUNCTION("""COMPUTED_VALUE"""),"RESOLVED")</f>
        <v>RESOLVED</v>
      </c>
      <c r="E26" s="6">
        <f>IFERROR(__xludf.DUMMYFUNCTION("""COMPUTED_VALUE"""),44704.73465277778)</f>
        <v>44704.73465</v>
      </c>
      <c r="F26" s="4" t="str">
        <f>IFERROR(__xludf.DUMMYFUNCTION("""COMPUTED_VALUE""")," ---")</f>
        <v> ---</v>
      </c>
      <c r="G26" s="4" t="str">
        <f>IFERROR(__xludf.DUMMYFUNCTION("""COMPUTED_VALUE"""),"PUBLIC SUSE Linux Enterprise Server 15 SP4")</f>
        <v>PUBLIC SUSE Linux Enterprise Server 15 SP4</v>
      </c>
      <c r="H26" s="7" t="str">
        <f t="shared" si="3"/>
        <v>NO</v>
      </c>
      <c r="I26" s="7" t="str">
        <f t="shared" si="2"/>
        <v>NO</v>
      </c>
    </row>
    <row r="27">
      <c r="A27" s="4">
        <f>IFERROR(__xludf.DUMMYFUNCTION("""COMPUTED_VALUE"""),1196802.0)</f>
        <v>1196802</v>
      </c>
      <c r="B27" s="4" t="str">
        <f>IFERROR(__xludf.DUMMYFUNCTION("""COMPUTED_VALUE"""),"P1 - Urgent")</f>
        <v>P1 - Urgent</v>
      </c>
      <c r="C27" s="5">
        <f>IFERROR(__xludf.DUMMYFUNCTION("""COMPUTED_VALUE"""),44626.68981481482)</f>
        <v>44626.68981</v>
      </c>
      <c r="D27" s="4" t="str">
        <f>IFERROR(__xludf.DUMMYFUNCTION("""COMPUTED_VALUE"""),"RESOLVED")</f>
        <v>RESOLVED</v>
      </c>
      <c r="E27" s="6">
        <f>IFERROR(__xludf.DUMMYFUNCTION("""COMPUTED_VALUE"""),44668.49922453704)</f>
        <v>44668.49922</v>
      </c>
      <c r="F27" s="4" t="str">
        <f>IFERROR(__xludf.DUMMYFUNCTION("""COMPUTED_VALUE""")," ---")</f>
        <v> ---</v>
      </c>
      <c r="G27" s="4" t="str">
        <f>IFERROR(__xludf.DUMMYFUNCTION("""COMPUTED_VALUE"""),"PUBLIC SUSE Linux Enterprise Server 15 SP4")</f>
        <v>PUBLIC SUSE Linux Enterprise Server 15 SP4</v>
      </c>
      <c r="H27" s="7" t="str">
        <f t="shared" si="3"/>
        <v>NO</v>
      </c>
      <c r="I27" s="7" t="str">
        <f t="shared" si="2"/>
        <v>NO</v>
      </c>
    </row>
    <row r="28">
      <c r="A28" s="4">
        <f>IFERROR(__xludf.DUMMYFUNCTION("""COMPUTED_VALUE"""),1197254.0)</f>
        <v>1197254</v>
      </c>
      <c r="B28" s="4" t="str">
        <f>IFERROR(__xludf.DUMMYFUNCTION("""COMPUTED_VALUE"""),"P1 - Urgent")</f>
        <v>P1 - Urgent</v>
      </c>
      <c r="C28" s="5">
        <f>IFERROR(__xludf.DUMMYFUNCTION("""COMPUTED_VALUE"""),44637.716145833336)</f>
        <v>44637.71615</v>
      </c>
      <c r="D28" s="4" t="str">
        <f>IFERROR(__xludf.DUMMYFUNCTION("""COMPUTED_VALUE"""),"RESOLVED")</f>
        <v>RESOLVED</v>
      </c>
      <c r="E28" s="6">
        <f>IFERROR(__xludf.DUMMYFUNCTION("""COMPUTED_VALUE"""),44674.285092592596)</f>
        <v>44674.28509</v>
      </c>
      <c r="F28" s="4" t="str">
        <f>IFERROR(__xludf.DUMMYFUNCTION("""COMPUTED_VALUE""")," ---")</f>
        <v> ---</v>
      </c>
      <c r="G28" s="4" t="str">
        <f>IFERROR(__xludf.DUMMYFUNCTION("""COMPUTED_VALUE"""),"SUSE Linux Enterprise Server 15 SP4")</f>
        <v>SUSE Linux Enterprise Server 15 SP4</v>
      </c>
      <c r="H28" s="7" t="str">
        <f t="shared" si="3"/>
        <v>NO</v>
      </c>
      <c r="I28" s="7" t="str">
        <f t="shared" si="2"/>
        <v>NO</v>
      </c>
    </row>
    <row r="29">
      <c r="A29" s="4">
        <f>IFERROR(__xludf.DUMMYFUNCTION("""COMPUTED_VALUE"""),1197287.0)</f>
        <v>1197287</v>
      </c>
      <c r="B29" s="4" t="str">
        <f>IFERROR(__xludf.DUMMYFUNCTION("""COMPUTED_VALUE"""),"P1 - Urgent")</f>
        <v>P1 - Urgent</v>
      </c>
      <c r="C29" s="5">
        <f>IFERROR(__xludf.DUMMYFUNCTION("""COMPUTED_VALUE"""),44638.51892361111)</f>
        <v>44638.51892</v>
      </c>
      <c r="D29" s="4" t="str">
        <f>IFERROR(__xludf.DUMMYFUNCTION("""COMPUTED_VALUE"""),"RESOLVED")</f>
        <v>RESOLVED</v>
      </c>
      <c r="E29" s="6">
        <f>IFERROR(__xludf.DUMMYFUNCTION("""COMPUTED_VALUE"""),44668.50011574074)</f>
        <v>44668.50012</v>
      </c>
      <c r="F29" s="4" t="str">
        <f>IFERROR(__xludf.DUMMYFUNCTION("""COMPUTED_VALUE""")," ---")</f>
        <v> ---</v>
      </c>
      <c r="G29" s="4" t="str">
        <f>IFERROR(__xludf.DUMMYFUNCTION("""COMPUTED_VALUE"""),"PUBLIC SUSE Linux Enterprise Server 15 SP4")</f>
        <v>PUBLIC SUSE Linux Enterprise Server 15 SP4</v>
      </c>
      <c r="H29" s="7" t="str">
        <f t="shared" si="3"/>
        <v>NO</v>
      </c>
      <c r="I29" s="7" t="str">
        <f t="shared" si="2"/>
        <v>NO</v>
      </c>
    </row>
    <row r="30">
      <c r="A30" s="4">
        <f>IFERROR(__xludf.DUMMYFUNCTION("""COMPUTED_VALUE"""),1198240.0)</f>
        <v>1198240</v>
      </c>
      <c r="B30" s="4" t="str">
        <f>IFERROR(__xludf.DUMMYFUNCTION("""COMPUTED_VALUE"""),"P1 - Urgent")</f>
        <v>P1 - Urgent</v>
      </c>
      <c r="C30" s="5">
        <f>IFERROR(__xludf.DUMMYFUNCTION("""COMPUTED_VALUE"""),44659.40190972222)</f>
        <v>44659.40191</v>
      </c>
      <c r="D30" s="4" t="str">
        <f>IFERROR(__xludf.DUMMYFUNCTION("""COMPUTED_VALUE"""),"RESOLVED")</f>
        <v>RESOLVED</v>
      </c>
      <c r="E30" s="6">
        <f>IFERROR(__xludf.DUMMYFUNCTION("""COMPUTED_VALUE"""),44699.26091435185)</f>
        <v>44699.26091</v>
      </c>
      <c r="F30" s="4" t="str">
        <f>IFERROR(__xludf.DUMMYFUNCTION("""COMPUTED_VALUE""")," ---")</f>
        <v> ---</v>
      </c>
      <c r="G30" s="4" t="str">
        <f>IFERROR(__xludf.DUMMYFUNCTION("""COMPUTED_VALUE"""),"SUSE Linux Enterprise Server 15 SP4")</f>
        <v>SUSE Linux Enterprise Server 15 SP4</v>
      </c>
      <c r="H30" s="7" t="str">
        <f t="shared" si="3"/>
        <v>NO</v>
      </c>
      <c r="I30" s="7" t="str">
        <f t="shared" si="2"/>
        <v>NO</v>
      </c>
    </row>
    <row r="31">
      <c r="A31" s="4">
        <f>IFERROR(__xludf.DUMMYFUNCTION("""COMPUTED_VALUE"""),1199405.0)</f>
        <v>1199405</v>
      </c>
      <c r="B31" s="4" t="str">
        <f>IFERROR(__xludf.DUMMYFUNCTION("""COMPUTED_VALUE"""),"P1 - Urgent")</f>
        <v>P1 - Urgent</v>
      </c>
      <c r="C31" s="5">
        <f>IFERROR(__xludf.DUMMYFUNCTION("""COMPUTED_VALUE"""),44691.670752314814)</f>
        <v>44691.67075</v>
      </c>
      <c r="D31" s="4" t="str">
        <f>IFERROR(__xludf.DUMMYFUNCTION("""COMPUTED_VALUE"""),"RESOLVED")</f>
        <v>RESOLVED</v>
      </c>
      <c r="E31" s="6">
        <f>IFERROR(__xludf.DUMMYFUNCTION("""COMPUTED_VALUE"""),44699.26123842593)</f>
        <v>44699.26124</v>
      </c>
      <c r="F31" s="4" t="str">
        <f>IFERROR(__xludf.DUMMYFUNCTION("""COMPUTED_VALUE""")," ---")</f>
        <v> ---</v>
      </c>
      <c r="G31" s="4" t="str">
        <f>IFERROR(__xludf.DUMMYFUNCTION("""COMPUTED_VALUE"""),"SUSE Linux Enterprise Server 15 SP4")</f>
        <v>SUSE Linux Enterprise Server 15 SP4</v>
      </c>
      <c r="H31" s="7" t="str">
        <f t="shared" si="3"/>
        <v>NO</v>
      </c>
      <c r="I31" s="7" t="str">
        <f t="shared" si="2"/>
        <v>NO</v>
      </c>
    </row>
    <row r="32">
      <c r="A32" s="4">
        <f>IFERROR(__xludf.DUMMYFUNCTION("""COMPUTED_VALUE"""),1195851.0)</f>
        <v>1195851</v>
      </c>
      <c r="B32" s="4" t="str">
        <f>IFERROR(__xludf.DUMMYFUNCTION("""COMPUTED_VALUE"""),"P1 - Urgent")</f>
        <v>P1 - Urgent</v>
      </c>
      <c r="C32" s="5">
        <f>IFERROR(__xludf.DUMMYFUNCTION("""COMPUTED_VALUE"""),44603.78627314815)</f>
        <v>44603.78627</v>
      </c>
      <c r="D32" s="4" t="str">
        <f>IFERROR(__xludf.DUMMYFUNCTION("""COMPUTED_VALUE"""),"RESOLVED")</f>
        <v>RESOLVED</v>
      </c>
      <c r="E32" s="6">
        <f>IFERROR(__xludf.DUMMYFUNCTION("""COMPUTED_VALUE"""),44623.62186342593)</f>
        <v>44623.62186</v>
      </c>
      <c r="F32" s="4" t="str">
        <f>IFERROR(__xludf.DUMMYFUNCTION("""COMPUTED_VALUE""")," ---")</f>
        <v> ---</v>
      </c>
      <c r="G32" s="4" t="str">
        <f>IFERROR(__xludf.DUMMYFUNCTION("""COMPUTED_VALUE"""),"PUBLIC SUSE Linux Enterprise Server 15 SP4")</f>
        <v>PUBLIC SUSE Linux Enterprise Server 15 SP4</v>
      </c>
      <c r="H32" s="7" t="str">
        <f t="shared" si="3"/>
        <v>NO</v>
      </c>
      <c r="I32" s="7" t="str">
        <f t="shared" si="2"/>
        <v>NO</v>
      </c>
    </row>
    <row r="33">
      <c r="A33" s="4">
        <f>IFERROR(__xludf.DUMMYFUNCTION("""COMPUTED_VALUE"""),1197685.0)</f>
        <v>1197685</v>
      </c>
      <c r="B33" s="4" t="str">
        <f>IFERROR(__xludf.DUMMYFUNCTION("""COMPUTED_VALUE"""),"P1 - Urgent")</f>
        <v>P1 - Urgent</v>
      </c>
      <c r="C33" s="5">
        <f>IFERROR(__xludf.DUMMYFUNCTION("""COMPUTED_VALUE"""),44650.3506712963)</f>
        <v>44650.35067</v>
      </c>
      <c r="D33" s="4" t="str">
        <f>IFERROR(__xludf.DUMMYFUNCTION("""COMPUTED_VALUE"""),"RESOLVED")</f>
        <v>RESOLVED</v>
      </c>
      <c r="E33" s="6">
        <f>IFERROR(__xludf.DUMMYFUNCTION("""COMPUTED_VALUE"""),44677.511666666665)</f>
        <v>44677.51167</v>
      </c>
      <c r="F33" s="4" t="str">
        <f>IFERROR(__xludf.DUMMYFUNCTION("""COMPUTED_VALUE"""),"Yes")</f>
        <v>Yes</v>
      </c>
      <c r="G33" s="4" t="str">
        <f>IFERROR(__xludf.DUMMYFUNCTION("""COMPUTED_VALUE"""),"PUBLIC SUSE Linux Enterprise Server 15 SP4")</f>
        <v>PUBLIC SUSE Linux Enterprise Server 15 SP4</v>
      </c>
      <c r="H33" s="7" t="str">
        <f t="shared" si="3"/>
        <v>NO</v>
      </c>
      <c r="I33" s="7" t="str">
        <f t="shared" si="2"/>
        <v>NO</v>
      </c>
    </row>
    <row r="34">
      <c r="A34" s="4">
        <f>IFERROR(__xludf.DUMMYFUNCTION("""COMPUTED_VALUE"""),1195346.0)</f>
        <v>1195346</v>
      </c>
      <c r="B34" s="4" t="str">
        <f>IFERROR(__xludf.DUMMYFUNCTION("""COMPUTED_VALUE"""),"P1 - Urgent")</f>
        <v>P1 - Urgent</v>
      </c>
      <c r="C34" s="5">
        <f>IFERROR(__xludf.DUMMYFUNCTION("""COMPUTED_VALUE"""),44592.54207175926)</f>
        <v>44592.54207</v>
      </c>
      <c r="D34" s="4" t="str">
        <f>IFERROR(__xludf.DUMMYFUNCTION("""COMPUTED_VALUE"""),"RESOLVED")</f>
        <v>RESOLVED</v>
      </c>
      <c r="E34" s="6">
        <f>IFERROR(__xludf.DUMMYFUNCTION("""COMPUTED_VALUE"""),44668.49796296296)</f>
        <v>44668.49796</v>
      </c>
      <c r="F34" s="4" t="str">
        <f>IFERROR(__xludf.DUMMYFUNCTION("""COMPUTED_VALUE""")," ---")</f>
        <v> ---</v>
      </c>
      <c r="G34" s="4" t="str">
        <f>IFERROR(__xludf.DUMMYFUNCTION("""COMPUTED_VALUE"""),"SUSE Linux Enterprise Server 15 SP4")</f>
        <v>SUSE Linux Enterprise Server 15 SP4</v>
      </c>
      <c r="H34" s="7" t="str">
        <f t="shared" si="3"/>
        <v>NO</v>
      </c>
      <c r="I34" s="7" t="str">
        <f t="shared" si="2"/>
        <v>YES</v>
      </c>
    </row>
    <row r="35">
      <c r="A35" s="4">
        <f>IFERROR(__xludf.DUMMYFUNCTION("""COMPUTED_VALUE"""),1192837.0)</f>
        <v>1192837</v>
      </c>
      <c r="B35" s="4" t="str">
        <f>IFERROR(__xludf.DUMMYFUNCTION("""COMPUTED_VALUE"""),"P1 - Urgent")</f>
        <v>P1 - Urgent</v>
      </c>
      <c r="C35" s="5">
        <f>IFERROR(__xludf.DUMMYFUNCTION("""COMPUTED_VALUE"""),44518.61607638889)</f>
        <v>44518.61608</v>
      </c>
      <c r="D35" s="4" t="str">
        <f>IFERROR(__xludf.DUMMYFUNCTION("""COMPUTED_VALUE"""),"RESOLVED")</f>
        <v>RESOLVED</v>
      </c>
      <c r="E35" s="6">
        <f>IFERROR(__xludf.DUMMYFUNCTION("""COMPUTED_VALUE"""),44668.49396990741)</f>
        <v>44668.49397</v>
      </c>
      <c r="F35" s="4" t="str">
        <f>IFERROR(__xludf.DUMMYFUNCTION("""COMPUTED_VALUE""")," ---")</f>
        <v> ---</v>
      </c>
      <c r="G35" s="4" t="str">
        <f>IFERROR(__xludf.DUMMYFUNCTION("""COMPUTED_VALUE"""),"SUSE Linux Enterprise Server 15 SP4")</f>
        <v>SUSE Linux Enterprise Server 15 SP4</v>
      </c>
      <c r="H35" s="7" t="str">
        <f t="shared" si="3"/>
        <v>NO</v>
      </c>
      <c r="I35" s="7" t="str">
        <f t="shared" si="2"/>
        <v>NO</v>
      </c>
    </row>
    <row r="36">
      <c r="A36" s="4">
        <f>IFERROR(__xludf.DUMMYFUNCTION("""COMPUTED_VALUE"""),1190812.0)</f>
        <v>1190812</v>
      </c>
      <c r="B36" s="4" t="str">
        <f>IFERROR(__xludf.DUMMYFUNCTION("""COMPUTED_VALUE"""),"P1 - Urgent")</f>
        <v>P1 - Urgent</v>
      </c>
      <c r="C36" s="5">
        <f>IFERROR(__xludf.DUMMYFUNCTION("""COMPUTED_VALUE"""),44462.348125)</f>
        <v>44462.34813</v>
      </c>
      <c r="D36" s="4" t="str">
        <f>IFERROR(__xludf.DUMMYFUNCTION("""COMPUTED_VALUE"""),"RESOLVED")</f>
        <v>RESOLVED</v>
      </c>
      <c r="E36" s="6">
        <f>IFERROR(__xludf.DUMMYFUNCTION("""COMPUTED_VALUE"""),44704.455)</f>
        <v>44704.455</v>
      </c>
      <c r="F36" s="4" t="str">
        <f>IFERROR(__xludf.DUMMYFUNCTION("""COMPUTED_VALUE""")," ---")</f>
        <v> ---</v>
      </c>
      <c r="G36" s="4" t="str">
        <f>IFERROR(__xludf.DUMMYFUNCTION("""COMPUTED_VALUE"""),"SUSE Linux Enterprise Server 15 SP4")</f>
        <v>SUSE Linux Enterprise Server 15 SP4</v>
      </c>
      <c r="H36" s="7" t="str">
        <f t="shared" si="3"/>
        <v>NO</v>
      </c>
      <c r="I36" s="7" t="str">
        <f t="shared" si="2"/>
        <v>NO</v>
      </c>
    </row>
    <row r="37">
      <c r="A37" s="4">
        <f>IFERROR(__xludf.DUMMYFUNCTION("""COMPUTED_VALUE"""),1194579.0)</f>
        <v>1194579</v>
      </c>
      <c r="B37" s="4" t="str">
        <f>IFERROR(__xludf.DUMMYFUNCTION("""COMPUTED_VALUE"""),"P1 - Urgent")</f>
        <v>P1 - Urgent</v>
      </c>
      <c r="C37" s="5">
        <f>IFERROR(__xludf.DUMMYFUNCTION("""COMPUTED_VALUE"""),44573.41006944444)</f>
        <v>44573.41007</v>
      </c>
      <c r="D37" s="4" t="str">
        <f>IFERROR(__xludf.DUMMYFUNCTION("""COMPUTED_VALUE"""),"RESOLVED")</f>
        <v>RESOLVED</v>
      </c>
      <c r="E37" s="6">
        <f>IFERROR(__xludf.DUMMYFUNCTION("""COMPUTED_VALUE"""),44623.57371527778)</f>
        <v>44623.57372</v>
      </c>
      <c r="F37" s="4" t="str">
        <f>IFERROR(__xludf.DUMMYFUNCTION("""COMPUTED_VALUE""")," ---")</f>
        <v> ---</v>
      </c>
      <c r="G37" s="4" t="str">
        <f>IFERROR(__xludf.DUMMYFUNCTION("""COMPUTED_VALUE"""),"SUSE Linux Enterprise Desktop 15 SP4")</f>
        <v>SUSE Linux Enterprise Desktop 15 SP4</v>
      </c>
      <c r="H37" s="7" t="str">
        <f t="shared" si="3"/>
        <v>NO</v>
      </c>
      <c r="I37" s="7" t="str">
        <f t="shared" si="2"/>
        <v>NO</v>
      </c>
    </row>
    <row r="38">
      <c r="A38" s="4">
        <f>IFERROR(__xludf.DUMMYFUNCTION("""COMPUTED_VALUE"""),1195293.0)</f>
        <v>1195293</v>
      </c>
      <c r="B38" s="4" t="str">
        <f>IFERROR(__xludf.DUMMYFUNCTION("""COMPUTED_VALUE"""),"P1 - Urgent")</f>
        <v>P1 - Urgent</v>
      </c>
      <c r="C38" s="5">
        <f>IFERROR(__xludf.DUMMYFUNCTION("""COMPUTED_VALUE"""),44589.86834490741)</f>
        <v>44589.86834</v>
      </c>
      <c r="D38" s="4" t="str">
        <f>IFERROR(__xludf.DUMMYFUNCTION("""COMPUTED_VALUE"""),"RESOLVED")</f>
        <v>RESOLVED</v>
      </c>
      <c r="E38" s="6">
        <f>IFERROR(__xludf.DUMMYFUNCTION("""COMPUTED_VALUE"""),44613.72605324074)</f>
        <v>44613.72605</v>
      </c>
      <c r="F38" s="4" t="str">
        <f>IFERROR(__xludf.DUMMYFUNCTION("""COMPUTED_VALUE""")," ---")</f>
        <v> ---</v>
      </c>
      <c r="G38" s="4" t="str">
        <f>IFERROR(__xludf.DUMMYFUNCTION("""COMPUTED_VALUE"""),"SUSE Linux Enterprise Server 15 SP4")</f>
        <v>SUSE Linux Enterprise Server 15 SP4</v>
      </c>
      <c r="H38" s="7" t="str">
        <f t="shared" si="3"/>
        <v>NO</v>
      </c>
      <c r="I38" s="7" t="str">
        <f t="shared" si="2"/>
        <v>NO</v>
      </c>
    </row>
    <row r="39">
      <c r="A39" s="4">
        <f>IFERROR(__xludf.DUMMYFUNCTION("""COMPUTED_VALUE"""),1197174.0)</f>
        <v>1197174</v>
      </c>
      <c r="B39" s="4" t="str">
        <f>IFERROR(__xludf.DUMMYFUNCTION("""COMPUTED_VALUE"""),"P1 - Urgent")</f>
        <v>P1 - Urgent</v>
      </c>
      <c r="C39" s="5">
        <f>IFERROR(__xludf.DUMMYFUNCTION("""COMPUTED_VALUE"""),44636.43168981482)</f>
        <v>44636.43169</v>
      </c>
      <c r="D39" s="4" t="str">
        <f>IFERROR(__xludf.DUMMYFUNCTION("""COMPUTED_VALUE"""),"RESOLVED")</f>
        <v>RESOLVED</v>
      </c>
      <c r="E39" s="6">
        <f>IFERROR(__xludf.DUMMYFUNCTION("""COMPUTED_VALUE"""),44685.439247685186)</f>
        <v>44685.43925</v>
      </c>
      <c r="F39" s="4" t="str">
        <f>IFERROR(__xludf.DUMMYFUNCTION("""COMPUTED_VALUE"""),"Yes")</f>
        <v>Yes</v>
      </c>
      <c r="G39" s="4" t="str">
        <f>IFERROR(__xludf.DUMMYFUNCTION("""COMPUTED_VALUE"""),"SUSE Linux Enterprise Server 15 SP4")</f>
        <v>SUSE Linux Enterprise Server 15 SP4</v>
      </c>
      <c r="H39" s="7" t="str">
        <f t="shared" si="3"/>
        <v>NO</v>
      </c>
      <c r="I39" s="7" t="str">
        <f t="shared" si="2"/>
        <v>NO</v>
      </c>
    </row>
    <row r="40">
      <c r="A40" s="4">
        <f>IFERROR(__xludf.DUMMYFUNCTION("""COMPUTED_VALUE"""),1199124.0)</f>
        <v>1199124</v>
      </c>
      <c r="B40" s="4" t="str">
        <f>IFERROR(__xludf.DUMMYFUNCTION("""COMPUTED_VALUE"""),"P1 - Urgent")</f>
        <v>P1 - Urgent</v>
      </c>
      <c r="C40" s="5">
        <f>IFERROR(__xludf.DUMMYFUNCTION("""COMPUTED_VALUE"""),44684.164664351854)</f>
        <v>44684.16466</v>
      </c>
      <c r="D40" s="4" t="str">
        <f>IFERROR(__xludf.DUMMYFUNCTION("""COMPUTED_VALUE"""),"RESOLVED")</f>
        <v>RESOLVED</v>
      </c>
      <c r="E40" s="6">
        <f>IFERROR(__xludf.DUMMYFUNCTION("""COMPUTED_VALUE"""),44693.337534722225)</f>
        <v>44693.33753</v>
      </c>
      <c r="F40" s="4" t="str">
        <f>IFERROR(__xludf.DUMMYFUNCTION("""COMPUTED_VALUE""")," ---")</f>
        <v> ---</v>
      </c>
      <c r="G40" s="4" t="str">
        <f>IFERROR(__xludf.DUMMYFUNCTION("""COMPUTED_VALUE"""),"SUSE Linux Enterprise Server 15 SP4")</f>
        <v>SUSE Linux Enterprise Server 15 SP4</v>
      </c>
      <c r="H40" s="7" t="str">
        <f t="shared" si="3"/>
        <v>NO</v>
      </c>
      <c r="I40" s="7" t="str">
        <f t="shared" si="2"/>
        <v>NO</v>
      </c>
    </row>
    <row r="41">
      <c r="A41" s="4">
        <f>IFERROR(__xludf.DUMMYFUNCTION("""COMPUTED_VALUE"""),1199173.0)</f>
        <v>1199173</v>
      </c>
      <c r="B41" s="4" t="str">
        <f>IFERROR(__xludf.DUMMYFUNCTION("""COMPUTED_VALUE"""),"P1 - Urgent")</f>
        <v>P1 - Urgent</v>
      </c>
      <c r="C41" s="5">
        <f>IFERROR(__xludf.DUMMYFUNCTION("""COMPUTED_VALUE"""),44685.17420138889)</f>
        <v>44685.1742</v>
      </c>
      <c r="D41" s="4" t="str">
        <f>IFERROR(__xludf.DUMMYFUNCTION("""COMPUTED_VALUE"""),"RESOLVED")</f>
        <v>RESOLVED</v>
      </c>
      <c r="E41" s="6">
        <f>IFERROR(__xludf.DUMMYFUNCTION("""COMPUTED_VALUE"""),44736.47126157407)</f>
        <v>44736.47126</v>
      </c>
      <c r="F41" s="4" t="str">
        <f>IFERROR(__xludf.DUMMYFUNCTION("""COMPUTED_VALUE""")," ---")</f>
        <v> ---</v>
      </c>
      <c r="G41" s="4" t="str">
        <f>IFERROR(__xludf.DUMMYFUNCTION("""COMPUTED_VALUE"""),"SUSE Linux Enterprise Server 15 SP4")</f>
        <v>SUSE Linux Enterprise Server 15 SP4</v>
      </c>
      <c r="H41" s="7" t="str">
        <f t="shared" si="3"/>
        <v>NO</v>
      </c>
      <c r="I41" s="7" t="str">
        <f t="shared" si="2"/>
        <v>NO</v>
      </c>
    </row>
    <row r="42">
      <c r="A42" s="4">
        <f>IFERROR(__xludf.DUMMYFUNCTION("""COMPUTED_VALUE"""),1193505.0)</f>
        <v>1193505</v>
      </c>
      <c r="B42" s="4" t="str">
        <f>IFERROR(__xludf.DUMMYFUNCTION("""COMPUTED_VALUE"""),"P1 - Urgent")</f>
        <v>P1 - Urgent</v>
      </c>
      <c r="C42" s="5">
        <f>IFERROR(__xludf.DUMMYFUNCTION("""COMPUTED_VALUE"""),44538.16469907408)</f>
        <v>44538.1647</v>
      </c>
      <c r="D42" s="4" t="str">
        <f>IFERROR(__xludf.DUMMYFUNCTION("""COMPUTED_VALUE"""),"RESOLVED")</f>
        <v>RESOLVED</v>
      </c>
      <c r="E42" s="6">
        <f>IFERROR(__xludf.DUMMYFUNCTION("""COMPUTED_VALUE"""),44609.059432870374)</f>
        <v>44609.05943</v>
      </c>
      <c r="F42" s="4" t="str">
        <f>IFERROR(__xludf.DUMMYFUNCTION("""COMPUTED_VALUE""")," ---")</f>
        <v> ---</v>
      </c>
      <c r="G42" s="4" t="str">
        <f>IFERROR(__xludf.DUMMYFUNCTION("""COMPUTED_VALUE"""),"SUSE Linux Enterprise Server 15 SP4")</f>
        <v>SUSE Linux Enterprise Server 15 SP4</v>
      </c>
      <c r="H42" s="7" t="str">
        <f t="shared" si="3"/>
        <v>NO</v>
      </c>
      <c r="I42" s="7" t="str">
        <f t="shared" si="2"/>
        <v>NO</v>
      </c>
    </row>
    <row r="43">
      <c r="A43" s="4">
        <f>IFERROR(__xludf.DUMMYFUNCTION("""COMPUTED_VALUE"""),1190359.0)</f>
        <v>1190359</v>
      </c>
      <c r="B43" s="4" t="str">
        <f>IFERROR(__xludf.DUMMYFUNCTION("""COMPUTED_VALUE"""),"P1 - Urgent")</f>
        <v>P1 - Urgent</v>
      </c>
      <c r="C43" s="5">
        <f>IFERROR(__xludf.DUMMYFUNCTION("""COMPUTED_VALUE"""),44448.93375)</f>
        <v>44448.93375</v>
      </c>
      <c r="D43" s="4" t="str">
        <f>IFERROR(__xludf.DUMMYFUNCTION("""COMPUTED_VALUE"""),"RESOLVED")</f>
        <v>RESOLVED</v>
      </c>
      <c r="E43" s="6">
        <f>IFERROR(__xludf.DUMMYFUNCTION("""COMPUTED_VALUE"""),44465.11238425926)</f>
        <v>44465.11238</v>
      </c>
      <c r="F43" s="4" t="str">
        <f>IFERROR(__xludf.DUMMYFUNCTION("""COMPUTED_VALUE""")," ---")</f>
        <v> ---</v>
      </c>
      <c r="G43" s="4" t="str">
        <f>IFERROR(__xludf.DUMMYFUNCTION("""COMPUTED_VALUE"""),"SUSE Linux Enterprise Server 15 SP4")</f>
        <v>SUSE Linux Enterprise Server 15 SP4</v>
      </c>
      <c r="H43" s="7" t="str">
        <f t="shared" si="3"/>
        <v>NO</v>
      </c>
      <c r="I43" s="7" t="str">
        <f t="shared" si="2"/>
        <v>NO</v>
      </c>
    </row>
    <row r="44">
      <c r="A44" s="4">
        <f>IFERROR(__xludf.DUMMYFUNCTION("""COMPUTED_VALUE"""),1197291.0)</f>
        <v>1197291</v>
      </c>
      <c r="B44" s="4" t="str">
        <f>IFERROR(__xludf.DUMMYFUNCTION("""COMPUTED_VALUE"""),"P1 - Urgent")</f>
        <v>P1 - Urgent</v>
      </c>
      <c r="C44" s="5">
        <f>IFERROR(__xludf.DUMMYFUNCTION("""COMPUTED_VALUE"""),44638.59207175926)</f>
        <v>44638.59207</v>
      </c>
      <c r="D44" s="4" t="str">
        <f>IFERROR(__xludf.DUMMYFUNCTION("""COMPUTED_VALUE"""),"RESOLVED")</f>
        <v>RESOLVED</v>
      </c>
      <c r="E44" s="6">
        <f>IFERROR(__xludf.DUMMYFUNCTION("""COMPUTED_VALUE"""),44668.500185185185)</f>
        <v>44668.50019</v>
      </c>
      <c r="F44" s="4" t="str">
        <f>IFERROR(__xludf.DUMMYFUNCTION("""COMPUTED_VALUE""")," ---")</f>
        <v> ---</v>
      </c>
      <c r="G44" s="4" t="str">
        <f>IFERROR(__xludf.DUMMYFUNCTION("""COMPUTED_VALUE"""),"SUSE Linux Enterprise Server 15 SP4")</f>
        <v>SUSE Linux Enterprise Server 15 SP4</v>
      </c>
      <c r="H44" s="7" t="str">
        <f t="shared" si="3"/>
        <v>NO</v>
      </c>
      <c r="I44" s="7" t="str">
        <f t="shared" si="2"/>
        <v>NO</v>
      </c>
    </row>
    <row r="45">
      <c r="A45" s="4">
        <f>IFERROR(__xludf.DUMMYFUNCTION("""COMPUTED_VALUE"""),1197658.0)</f>
        <v>1197658</v>
      </c>
      <c r="B45" s="4" t="str">
        <f>IFERROR(__xludf.DUMMYFUNCTION("""COMPUTED_VALUE"""),"P1 - Urgent")</f>
        <v>P1 - Urgent</v>
      </c>
      <c r="C45" s="5">
        <f>IFERROR(__xludf.DUMMYFUNCTION("""COMPUTED_VALUE"""),44649.64690972222)</f>
        <v>44649.64691</v>
      </c>
      <c r="D45" s="4" t="str">
        <f>IFERROR(__xludf.DUMMYFUNCTION("""COMPUTED_VALUE"""),"RESOLVED")</f>
        <v>RESOLVED</v>
      </c>
      <c r="E45" s="6">
        <f>IFERROR(__xludf.DUMMYFUNCTION("""COMPUTED_VALUE"""),44668.50059027778)</f>
        <v>44668.50059</v>
      </c>
      <c r="F45" s="4" t="str">
        <f>IFERROR(__xludf.DUMMYFUNCTION("""COMPUTED_VALUE""")," ---")</f>
        <v> ---</v>
      </c>
      <c r="G45" s="4" t="str">
        <f>IFERROR(__xludf.DUMMYFUNCTION("""COMPUTED_VALUE"""),"SUSE Linux Enterprise Server 15 SP4")</f>
        <v>SUSE Linux Enterprise Server 15 SP4</v>
      </c>
      <c r="H45" s="7" t="str">
        <f t="shared" si="3"/>
        <v>NO</v>
      </c>
      <c r="I45" s="7" t="str">
        <f t="shared" si="2"/>
        <v>NO</v>
      </c>
    </row>
    <row r="46">
      <c r="A46" s="4">
        <f>IFERROR(__xludf.DUMMYFUNCTION("""COMPUTED_VALUE"""),1196589.0)</f>
        <v>1196589</v>
      </c>
      <c r="B46" s="4" t="str">
        <f>IFERROR(__xludf.DUMMYFUNCTION("""COMPUTED_VALUE"""),"P1 - Urgent")</f>
        <v>P1 - Urgent</v>
      </c>
      <c r="C46" s="5">
        <f>IFERROR(__xludf.DUMMYFUNCTION("""COMPUTED_VALUE"""),44621.41212962963)</f>
        <v>44621.41213</v>
      </c>
      <c r="D46" s="4" t="str">
        <f>IFERROR(__xludf.DUMMYFUNCTION("""COMPUTED_VALUE"""),"RESOLVED")</f>
        <v>RESOLVED</v>
      </c>
      <c r="E46" s="6">
        <f>IFERROR(__xludf.DUMMYFUNCTION("""COMPUTED_VALUE"""),44668.49909722222)</f>
        <v>44668.4991</v>
      </c>
      <c r="F46" s="4" t="str">
        <f>IFERROR(__xludf.DUMMYFUNCTION("""COMPUTED_VALUE""")," ---")</f>
        <v> ---</v>
      </c>
      <c r="G46" s="4" t="str">
        <f>IFERROR(__xludf.DUMMYFUNCTION("""COMPUTED_VALUE"""),"SUSE Linux Enterprise Server 15 SP4")</f>
        <v>SUSE Linux Enterprise Server 15 SP4</v>
      </c>
      <c r="H46" s="7" t="str">
        <f t="shared" si="3"/>
        <v>NO</v>
      </c>
      <c r="I46" s="7" t="str">
        <f t="shared" si="2"/>
        <v>NO</v>
      </c>
    </row>
    <row r="47">
      <c r="A47" s="4">
        <f>IFERROR(__xludf.DUMMYFUNCTION("""COMPUTED_VALUE"""),1190360.0)</f>
        <v>1190360</v>
      </c>
      <c r="B47" s="4" t="str">
        <f>IFERROR(__xludf.DUMMYFUNCTION("""COMPUTED_VALUE"""),"P1 - Urgent")</f>
        <v>P1 - Urgent</v>
      </c>
      <c r="C47" s="5">
        <f>IFERROR(__xludf.DUMMYFUNCTION("""COMPUTED_VALUE"""),44448.935891203706)</f>
        <v>44448.93589</v>
      </c>
      <c r="D47" s="4" t="str">
        <f>IFERROR(__xludf.DUMMYFUNCTION("""COMPUTED_VALUE"""),"RESOLVED")</f>
        <v>RESOLVED</v>
      </c>
      <c r="E47" s="6">
        <f>IFERROR(__xludf.DUMMYFUNCTION("""COMPUTED_VALUE"""),44538.66420138889)</f>
        <v>44538.6642</v>
      </c>
      <c r="F47" s="4" t="str">
        <f>IFERROR(__xludf.DUMMYFUNCTION("""COMPUTED_VALUE""")," ---")</f>
        <v> ---</v>
      </c>
      <c r="G47" s="4" t="str">
        <f>IFERROR(__xludf.DUMMYFUNCTION("""COMPUTED_VALUE"""),"SUSE Linux Enterprise Server 15 SP4")</f>
        <v>SUSE Linux Enterprise Server 15 SP4</v>
      </c>
      <c r="H47" s="7" t="str">
        <f t="shared" si="3"/>
        <v>NO</v>
      </c>
      <c r="I47" s="7" t="str">
        <f t="shared" si="2"/>
        <v>NO</v>
      </c>
    </row>
    <row r="48">
      <c r="A48" s="4">
        <f>IFERROR(__xludf.DUMMYFUNCTION("""COMPUTED_VALUE"""),1196275.0)</f>
        <v>1196275</v>
      </c>
      <c r="B48" s="4" t="str">
        <f>IFERROR(__xludf.DUMMYFUNCTION("""COMPUTED_VALUE"""),"P1 - Urgent")</f>
        <v>P1 - Urgent</v>
      </c>
      <c r="C48" s="5">
        <f>IFERROR(__xludf.DUMMYFUNCTION("""COMPUTED_VALUE"""),44614.337222222224)</f>
        <v>44614.33722</v>
      </c>
      <c r="D48" s="4" t="str">
        <f>IFERROR(__xludf.DUMMYFUNCTION("""COMPUTED_VALUE"""),"RESOLVED")</f>
        <v>RESOLVED</v>
      </c>
      <c r="E48" s="6">
        <f>IFERROR(__xludf.DUMMYFUNCTION("""COMPUTED_VALUE"""),44645.41672453703)</f>
        <v>44645.41672</v>
      </c>
      <c r="F48" s="4" t="str">
        <f>IFERROR(__xludf.DUMMYFUNCTION("""COMPUTED_VALUE""")," ---")</f>
        <v> ---</v>
      </c>
      <c r="G48" s="4" t="str">
        <f>IFERROR(__xludf.DUMMYFUNCTION("""COMPUTED_VALUE"""),"SUSE Linux Enterprise Server 15 SP4")</f>
        <v>SUSE Linux Enterprise Server 15 SP4</v>
      </c>
      <c r="H48" s="7" t="str">
        <f t="shared" si="3"/>
        <v>NO</v>
      </c>
      <c r="I48" s="7" t="str">
        <f t="shared" si="2"/>
        <v>NO</v>
      </c>
    </row>
    <row r="49">
      <c r="A49" s="4">
        <f>IFERROR(__xludf.DUMMYFUNCTION("""COMPUTED_VALUE"""),1190361.0)</f>
        <v>1190361</v>
      </c>
      <c r="B49" s="4" t="str">
        <f>IFERROR(__xludf.DUMMYFUNCTION("""COMPUTED_VALUE"""),"P1 - Urgent")</f>
        <v>P1 - Urgent</v>
      </c>
      <c r="C49" s="5">
        <f>IFERROR(__xludf.DUMMYFUNCTION("""COMPUTED_VALUE"""),44448.937685185185)</f>
        <v>44448.93769</v>
      </c>
      <c r="D49" s="4" t="str">
        <f>IFERROR(__xludf.DUMMYFUNCTION("""COMPUTED_VALUE"""),"RESOLVED")</f>
        <v>RESOLVED</v>
      </c>
      <c r="E49" s="6">
        <f>IFERROR(__xludf.DUMMYFUNCTION("""COMPUTED_VALUE"""),44538.46393518519)</f>
        <v>44538.46394</v>
      </c>
      <c r="F49" s="4" t="str">
        <f>IFERROR(__xludf.DUMMYFUNCTION("""COMPUTED_VALUE""")," ---")</f>
        <v> ---</v>
      </c>
      <c r="G49" s="4" t="str">
        <f>IFERROR(__xludf.DUMMYFUNCTION("""COMPUTED_VALUE"""),"SUSE Linux Enterprise Server 15 SP4")</f>
        <v>SUSE Linux Enterprise Server 15 SP4</v>
      </c>
      <c r="H49" s="7" t="str">
        <f t="shared" si="3"/>
        <v>NO</v>
      </c>
      <c r="I49" s="7" t="str">
        <f t="shared" si="2"/>
        <v>NO</v>
      </c>
    </row>
    <row r="50">
      <c r="A50" s="4">
        <f>IFERROR(__xludf.DUMMYFUNCTION("""COMPUTED_VALUE"""),1198595.0)</f>
        <v>1198595</v>
      </c>
      <c r="B50" s="4" t="str">
        <f>IFERROR(__xludf.DUMMYFUNCTION("""COMPUTED_VALUE"""),"P1 - Urgent")</f>
        <v>P1 - Urgent</v>
      </c>
      <c r="C50" s="5">
        <f>IFERROR(__xludf.DUMMYFUNCTION("""COMPUTED_VALUE"""),44670.36965277778)</f>
        <v>44670.36965</v>
      </c>
      <c r="D50" s="4" t="str">
        <f>IFERROR(__xludf.DUMMYFUNCTION("""COMPUTED_VALUE"""),"RESOLVED")</f>
        <v>RESOLVED</v>
      </c>
      <c r="E50" s="6">
        <f>IFERROR(__xludf.DUMMYFUNCTION("""COMPUTED_VALUE"""),44718.97574074074)</f>
        <v>44718.97574</v>
      </c>
      <c r="F50" s="4" t="str">
        <f>IFERROR(__xludf.DUMMYFUNCTION("""COMPUTED_VALUE""")," ---")</f>
        <v> ---</v>
      </c>
      <c r="G50" s="4" t="str">
        <f>IFERROR(__xludf.DUMMYFUNCTION("""COMPUTED_VALUE"""),"SUSE Linux Enterprise Server 15 SP4")</f>
        <v>SUSE Linux Enterprise Server 15 SP4</v>
      </c>
      <c r="H50" s="7" t="str">
        <f t="shared" si="3"/>
        <v>NO</v>
      </c>
      <c r="I50" s="7" t="str">
        <f t="shared" si="2"/>
        <v>NO</v>
      </c>
    </row>
    <row r="51">
      <c r="A51" s="4">
        <f>IFERROR(__xludf.DUMMYFUNCTION("""COMPUTED_VALUE"""),1195774.0)</f>
        <v>1195774</v>
      </c>
      <c r="B51" s="4" t="str">
        <f>IFERROR(__xludf.DUMMYFUNCTION("""COMPUTED_VALUE"""),"P1 - Urgent")</f>
        <v>P1 - Urgent</v>
      </c>
      <c r="C51" s="5">
        <f>IFERROR(__xludf.DUMMYFUNCTION("""COMPUTED_VALUE"""),44602.46364583333)</f>
        <v>44602.46365</v>
      </c>
      <c r="D51" s="4" t="str">
        <f>IFERROR(__xludf.DUMMYFUNCTION("""COMPUTED_VALUE"""),"RESOLVED")</f>
        <v>RESOLVED</v>
      </c>
      <c r="E51" s="6">
        <f>IFERROR(__xludf.DUMMYFUNCTION("""COMPUTED_VALUE"""),44668.49842592593)</f>
        <v>44668.49843</v>
      </c>
      <c r="F51" s="4" t="str">
        <f>IFERROR(__xludf.DUMMYFUNCTION("""COMPUTED_VALUE""")," ---")</f>
        <v> ---</v>
      </c>
      <c r="G51" s="4" t="str">
        <f>IFERROR(__xludf.DUMMYFUNCTION("""COMPUTED_VALUE"""),"SUSE Linux Enterprise Server 15 SP4")</f>
        <v>SUSE Linux Enterprise Server 15 SP4</v>
      </c>
      <c r="H51" s="7" t="str">
        <f t="shared" si="3"/>
        <v>NO</v>
      </c>
      <c r="I51" s="7" t="str">
        <f t="shared" si="2"/>
        <v>NO</v>
      </c>
    </row>
    <row r="52">
      <c r="A52" s="4">
        <f>IFERROR(__xludf.DUMMYFUNCTION("""COMPUTED_VALUE"""),1195224.0)</f>
        <v>1195224</v>
      </c>
      <c r="B52" s="4" t="str">
        <f>IFERROR(__xludf.DUMMYFUNCTION("""COMPUTED_VALUE"""),"P1 - Urgent")</f>
        <v>P1 - Urgent</v>
      </c>
      <c r="C52" s="5">
        <f>IFERROR(__xludf.DUMMYFUNCTION("""COMPUTED_VALUE"""),44588.64189814815)</f>
        <v>44588.6419</v>
      </c>
      <c r="D52" s="4" t="str">
        <f>IFERROR(__xludf.DUMMYFUNCTION("""COMPUTED_VALUE"""),"RESOLVED")</f>
        <v>RESOLVED</v>
      </c>
      <c r="E52" s="6">
        <f>IFERROR(__xludf.DUMMYFUNCTION("""COMPUTED_VALUE"""),44732.002071759256)</f>
        <v>44732.00207</v>
      </c>
      <c r="F52" s="4" t="str">
        <f>IFERROR(__xludf.DUMMYFUNCTION("""COMPUTED_VALUE""")," ---")</f>
        <v> ---</v>
      </c>
      <c r="G52" s="4" t="str">
        <f>IFERROR(__xludf.DUMMYFUNCTION("""COMPUTED_VALUE"""),"PUBLIC SUSE Linux Enterprise Server 15 SP4")</f>
        <v>PUBLIC SUSE Linux Enterprise Server 15 SP4</v>
      </c>
      <c r="H52" s="7" t="str">
        <f t="shared" si="3"/>
        <v>NO</v>
      </c>
      <c r="I52" s="7" t="str">
        <f t="shared" si="2"/>
        <v>NO</v>
      </c>
    </row>
    <row r="53">
      <c r="A53" s="4">
        <f>IFERROR(__xludf.DUMMYFUNCTION("""COMPUTED_VALUE"""),1193200.0)</f>
        <v>1193200</v>
      </c>
      <c r="B53" s="4" t="str">
        <f>IFERROR(__xludf.DUMMYFUNCTION("""COMPUTED_VALUE"""),"P1 - Urgent")</f>
        <v>P1 - Urgent</v>
      </c>
      <c r="C53" s="5">
        <f>IFERROR(__xludf.DUMMYFUNCTION("""COMPUTED_VALUE"""),44530.15268518519)</f>
        <v>44530.15269</v>
      </c>
      <c r="D53" s="4" t="str">
        <f>IFERROR(__xludf.DUMMYFUNCTION("""COMPUTED_VALUE"""),"RESOLVED")</f>
        <v>RESOLVED</v>
      </c>
      <c r="E53" s="6">
        <f>IFERROR(__xludf.DUMMYFUNCTION("""COMPUTED_VALUE"""),44668.49456018519)</f>
        <v>44668.49456</v>
      </c>
      <c r="F53" s="4" t="str">
        <f>IFERROR(__xludf.DUMMYFUNCTION("""COMPUTED_VALUE""")," ---")</f>
        <v> ---</v>
      </c>
      <c r="G53" s="4" t="str">
        <f>IFERROR(__xludf.DUMMYFUNCTION("""COMPUTED_VALUE"""),"SUSE Linux Enterprise Server 15 SP4")</f>
        <v>SUSE Linux Enterprise Server 15 SP4</v>
      </c>
      <c r="H53" s="7" t="str">
        <f t="shared" si="3"/>
        <v>NO</v>
      </c>
      <c r="I53" s="7" t="str">
        <f t="shared" si="2"/>
        <v>NO</v>
      </c>
    </row>
    <row r="54">
      <c r="A54" s="4">
        <f>IFERROR(__xludf.DUMMYFUNCTION("""COMPUTED_VALUE"""),1191206.0)</f>
        <v>1191206</v>
      </c>
      <c r="B54" s="4" t="str">
        <f>IFERROR(__xludf.DUMMYFUNCTION("""COMPUTED_VALUE"""),"P1 - Urgent")</f>
        <v>P1 - Urgent</v>
      </c>
      <c r="C54" s="5">
        <f>IFERROR(__xludf.DUMMYFUNCTION("""COMPUTED_VALUE"""),44470.281226851854)</f>
        <v>44470.28123</v>
      </c>
      <c r="D54" s="4" t="str">
        <f>IFERROR(__xludf.DUMMYFUNCTION("""COMPUTED_VALUE"""),"VERIFIED")</f>
        <v>VERIFIED</v>
      </c>
      <c r="E54" s="6">
        <f>IFERROR(__xludf.DUMMYFUNCTION("""COMPUTED_VALUE"""),44607.337326388886)</f>
        <v>44607.33733</v>
      </c>
      <c r="F54" s="4" t="str">
        <f>IFERROR(__xludf.DUMMYFUNCTION("""COMPUTED_VALUE"""),"Yes")</f>
        <v>Yes</v>
      </c>
      <c r="G54" s="4" t="str">
        <f>IFERROR(__xludf.DUMMYFUNCTION("""COMPUTED_VALUE"""),"SUSE Linux Enterprise Server 15 SP4")</f>
        <v>SUSE Linux Enterprise Server 15 SP4</v>
      </c>
      <c r="H54" s="7" t="str">
        <f t="shared" si="3"/>
        <v>NO</v>
      </c>
      <c r="I54" s="7" t="str">
        <f t="shared" si="2"/>
        <v>NO</v>
      </c>
    </row>
    <row r="55">
      <c r="A55" s="4">
        <f>IFERROR(__xludf.DUMMYFUNCTION("""COMPUTED_VALUE"""),1195501.0)</f>
        <v>1195501</v>
      </c>
      <c r="B55" s="4" t="str">
        <f>IFERROR(__xludf.DUMMYFUNCTION("""COMPUTED_VALUE"""),"P1 - Urgent")</f>
        <v>P1 - Urgent</v>
      </c>
      <c r="C55" s="5">
        <f>IFERROR(__xludf.DUMMYFUNCTION("""COMPUTED_VALUE"""),44595.48945601852)</f>
        <v>44595.48946</v>
      </c>
      <c r="D55" s="4" t="str">
        <f>IFERROR(__xludf.DUMMYFUNCTION("""COMPUTED_VALUE"""),"VERIFIED")</f>
        <v>VERIFIED</v>
      </c>
      <c r="E55" s="6">
        <f>IFERROR(__xludf.DUMMYFUNCTION("""COMPUTED_VALUE"""),44668.49821759259)</f>
        <v>44668.49822</v>
      </c>
      <c r="F55" s="4" t="str">
        <f>IFERROR(__xludf.DUMMYFUNCTION("""COMPUTED_VALUE""")," ---")</f>
        <v> ---</v>
      </c>
      <c r="G55" s="4" t="str">
        <f>IFERROR(__xludf.DUMMYFUNCTION("""COMPUTED_VALUE"""),"SUSE Linux Enterprise Server 15 SP4")</f>
        <v>SUSE Linux Enterprise Server 15 SP4</v>
      </c>
      <c r="H55" s="7" t="str">
        <f t="shared" si="3"/>
        <v>NO</v>
      </c>
      <c r="I55" s="7" t="str">
        <f t="shared" si="2"/>
        <v>YES</v>
      </c>
    </row>
    <row r="56">
      <c r="A56" s="4">
        <f>IFERROR(__xludf.DUMMYFUNCTION("""COMPUTED_VALUE"""),1198061.0)</f>
        <v>1198061</v>
      </c>
      <c r="B56" s="4" t="str">
        <f>IFERROR(__xludf.DUMMYFUNCTION("""COMPUTED_VALUE"""),"P1 - Urgent")</f>
        <v>P1 - Urgent</v>
      </c>
      <c r="C56" s="5">
        <f>IFERROR(__xludf.DUMMYFUNCTION("""COMPUTED_VALUE"""),44656.27721064815)</f>
        <v>44656.27721</v>
      </c>
      <c r="D56" s="4" t="str">
        <f>IFERROR(__xludf.DUMMYFUNCTION("""COMPUTED_VALUE"""),"VERIFIED")</f>
        <v>VERIFIED</v>
      </c>
      <c r="E56" s="6">
        <f>IFERROR(__xludf.DUMMYFUNCTION("""COMPUTED_VALUE"""),44683.28534722222)</f>
        <v>44683.28535</v>
      </c>
      <c r="F56" s="4" t="str">
        <f>IFERROR(__xludf.DUMMYFUNCTION("""COMPUTED_VALUE""")," ---")</f>
        <v> ---</v>
      </c>
      <c r="G56" s="4" t="str">
        <f>IFERROR(__xludf.DUMMYFUNCTION("""COMPUTED_VALUE"""),"PUBLIC SUSE Linux Enterprise Server 15 SP4")</f>
        <v>PUBLIC SUSE Linux Enterprise Server 15 SP4</v>
      </c>
      <c r="H56" s="7" t="str">
        <f t="shared" si="3"/>
        <v>NO</v>
      </c>
      <c r="I56" s="7" t="str">
        <f t="shared" si="2"/>
        <v>NO</v>
      </c>
    </row>
    <row r="57">
      <c r="A57" s="4">
        <f>IFERROR(__xludf.DUMMYFUNCTION("""COMPUTED_VALUE"""),1193353.0)</f>
        <v>1193353</v>
      </c>
      <c r="B57" s="4" t="str">
        <f>IFERROR(__xludf.DUMMYFUNCTION("""COMPUTED_VALUE"""),"P1 - Urgent")</f>
        <v>P1 - Urgent</v>
      </c>
      <c r="C57" s="5">
        <f>IFERROR(__xludf.DUMMYFUNCTION("""COMPUTED_VALUE"""),44533.27234953704)</f>
        <v>44533.27235</v>
      </c>
      <c r="D57" s="4" t="str">
        <f>IFERROR(__xludf.DUMMYFUNCTION("""COMPUTED_VALUE"""),"VERIFIED")</f>
        <v>VERIFIED</v>
      </c>
      <c r="E57" s="6">
        <f>IFERROR(__xludf.DUMMYFUNCTION("""COMPUTED_VALUE"""),44705.136030092595)</f>
        <v>44705.13603</v>
      </c>
      <c r="F57" s="4" t="str">
        <f>IFERROR(__xludf.DUMMYFUNCTION("""COMPUTED_VALUE""")," ---")</f>
        <v> ---</v>
      </c>
      <c r="G57" s="4" t="str">
        <f>IFERROR(__xludf.DUMMYFUNCTION("""COMPUTED_VALUE"""),"SUSE Linux Enterprise Server 15 SP4")</f>
        <v>SUSE Linux Enterprise Server 15 SP4</v>
      </c>
      <c r="H57" s="7" t="str">
        <f t="shared" si="3"/>
        <v>NO</v>
      </c>
      <c r="I57" s="7" t="str">
        <f t="shared" si="2"/>
        <v>NO</v>
      </c>
    </row>
    <row r="58">
      <c r="A58" s="4">
        <f>IFERROR(__xludf.DUMMYFUNCTION("""COMPUTED_VALUE"""),1197125.0)</f>
        <v>1197125</v>
      </c>
      <c r="B58" s="4" t="str">
        <f>IFERROR(__xludf.DUMMYFUNCTION("""COMPUTED_VALUE"""),"P1 - Urgent")</f>
        <v>P1 - Urgent</v>
      </c>
      <c r="C58" s="5">
        <f>IFERROR(__xludf.DUMMYFUNCTION("""COMPUTED_VALUE"""),44635.50109953704)</f>
        <v>44635.5011</v>
      </c>
      <c r="D58" s="4" t="str">
        <f>IFERROR(__xludf.DUMMYFUNCTION("""COMPUTED_VALUE"""),"VERIFIED")</f>
        <v>VERIFIED</v>
      </c>
      <c r="E58" s="6">
        <f>IFERROR(__xludf.DUMMYFUNCTION("""COMPUTED_VALUE"""),44713.61090277778)</f>
        <v>44713.6109</v>
      </c>
      <c r="F58" s="4" t="str">
        <f>IFERROR(__xludf.DUMMYFUNCTION("""COMPUTED_VALUE"""),"Yes")</f>
        <v>Yes</v>
      </c>
      <c r="G58" s="4" t="str">
        <f>IFERROR(__xludf.DUMMYFUNCTION("""COMPUTED_VALUE"""),"SUSE Linux Enterprise Server 15 SP4")</f>
        <v>SUSE Linux Enterprise Server 15 SP4</v>
      </c>
      <c r="H58" s="7" t="str">
        <f t="shared" si="3"/>
        <v>NO</v>
      </c>
      <c r="I58" s="7" t="str">
        <f t="shared" si="2"/>
        <v>NO</v>
      </c>
    </row>
    <row r="59">
      <c r="A59" s="4">
        <f>IFERROR(__xludf.DUMMYFUNCTION("""COMPUTED_VALUE"""),1193088.0)</f>
        <v>1193088</v>
      </c>
      <c r="B59" s="4" t="str">
        <f>IFERROR(__xludf.DUMMYFUNCTION("""COMPUTED_VALUE"""),"P1 - Urgent")</f>
        <v>P1 - Urgent</v>
      </c>
      <c r="C59" s="5">
        <f>IFERROR(__xludf.DUMMYFUNCTION("""COMPUTED_VALUE"""),44525.637407407405)</f>
        <v>44525.63741</v>
      </c>
      <c r="D59" s="4" t="str">
        <f>IFERROR(__xludf.DUMMYFUNCTION("""COMPUTED_VALUE"""),"VERIFIED")</f>
        <v>VERIFIED</v>
      </c>
      <c r="E59" s="6">
        <f>IFERROR(__xludf.DUMMYFUNCTION("""COMPUTED_VALUE"""),44707.34956018518)</f>
        <v>44707.34956</v>
      </c>
      <c r="F59" s="4" t="str">
        <f>IFERROR(__xludf.DUMMYFUNCTION("""COMPUTED_VALUE""")," ---")</f>
        <v> ---</v>
      </c>
      <c r="G59" s="4" t="str">
        <f>IFERROR(__xludf.DUMMYFUNCTION("""COMPUTED_VALUE"""),"SUSE Linux Enterprise Server 15 SP4")</f>
        <v>SUSE Linux Enterprise Server 15 SP4</v>
      </c>
      <c r="H59" s="7" t="str">
        <f t="shared" si="3"/>
        <v>NO</v>
      </c>
      <c r="I59" s="7" t="str">
        <f t="shared" si="2"/>
        <v>NO</v>
      </c>
    </row>
    <row r="60">
      <c r="A60" s="4">
        <f>IFERROR(__xludf.DUMMYFUNCTION("""COMPUTED_VALUE"""),1194324.0)</f>
        <v>1194324</v>
      </c>
      <c r="B60" s="4" t="str">
        <f>IFERROR(__xludf.DUMMYFUNCTION("""COMPUTED_VALUE"""),"P1 - Urgent")</f>
        <v>P1 - Urgent</v>
      </c>
      <c r="C60" s="5">
        <f>IFERROR(__xludf.DUMMYFUNCTION("""COMPUTED_VALUE"""),44566.24335648148)</f>
        <v>44566.24336</v>
      </c>
      <c r="D60" s="4" t="str">
        <f>IFERROR(__xludf.DUMMYFUNCTION("""COMPUTED_VALUE"""),"VERIFIED")</f>
        <v>VERIFIED</v>
      </c>
      <c r="E60" s="6">
        <f>IFERROR(__xludf.DUMMYFUNCTION("""COMPUTED_VALUE"""),44668.49597222222)</f>
        <v>44668.49597</v>
      </c>
      <c r="F60" s="4" t="str">
        <f>IFERROR(__xludf.DUMMYFUNCTION("""COMPUTED_VALUE""")," ---")</f>
        <v> ---</v>
      </c>
      <c r="G60" s="4" t="str">
        <f>IFERROR(__xludf.DUMMYFUNCTION("""COMPUTED_VALUE"""),"SUSE Linux Enterprise Server 15 SP4")</f>
        <v>SUSE Linux Enterprise Server 15 SP4</v>
      </c>
      <c r="H60" s="7" t="str">
        <f t="shared" si="3"/>
        <v>YES</v>
      </c>
      <c r="I60" s="7" t="str">
        <f t="shared" si="2"/>
        <v>NO</v>
      </c>
    </row>
    <row r="61">
      <c r="A61" s="4">
        <f>IFERROR(__xludf.DUMMYFUNCTION("""COMPUTED_VALUE"""),1195956.0)</f>
        <v>1195956</v>
      </c>
      <c r="B61" s="4" t="str">
        <f>IFERROR(__xludf.DUMMYFUNCTION("""COMPUTED_VALUE"""),"P1 - Urgent")</f>
        <v>P1 - Urgent</v>
      </c>
      <c r="C61" s="5">
        <f>IFERROR(__xludf.DUMMYFUNCTION("""COMPUTED_VALUE"""),44607.407118055555)</f>
        <v>44607.40712</v>
      </c>
      <c r="D61" s="4" t="str">
        <f>IFERROR(__xludf.DUMMYFUNCTION("""COMPUTED_VALUE"""),"VERIFIED")</f>
        <v>VERIFIED</v>
      </c>
      <c r="E61" s="6">
        <f>IFERROR(__xludf.DUMMYFUNCTION("""COMPUTED_VALUE"""),44644.53700231481)</f>
        <v>44644.537</v>
      </c>
      <c r="F61" s="4" t="str">
        <f>IFERROR(__xludf.DUMMYFUNCTION("""COMPUTED_VALUE"""),"Yes")</f>
        <v>Yes</v>
      </c>
      <c r="G61" s="4" t="str">
        <f>IFERROR(__xludf.DUMMYFUNCTION("""COMPUTED_VALUE"""),"PUBLIC SUSE Linux Enterprise Server 15 SP4")</f>
        <v>PUBLIC SUSE Linux Enterprise Server 15 SP4</v>
      </c>
      <c r="H61" s="7" t="str">
        <f t="shared" si="3"/>
        <v>NO</v>
      </c>
      <c r="I61" s="7" t="str">
        <f t="shared" si="2"/>
        <v>NO</v>
      </c>
    </row>
    <row r="62">
      <c r="A62" s="4">
        <f>IFERROR(__xludf.DUMMYFUNCTION("""COMPUTED_VALUE"""),1194305.0)</f>
        <v>1194305</v>
      </c>
      <c r="B62" s="4" t="str">
        <f>IFERROR(__xludf.DUMMYFUNCTION("""COMPUTED_VALUE"""),"P1 - Urgent")</f>
        <v>P1 - Urgent</v>
      </c>
      <c r="C62" s="5">
        <f>IFERROR(__xludf.DUMMYFUNCTION("""COMPUTED_VALUE"""),44565.70203703704)</f>
        <v>44565.70204</v>
      </c>
      <c r="D62" s="4" t="str">
        <f>IFERROR(__xludf.DUMMYFUNCTION("""COMPUTED_VALUE"""),"VERIFIED")</f>
        <v>VERIFIED</v>
      </c>
      <c r="E62" s="6">
        <f>IFERROR(__xludf.DUMMYFUNCTION("""COMPUTED_VALUE"""),44668.49585648148)</f>
        <v>44668.49586</v>
      </c>
      <c r="F62" s="4" t="str">
        <f>IFERROR(__xludf.DUMMYFUNCTION("""COMPUTED_VALUE""")," ---")</f>
        <v> ---</v>
      </c>
      <c r="G62" s="4" t="str">
        <f>IFERROR(__xludf.DUMMYFUNCTION("""COMPUTED_VALUE"""),"SUSE Linux Enterprise Server 15 SP4")</f>
        <v>SUSE Linux Enterprise Server 15 SP4</v>
      </c>
      <c r="H62" s="7" t="str">
        <f t="shared" si="3"/>
        <v>YES</v>
      </c>
      <c r="I62" s="7" t="str">
        <f t="shared" si="2"/>
        <v>NO</v>
      </c>
    </row>
    <row r="63">
      <c r="A63" s="4">
        <f>IFERROR(__xludf.DUMMYFUNCTION("""COMPUTED_VALUE"""),1197082.0)</f>
        <v>1197082</v>
      </c>
      <c r="B63" s="4" t="str">
        <f>IFERROR(__xludf.DUMMYFUNCTION("""COMPUTED_VALUE"""),"P1 - Urgent")</f>
        <v>P1 - Urgent</v>
      </c>
      <c r="C63" s="5">
        <f>IFERROR(__xludf.DUMMYFUNCTION("""COMPUTED_VALUE"""),44634.5633912037)</f>
        <v>44634.56339</v>
      </c>
      <c r="D63" s="4" t="str">
        <f>IFERROR(__xludf.DUMMYFUNCTION("""COMPUTED_VALUE"""),"VERIFIED")</f>
        <v>VERIFIED</v>
      </c>
      <c r="E63" s="6">
        <f>IFERROR(__xludf.DUMMYFUNCTION("""COMPUTED_VALUE"""),44668.4997337963)</f>
        <v>44668.49973</v>
      </c>
      <c r="F63" s="4" t="str">
        <f>IFERROR(__xludf.DUMMYFUNCTION("""COMPUTED_VALUE""")," ---")</f>
        <v> ---</v>
      </c>
      <c r="G63" s="4" t="str">
        <f>IFERROR(__xludf.DUMMYFUNCTION("""COMPUTED_VALUE"""),"SUSE Linux Enterprise Server 15 SP4")</f>
        <v>SUSE Linux Enterprise Server 15 SP4</v>
      </c>
      <c r="H63" s="7" t="str">
        <f t="shared" si="3"/>
        <v>NO</v>
      </c>
      <c r="I63" s="7" t="str">
        <f t="shared" si="2"/>
        <v>NO</v>
      </c>
    </row>
    <row r="64">
      <c r="A64" s="4">
        <f>IFERROR(__xludf.DUMMYFUNCTION("""COMPUTED_VALUE"""),1199574.0)</f>
        <v>1199574</v>
      </c>
      <c r="B64" s="4" t="str">
        <f>IFERROR(__xludf.DUMMYFUNCTION("""COMPUTED_VALUE"""),"P2 - High")</f>
        <v>P2 - High</v>
      </c>
      <c r="C64" s="5">
        <f>IFERROR(__xludf.DUMMYFUNCTION("""COMPUTED_VALUE"""),44697.48625)</f>
        <v>44697.48625</v>
      </c>
      <c r="D64" s="4" t="str">
        <f>IFERROR(__xludf.DUMMYFUNCTION("""COMPUTED_VALUE"""),"NEW")</f>
        <v>NEW</v>
      </c>
      <c r="E64" s="6">
        <f>IFERROR(__xludf.DUMMYFUNCTION("""COMPUTED_VALUE"""),44701.4653587963)</f>
        <v>44701.46536</v>
      </c>
      <c r="F64" s="4" t="str">
        <f>IFERROR(__xludf.DUMMYFUNCTION("""COMPUTED_VALUE""")," ---")</f>
        <v> ---</v>
      </c>
      <c r="G64" s="4" t="str">
        <f>IFERROR(__xludf.DUMMYFUNCTION("""COMPUTED_VALUE"""),"SUSE Linux Enterprise Server 15 SP4")</f>
        <v>SUSE Linux Enterprise Server 15 SP4</v>
      </c>
      <c r="H64" s="7" t="str">
        <f t="shared" si="3"/>
        <v>NO</v>
      </c>
      <c r="I64" s="7" t="str">
        <f t="shared" si="2"/>
        <v>NO</v>
      </c>
    </row>
    <row r="65">
      <c r="A65" s="4">
        <f>IFERROR(__xludf.DUMMYFUNCTION("""COMPUTED_VALUE"""),1194278.0)</f>
        <v>1194278</v>
      </c>
      <c r="B65" s="4" t="str">
        <f>IFERROR(__xludf.DUMMYFUNCTION("""COMPUTED_VALUE"""),"P2 - High")</f>
        <v>P2 - High</v>
      </c>
      <c r="C65" s="5">
        <f>IFERROR(__xludf.DUMMYFUNCTION("""COMPUTED_VALUE"""),44565.312951388885)</f>
        <v>44565.31295</v>
      </c>
      <c r="D65" s="4" t="str">
        <f>IFERROR(__xludf.DUMMYFUNCTION("""COMPUTED_VALUE"""),"NEW")</f>
        <v>NEW</v>
      </c>
      <c r="E65" s="6">
        <f>IFERROR(__xludf.DUMMYFUNCTION("""COMPUTED_VALUE"""),44730.58262731481)</f>
        <v>44730.58263</v>
      </c>
      <c r="F65" s="4" t="str">
        <f>IFERROR(__xludf.DUMMYFUNCTION("""COMPUTED_VALUE""")," ---")</f>
        <v> ---</v>
      </c>
      <c r="G65" s="4" t="str">
        <f>IFERROR(__xludf.DUMMYFUNCTION("""COMPUTED_VALUE"""),"SUSE Linux Enterprise Server 15 SP4")</f>
        <v>SUSE Linux Enterprise Server 15 SP4</v>
      </c>
      <c r="H65" s="7" t="str">
        <f t="shared" si="3"/>
        <v>YES</v>
      </c>
      <c r="I65" s="7" t="str">
        <f t="shared" si="2"/>
        <v>NO</v>
      </c>
    </row>
    <row r="66">
      <c r="A66" s="4">
        <f>IFERROR(__xludf.DUMMYFUNCTION("""COMPUTED_VALUE"""),1194528.0)</f>
        <v>1194528</v>
      </c>
      <c r="B66" s="4" t="str">
        <f>IFERROR(__xludf.DUMMYFUNCTION("""COMPUTED_VALUE"""),"P2 - High")</f>
        <v>P2 - High</v>
      </c>
      <c r="C66" s="5">
        <f>IFERROR(__xludf.DUMMYFUNCTION("""COMPUTED_VALUE"""),44572.45167824074)</f>
        <v>44572.45168</v>
      </c>
      <c r="D66" s="4" t="str">
        <f>IFERROR(__xludf.DUMMYFUNCTION("""COMPUTED_VALUE"""),"NEW")</f>
        <v>NEW</v>
      </c>
      <c r="E66" s="6">
        <f>IFERROR(__xludf.DUMMYFUNCTION("""COMPUTED_VALUE"""),44700.427037037036)</f>
        <v>44700.42704</v>
      </c>
      <c r="F66" s="4" t="str">
        <f>IFERROR(__xludf.DUMMYFUNCTION("""COMPUTED_VALUE""")," ---")</f>
        <v> ---</v>
      </c>
      <c r="G66" s="4" t="str">
        <f>IFERROR(__xludf.DUMMYFUNCTION("""COMPUTED_VALUE"""),"SUSE Linux Enterprise Server 15 SP4")</f>
        <v>SUSE Linux Enterprise Server 15 SP4</v>
      </c>
      <c r="H66" s="7" t="str">
        <f t="shared" si="3"/>
        <v>NO</v>
      </c>
      <c r="I66" s="7" t="str">
        <f t="shared" si="2"/>
        <v>NO</v>
      </c>
    </row>
    <row r="67">
      <c r="A67" s="4">
        <f>IFERROR(__xludf.DUMMYFUNCTION("""COMPUTED_VALUE"""),1196088.0)</f>
        <v>1196088</v>
      </c>
      <c r="B67" s="4" t="str">
        <f>IFERROR(__xludf.DUMMYFUNCTION("""COMPUTED_VALUE"""),"P2 - High")</f>
        <v>P2 - High</v>
      </c>
      <c r="C67" s="5">
        <f>IFERROR(__xludf.DUMMYFUNCTION("""COMPUTED_VALUE"""),44609.58615740741)</f>
        <v>44609.58616</v>
      </c>
      <c r="D67" s="4" t="str">
        <f>IFERROR(__xludf.DUMMYFUNCTION("""COMPUTED_VALUE"""),"NEW")</f>
        <v>NEW</v>
      </c>
      <c r="E67" s="6">
        <f>IFERROR(__xludf.DUMMYFUNCTION("""COMPUTED_VALUE"""),44718.328055555554)</f>
        <v>44718.32806</v>
      </c>
      <c r="F67" s="4" t="str">
        <f>IFERROR(__xludf.DUMMYFUNCTION("""COMPUTED_VALUE""")," ---")</f>
        <v> ---</v>
      </c>
      <c r="G67" s="4" t="str">
        <f>IFERROR(__xludf.DUMMYFUNCTION("""COMPUTED_VALUE"""),"SUSE Linux Enterprise Server 15 SP4")</f>
        <v>SUSE Linux Enterprise Server 15 SP4</v>
      </c>
      <c r="H67" s="7" t="str">
        <f t="shared" si="3"/>
        <v>NO</v>
      </c>
      <c r="I67" s="7" t="str">
        <f t="shared" si="2"/>
        <v>NO</v>
      </c>
    </row>
    <row r="68">
      <c r="A68" s="4">
        <f>IFERROR(__xludf.DUMMYFUNCTION("""COMPUTED_VALUE"""),1196478.0)</f>
        <v>1196478</v>
      </c>
      <c r="B68" s="4" t="str">
        <f>IFERROR(__xludf.DUMMYFUNCTION("""COMPUTED_VALUE"""),"P2 - High")</f>
        <v>P2 - High</v>
      </c>
      <c r="C68" s="5">
        <f>IFERROR(__xludf.DUMMYFUNCTION("""COMPUTED_VALUE"""),44617.16002314815)</f>
        <v>44617.16002</v>
      </c>
      <c r="D68" s="4" t="str">
        <f>IFERROR(__xludf.DUMMYFUNCTION("""COMPUTED_VALUE"""),"NEW")</f>
        <v>NEW</v>
      </c>
      <c r="E68" s="6">
        <f>IFERROR(__xludf.DUMMYFUNCTION("""COMPUTED_VALUE"""),44736.68225694444)</f>
        <v>44736.68226</v>
      </c>
      <c r="F68" s="4" t="str">
        <f>IFERROR(__xludf.DUMMYFUNCTION("""COMPUTED_VALUE""")," ---")</f>
        <v> ---</v>
      </c>
      <c r="G68" s="4" t="str">
        <f>IFERROR(__xludf.DUMMYFUNCTION("""COMPUTED_VALUE"""),"SUSE Linux Enterprise Server 15 SP4")</f>
        <v>SUSE Linux Enterprise Server 15 SP4</v>
      </c>
      <c r="H68" s="7" t="str">
        <f t="shared" si="3"/>
        <v>NO</v>
      </c>
      <c r="I68" s="7" t="str">
        <f t="shared" si="2"/>
        <v>NO</v>
      </c>
    </row>
    <row r="69">
      <c r="A69" s="4">
        <f>IFERROR(__xludf.DUMMYFUNCTION("""COMPUTED_VALUE"""),1199530.0)</f>
        <v>1199530</v>
      </c>
      <c r="B69" s="4" t="str">
        <f>IFERROR(__xludf.DUMMYFUNCTION("""COMPUTED_VALUE"""),"P2 - High")</f>
        <v>P2 - High</v>
      </c>
      <c r="C69" s="5">
        <f>IFERROR(__xludf.DUMMYFUNCTION("""COMPUTED_VALUE"""),44694.66075231481)</f>
        <v>44694.66075</v>
      </c>
      <c r="D69" s="4" t="str">
        <f>IFERROR(__xludf.DUMMYFUNCTION("""COMPUTED_VALUE"""),"NEW")</f>
        <v>NEW</v>
      </c>
      <c r="E69" s="6">
        <f>IFERROR(__xludf.DUMMYFUNCTION("""COMPUTED_VALUE"""),44725.86888888889)</f>
        <v>44725.86889</v>
      </c>
      <c r="F69" s="4" t="str">
        <f>IFERROR(__xludf.DUMMYFUNCTION("""COMPUTED_VALUE""")," ---")</f>
        <v> ---</v>
      </c>
      <c r="G69" s="4" t="str">
        <f>IFERROR(__xludf.DUMMYFUNCTION("""COMPUTED_VALUE"""),"SUSE Linux Enterprise Server 15 SP4")</f>
        <v>SUSE Linux Enterprise Server 15 SP4</v>
      </c>
      <c r="H69" s="7" t="str">
        <f t="shared" si="3"/>
        <v>NO</v>
      </c>
      <c r="I69" s="7" t="str">
        <f t="shared" si="2"/>
        <v>NO</v>
      </c>
    </row>
    <row r="70">
      <c r="A70" s="4">
        <f>IFERROR(__xludf.DUMMYFUNCTION("""COMPUTED_VALUE"""),1199994.0)</f>
        <v>1199994</v>
      </c>
      <c r="B70" s="4" t="str">
        <f>IFERROR(__xludf.DUMMYFUNCTION("""COMPUTED_VALUE"""),"P2 - High")</f>
        <v>P2 - High</v>
      </c>
      <c r="C70" s="5">
        <f>IFERROR(__xludf.DUMMYFUNCTION("""COMPUTED_VALUE"""),44709.15114583333)</f>
        <v>44709.15115</v>
      </c>
      <c r="D70" s="4" t="str">
        <f>IFERROR(__xludf.DUMMYFUNCTION("""COMPUTED_VALUE"""),"NEW")</f>
        <v>NEW</v>
      </c>
      <c r="E70" s="6">
        <f>IFERROR(__xludf.DUMMYFUNCTION("""COMPUTED_VALUE"""),44719.5802662037)</f>
        <v>44719.58027</v>
      </c>
      <c r="F70" s="4" t="str">
        <f>IFERROR(__xludf.DUMMYFUNCTION("""COMPUTED_VALUE""")," ---")</f>
        <v> ---</v>
      </c>
      <c r="G70" s="4" t="str">
        <f>IFERROR(__xludf.DUMMYFUNCTION("""COMPUTED_VALUE"""),"SUSE Linux Enterprise Server 15 SP4")</f>
        <v>SUSE Linux Enterprise Server 15 SP4</v>
      </c>
      <c r="H70" s="7" t="str">
        <f t="shared" si="3"/>
        <v>NO</v>
      </c>
      <c r="I70" s="7" t="str">
        <f t="shared" si="2"/>
        <v>NO</v>
      </c>
    </row>
    <row r="71">
      <c r="A71" s="4">
        <f>IFERROR(__xludf.DUMMYFUNCTION("""COMPUTED_VALUE"""),1200313.0)</f>
        <v>1200313</v>
      </c>
      <c r="B71" s="4" t="str">
        <f>IFERROR(__xludf.DUMMYFUNCTION("""COMPUTED_VALUE"""),"P2 - High")</f>
        <v>P2 - High</v>
      </c>
      <c r="C71" s="5">
        <f>IFERROR(__xludf.DUMMYFUNCTION("""COMPUTED_VALUE"""),44720.213055555556)</f>
        <v>44720.21306</v>
      </c>
      <c r="D71" s="4" t="str">
        <f>IFERROR(__xludf.DUMMYFUNCTION("""COMPUTED_VALUE"""),"NEW")</f>
        <v>NEW</v>
      </c>
      <c r="E71" s="6">
        <f>IFERROR(__xludf.DUMMYFUNCTION("""COMPUTED_VALUE"""),44733.8390625)</f>
        <v>44733.83906</v>
      </c>
      <c r="F71" s="4" t="str">
        <f>IFERROR(__xludf.DUMMYFUNCTION("""COMPUTED_VALUE""")," ---")</f>
        <v> ---</v>
      </c>
      <c r="G71" s="4" t="str">
        <f>IFERROR(__xludf.DUMMYFUNCTION("""COMPUTED_VALUE"""),"SUSE Linux Enterprise Server 15 SP4")</f>
        <v>SUSE Linux Enterprise Server 15 SP4</v>
      </c>
      <c r="H71" s="7" t="str">
        <f t="shared" si="3"/>
        <v>NO</v>
      </c>
      <c r="I71" s="7" t="str">
        <f t="shared" si="2"/>
        <v>NO</v>
      </c>
    </row>
    <row r="72">
      <c r="A72" s="4">
        <f>IFERROR(__xludf.DUMMYFUNCTION("""COMPUTED_VALUE"""),1193534.0)</f>
        <v>1193534</v>
      </c>
      <c r="B72" s="4" t="str">
        <f>IFERROR(__xludf.DUMMYFUNCTION("""COMPUTED_VALUE"""),"P2 - High")</f>
        <v>P2 - High</v>
      </c>
      <c r="C72" s="5">
        <f>IFERROR(__xludf.DUMMYFUNCTION("""COMPUTED_VALUE"""),44538.61678240741)</f>
        <v>44538.61678</v>
      </c>
      <c r="D72" s="4" t="str">
        <f>IFERROR(__xludf.DUMMYFUNCTION("""COMPUTED_VALUE"""),"NEW")</f>
        <v>NEW</v>
      </c>
      <c r="E72" s="6">
        <f>IFERROR(__xludf.DUMMYFUNCTION("""COMPUTED_VALUE"""),44694.00900462963)</f>
        <v>44694.009</v>
      </c>
      <c r="F72" s="4" t="str">
        <f>IFERROR(__xludf.DUMMYFUNCTION("""COMPUTED_VALUE""")," ---")</f>
        <v> ---</v>
      </c>
      <c r="G72" s="4" t="str">
        <f>IFERROR(__xludf.DUMMYFUNCTION("""COMPUTED_VALUE"""),"SUSE Linux Enterprise Server 15 SP4")</f>
        <v>SUSE Linux Enterprise Server 15 SP4</v>
      </c>
      <c r="H72" s="7" t="str">
        <f t="shared" si="3"/>
        <v>NO</v>
      </c>
      <c r="I72" s="7" t="str">
        <f t="shared" si="2"/>
        <v>NO</v>
      </c>
    </row>
    <row r="73">
      <c r="A73" s="4">
        <f>IFERROR(__xludf.DUMMYFUNCTION("""COMPUTED_VALUE"""),1197617.0)</f>
        <v>1197617</v>
      </c>
      <c r="B73" s="4" t="str">
        <f>IFERROR(__xludf.DUMMYFUNCTION("""COMPUTED_VALUE"""),"P2 - High")</f>
        <v>P2 - High</v>
      </c>
      <c r="C73" s="5">
        <f>IFERROR(__xludf.DUMMYFUNCTION("""COMPUTED_VALUE"""),44648.785787037035)</f>
        <v>44648.78579</v>
      </c>
      <c r="D73" s="4" t="str">
        <f>IFERROR(__xludf.DUMMYFUNCTION("""COMPUTED_VALUE"""),"NEW")</f>
        <v>NEW</v>
      </c>
      <c r="E73" s="6">
        <f>IFERROR(__xludf.DUMMYFUNCTION("""COMPUTED_VALUE"""),44656.28920138889)</f>
        <v>44656.2892</v>
      </c>
      <c r="F73" s="4" t="str">
        <f>IFERROR(__xludf.DUMMYFUNCTION("""COMPUTED_VALUE""")," ---")</f>
        <v> ---</v>
      </c>
      <c r="G73" s="4" t="str">
        <f>IFERROR(__xludf.DUMMYFUNCTION("""COMPUTED_VALUE"""),"SUSE Linux Enterprise Server 15 SP4")</f>
        <v>SUSE Linux Enterprise Server 15 SP4</v>
      </c>
      <c r="H73" s="7" t="str">
        <f t="shared" si="3"/>
        <v>NO</v>
      </c>
      <c r="I73" s="7" t="str">
        <f t="shared" si="2"/>
        <v>NO</v>
      </c>
    </row>
    <row r="74">
      <c r="A74" s="4">
        <f>IFERROR(__xludf.DUMMYFUNCTION("""COMPUTED_VALUE"""),1193629.0)</f>
        <v>1193629</v>
      </c>
      <c r="B74" s="4" t="str">
        <f>IFERROR(__xludf.DUMMYFUNCTION("""COMPUTED_VALUE"""),"P2 - High")</f>
        <v>P2 - High</v>
      </c>
      <c r="C74" s="5">
        <f>IFERROR(__xludf.DUMMYFUNCTION("""COMPUTED_VALUE"""),44540.81318287037)</f>
        <v>44540.81318</v>
      </c>
      <c r="D74" s="4" t="str">
        <f>IFERROR(__xludf.DUMMYFUNCTION("""COMPUTED_VALUE"""),"NEW")</f>
        <v>NEW</v>
      </c>
      <c r="E74" s="6">
        <f>IFERROR(__xludf.DUMMYFUNCTION("""COMPUTED_VALUE"""),44736.464849537035)</f>
        <v>44736.46485</v>
      </c>
      <c r="F74" s="4" t="str">
        <f>IFERROR(__xludf.DUMMYFUNCTION("""COMPUTED_VALUE""")," ---")</f>
        <v> ---</v>
      </c>
      <c r="G74" s="4" t="str">
        <f>IFERROR(__xludf.DUMMYFUNCTION("""COMPUTED_VALUE"""),"SUSE Linux Enterprise Server 15 SP4")</f>
        <v>SUSE Linux Enterprise Server 15 SP4</v>
      </c>
      <c r="H74" s="7" t="str">
        <f t="shared" si="3"/>
        <v>NO</v>
      </c>
      <c r="I74" s="7" t="str">
        <f t="shared" si="2"/>
        <v>NO</v>
      </c>
    </row>
    <row r="75">
      <c r="A75" s="4">
        <f>IFERROR(__xludf.DUMMYFUNCTION("""COMPUTED_VALUE"""),1192646.0)</f>
        <v>1192646</v>
      </c>
      <c r="B75" s="4" t="str">
        <f>IFERROR(__xludf.DUMMYFUNCTION("""COMPUTED_VALUE"""),"P2 - High")</f>
        <v>P2 - High</v>
      </c>
      <c r="C75" s="5">
        <f>IFERROR(__xludf.DUMMYFUNCTION("""COMPUTED_VALUE"""),44512.77810185185)</f>
        <v>44512.7781</v>
      </c>
      <c r="D75" s="4" t="str">
        <f>IFERROR(__xludf.DUMMYFUNCTION("""COMPUTED_VALUE"""),"NEW")</f>
        <v>NEW</v>
      </c>
      <c r="E75" s="6">
        <f>IFERROR(__xludf.DUMMYFUNCTION("""COMPUTED_VALUE"""),44543.49898148148)</f>
        <v>44543.49898</v>
      </c>
      <c r="F75" s="4" t="str">
        <f>IFERROR(__xludf.DUMMYFUNCTION("""COMPUTED_VALUE""")," ---")</f>
        <v> ---</v>
      </c>
      <c r="G75" s="4" t="str">
        <f>IFERROR(__xludf.DUMMYFUNCTION("""COMPUTED_VALUE"""),"SUSE Linux Enterprise Server 15 SP4")</f>
        <v>SUSE Linux Enterprise Server 15 SP4</v>
      </c>
      <c r="H75" s="7" t="str">
        <f t="shared" si="3"/>
        <v>NO</v>
      </c>
      <c r="I75" s="7" t="str">
        <f t="shared" si="2"/>
        <v>NO</v>
      </c>
    </row>
    <row r="76">
      <c r="A76" s="4">
        <f>IFERROR(__xludf.DUMMYFUNCTION("""COMPUTED_VALUE"""),1200307.0)</f>
        <v>1200307</v>
      </c>
      <c r="B76" s="4" t="str">
        <f>IFERROR(__xludf.DUMMYFUNCTION("""COMPUTED_VALUE"""),"P2 - High")</f>
        <v>P2 - High</v>
      </c>
      <c r="C76" s="5">
        <f>IFERROR(__xludf.DUMMYFUNCTION("""COMPUTED_VALUE"""),44719.82305555556)</f>
        <v>44719.82306</v>
      </c>
      <c r="D76" s="4" t="str">
        <f>IFERROR(__xludf.DUMMYFUNCTION("""COMPUTED_VALUE"""),"NEW")</f>
        <v>NEW</v>
      </c>
      <c r="E76" s="6">
        <f>IFERROR(__xludf.DUMMYFUNCTION("""COMPUTED_VALUE"""),44736.839467592596)</f>
        <v>44736.83947</v>
      </c>
      <c r="F76" s="4" t="str">
        <f>IFERROR(__xludf.DUMMYFUNCTION("""COMPUTED_VALUE""")," ---")</f>
        <v> ---</v>
      </c>
      <c r="G76" s="4" t="str">
        <f>IFERROR(__xludf.DUMMYFUNCTION("""COMPUTED_VALUE"""),"SUSE Linux Enterprise Server 15 SP4")</f>
        <v>SUSE Linux Enterprise Server 15 SP4</v>
      </c>
      <c r="H76" s="7" t="str">
        <f t="shared" si="3"/>
        <v>NO</v>
      </c>
      <c r="I76" s="7" t="str">
        <f t="shared" si="2"/>
        <v>NO</v>
      </c>
    </row>
    <row r="77">
      <c r="A77" s="4">
        <f>IFERROR(__xludf.DUMMYFUNCTION("""COMPUTED_VALUE"""),1198380.0)</f>
        <v>1198380</v>
      </c>
      <c r="B77" s="4" t="str">
        <f>IFERROR(__xludf.DUMMYFUNCTION("""COMPUTED_VALUE"""),"P2 - High")</f>
        <v>P2 - High</v>
      </c>
      <c r="C77" s="5">
        <f>IFERROR(__xludf.DUMMYFUNCTION("""COMPUTED_VALUE"""),44663.35686342593)</f>
        <v>44663.35686</v>
      </c>
      <c r="D77" s="4" t="str">
        <f>IFERROR(__xludf.DUMMYFUNCTION("""COMPUTED_VALUE"""),"NEW")</f>
        <v>NEW</v>
      </c>
      <c r="E77" s="6">
        <f>IFERROR(__xludf.DUMMYFUNCTION("""COMPUTED_VALUE"""),44707.39142361111)</f>
        <v>44707.39142</v>
      </c>
      <c r="F77" s="4" t="str">
        <f>IFERROR(__xludf.DUMMYFUNCTION("""COMPUTED_VALUE""")," ---")</f>
        <v> ---</v>
      </c>
      <c r="G77" s="4" t="str">
        <f>IFERROR(__xludf.DUMMYFUNCTION("""COMPUTED_VALUE"""),"SUSE Linux Enterprise Server 15 SP4")</f>
        <v>SUSE Linux Enterprise Server 15 SP4</v>
      </c>
      <c r="H77" s="7" t="str">
        <f t="shared" si="3"/>
        <v>NO</v>
      </c>
      <c r="I77" s="7" t="str">
        <f t="shared" si="2"/>
        <v>NO</v>
      </c>
    </row>
    <row r="78">
      <c r="A78" s="4">
        <f>IFERROR(__xludf.DUMMYFUNCTION("""COMPUTED_VALUE"""),1196444.0)</f>
        <v>1196444</v>
      </c>
      <c r="B78" s="4" t="str">
        <f>IFERROR(__xludf.DUMMYFUNCTION("""COMPUTED_VALUE"""),"P2 - High")</f>
        <v>P2 - High</v>
      </c>
      <c r="C78" s="5">
        <f>IFERROR(__xludf.DUMMYFUNCTION("""COMPUTED_VALUE"""),44616.58363425926)</f>
        <v>44616.58363</v>
      </c>
      <c r="D78" s="4" t="str">
        <f>IFERROR(__xludf.DUMMYFUNCTION("""COMPUTED_VALUE"""),"NEW")</f>
        <v>NEW</v>
      </c>
      <c r="E78" s="6">
        <f>IFERROR(__xludf.DUMMYFUNCTION("""COMPUTED_VALUE"""),44736.603530092594)</f>
        <v>44736.60353</v>
      </c>
      <c r="F78" s="4" t="str">
        <f>IFERROR(__xludf.DUMMYFUNCTION("""COMPUTED_VALUE""")," ---")</f>
        <v> ---</v>
      </c>
      <c r="G78" s="4" t="str">
        <f>IFERROR(__xludf.DUMMYFUNCTION("""COMPUTED_VALUE"""),"SUSE Linux Enterprise Server 15 SP4")</f>
        <v>SUSE Linux Enterprise Server 15 SP4</v>
      </c>
      <c r="H78" s="7" t="str">
        <f t="shared" si="3"/>
        <v>NO</v>
      </c>
      <c r="I78" s="7" t="str">
        <f t="shared" si="2"/>
        <v>NO</v>
      </c>
    </row>
    <row r="79">
      <c r="A79" s="4">
        <f>IFERROR(__xludf.DUMMYFUNCTION("""COMPUTED_VALUE"""),1200479.0)</f>
        <v>1200479</v>
      </c>
      <c r="B79" s="4" t="str">
        <f>IFERROR(__xludf.DUMMYFUNCTION("""COMPUTED_VALUE"""),"P2 - High")</f>
        <v>P2 - High</v>
      </c>
      <c r="C79" s="5">
        <f>IFERROR(__xludf.DUMMYFUNCTION("""COMPUTED_VALUE"""),44725.414247685185)</f>
        <v>44725.41425</v>
      </c>
      <c r="D79" s="4" t="str">
        <f>IFERROR(__xludf.DUMMYFUNCTION("""COMPUTED_VALUE"""),"NEW")</f>
        <v>NEW</v>
      </c>
      <c r="E79" s="6">
        <f>IFERROR(__xludf.DUMMYFUNCTION("""COMPUTED_VALUE"""),44732.54258101852)</f>
        <v>44732.54258</v>
      </c>
      <c r="F79" s="4" t="str">
        <f>IFERROR(__xludf.DUMMYFUNCTION("""COMPUTED_VALUE""")," ---")</f>
        <v> ---</v>
      </c>
      <c r="G79" s="4" t="str">
        <f>IFERROR(__xludf.DUMMYFUNCTION("""COMPUTED_VALUE"""),"SUSE Linux Enterprise Server 15 SP4")</f>
        <v>SUSE Linux Enterprise Server 15 SP4</v>
      </c>
      <c r="H79" s="7" t="str">
        <f t="shared" si="3"/>
        <v>NO</v>
      </c>
      <c r="I79" s="7" t="str">
        <f t="shared" si="2"/>
        <v>NO</v>
      </c>
    </row>
    <row r="80">
      <c r="A80" s="4">
        <f>IFERROR(__xludf.DUMMYFUNCTION("""COMPUTED_VALUE"""),1189904.0)</f>
        <v>1189904</v>
      </c>
      <c r="B80" s="4" t="str">
        <f>IFERROR(__xludf.DUMMYFUNCTION("""COMPUTED_VALUE"""),"P2 - High")</f>
        <v>P2 - High</v>
      </c>
      <c r="C80" s="5">
        <f>IFERROR(__xludf.DUMMYFUNCTION("""COMPUTED_VALUE"""),44436.12372685185)</f>
        <v>44436.12373</v>
      </c>
      <c r="D80" s="4" t="str">
        <f>IFERROR(__xludf.DUMMYFUNCTION("""COMPUTED_VALUE"""),"NEW")</f>
        <v>NEW</v>
      </c>
      <c r="E80" s="6">
        <f>IFERROR(__xludf.DUMMYFUNCTION("""COMPUTED_VALUE"""),44658.414930555555)</f>
        <v>44658.41493</v>
      </c>
      <c r="F80" s="4" t="str">
        <f>IFERROR(__xludf.DUMMYFUNCTION("""COMPUTED_VALUE""")," ---")</f>
        <v> ---</v>
      </c>
      <c r="G80" s="4" t="str">
        <f>IFERROR(__xludf.DUMMYFUNCTION("""COMPUTED_VALUE"""),"SUSE Linux Enterprise Server 15 SP4")</f>
        <v>SUSE Linux Enterprise Server 15 SP4</v>
      </c>
      <c r="H80" s="7" t="str">
        <f t="shared" si="3"/>
        <v>NO</v>
      </c>
      <c r="I80" s="7" t="str">
        <f t="shared" si="2"/>
        <v>NO</v>
      </c>
    </row>
    <row r="81">
      <c r="A81" s="4">
        <f>IFERROR(__xludf.DUMMYFUNCTION("""COMPUTED_VALUE"""),1192454.0)</f>
        <v>1192454</v>
      </c>
      <c r="B81" s="4" t="str">
        <f>IFERROR(__xludf.DUMMYFUNCTION("""COMPUTED_VALUE"""),"P2 - High")</f>
        <v>P2 - High</v>
      </c>
      <c r="C81" s="5">
        <f>IFERROR(__xludf.DUMMYFUNCTION("""COMPUTED_VALUE"""),44508.52050925926)</f>
        <v>44508.52051</v>
      </c>
      <c r="D81" s="4" t="str">
        <f>IFERROR(__xludf.DUMMYFUNCTION("""COMPUTED_VALUE"""),"NEW")</f>
        <v>NEW</v>
      </c>
      <c r="E81" s="6">
        <f>IFERROR(__xludf.DUMMYFUNCTION("""COMPUTED_VALUE"""),44665.41239583334)</f>
        <v>44665.4124</v>
      </c>
      <c r="F81" s="4" t="str">
        <f>IFERROR(__xludf.DUMMYFUNCTION("""COMPUTED_VALUE""")," ---")</f>
        <v> ---</v>
      </c>
      <c r="G81" s="4" t="str">
        <f>IFERROR(__xludf.DUMMYFUNCTION("""COMPUTED_VALUE"""),"PUBLIC SUSE Linux Enterprise Server 15 SP4")</f>
        <v>PUBLIC SUSE Linux Enterprise Server 15 SP4</v>
      </c>
      <c r="H81" s="7" t="str">
        <f t="shared" si="3"/>
        <v>NO</v>
      </c>
      <c r="I81" s="7" t="str">
        <f t="shared" si="2"/>
        <v>NO</v>
      </c>
    </row>
    <row r="82">
      <c r="A82" s="4">
        <f>IFERROR(__xludf.DUMMYFUNCTION("""COMPUTED_VALUE"""),1192503.0)</f>
        <v>1192503</v>
      </c>
      <c r="B82" s="4" t="str">
        <f>IFERROR(__xludf.DUMMYFUNCTION("""COMPUTED_VALUE"""),"P2 - High")</f>
        <v>P2 - High</v>
      </c>
      <c r="C82" s="5">
        <f>IFERROR(__xludf.DUMMYFUNCTION("""COMPUTED_VALUE"""),44509.40331018518)</f>
        <v>44509.40331</v>
      </c>
      <c r="D82" s="4" t="str">
        <f>IFERROR(__xludf.DUMMYFUNCTION("""COMPUTED_VALUE"""),"NEW")</f>
        <v>NEW</v>
      </c>
      <c r="E82" s="6">
        <f>IFERROR(__xludf.DUMMYFUNCTION("""COMPUTED_VALUE"""),44690.651666666665)</f>
        <v>44690.65167</v>
      </c>
      <c r="F82" s="4" t="str">
        <f>IFERROR(__xludf.DUMMYFUNCTION("""COMPUTED_VALUE"""),"Yes")</f>
        <v>Yes</v>
      </c>
      <c r="G82" s="4" t="str">
        <f>IFERROR(__xludf.DUMMYFUNCTION("""COMPUTED_VALUE"""),"SUSE Linux Enterprise Server 15 SP4")</f>
        <v>SUSE Linux Enterprise Server 15 SP4</v>
      </c>
      <c r="H82" s="7" t="str">
        <f t="shared" si="3"/>
        <v>NO</v>
      </c>
      <c r="I82" s="7" t="str">
        <f t="shared" si="2"/>
        <v>NO</v>
      </c>
    </row>
    <row r="83">
      <c r="A83" s="4">
        <f>IFERROR(__xludf.DUMMYFUNCTION("""COMPUTED_VALUE"""),1192968.0)</f>
        <v>1192968</v>
      </c>
      <c r="B83" s="4" t="str">
        <f>IFERROR(__xludf.DUMMYFUNCTION("""COMPUTED_VALUE"""),"P2 - High")</f>
        <v>P2 - High</v>
      </c>
      <c r="C83" s="5">
        <f>IFERROR(__xludf.DUMMYFUNCTION("""COMPUTED_VALUE"""),44523.12125)</f>
        <v>44523.12125</v>
      </c>
      <c r="D83" s="4" t="str">
        <f>IFERROR(__xludf.DUMMYFUNCTION("""COMPUTED_VALUE"""),"NEW")</f>
        <v>NEW</v>
      </c>
      <c r="E83" s="6">
        <f>IFERROR(__xludf.DUMMYFUNCTION("""COMPUTED_VALUE"""),44701.04766203704)</f>
        <v>44701.04766</v>
      </c>
      <c r="F83" s="4" t="str">
        <f>IFERROR(__xludf.DUMMYFUNCTION("""COMPUTED_VALUE"""),"Yes")</f>
        <v>Yes</v>
      </c>
      <c r="G83" s="4" t="str">
        <f>IFERROR(__xludf.DUMMYFUNCTION("""COMPUTED_VALUE"""),"SUSE Linux Enterprise Server 15 SP4")</f>
        <v>SUSE Linux Enterprise Server 15 SP4</v>
      </c>
      <c r="H83" s="7" t="str">
        <f t="shared" si="3"/>
        <v>NO</v>
      </c>
      <c r="I83" s="7" t="str">
        <f t="shared" si="2"/>
        <v>NO</v>
      </c>
    </row>
    <row r="84">
      <c r="A84" s="4">
        <f>IFERROR(__xludf.DUMMYFUNCTION("""COMPUTED_VALUE"""),1193821.0)</f>
        <v>1193821</v>
      </c>
      <c r="B84" s="4" t="str">
        <f>IFERROR(__xludf.DUMMYFUNCTION("""COMPUTED_VALUE"""),"P2 - High")</f>
        <v>P2 - High</v>
      </c>
      <c r="C84" s="5">
        <f>IFERROR(__xludf.DUMMYFUNCTION("""COMPUTED_VALUE"""),44546.61960648148)</f>
        <v>44546.61961</v>
      </c>
      <c r="D84" s="4" t="str">
        <f>IFERROR(__xludf.DUMMYFUNCTION("""COMPUTED_VALUE"""),"NEW")</f>
        <v>NEW</v>
      </c>
      <c r="E84" s="6">
        <f>IFERROR(__xludf.DUMMYFUNCTION("""COMPUTED_VALUE"""),44621.668229166666)</f>
        <v>44621.66823</v>
      </c>
      <c r="F84" s="4" t="str">
        <f>IFERROR(__xludf.DUMMYFUNCTION("""COMPUTED_VALUE""")," ---")</f>
        <v> ---</v>
      </c>
      <c r="G84" s="4" t="str">
        <f>IFERROR(__xludf.DUMMYFUNCTION("""COMPUTED_VALUE"""),"SUSE Linux Enterprise Server 15 SP4")</f>
        <v>SUSE Linux Enterprise Server 15 SP4</v>
      </c>
      <c r="H84" s="7" t="str">
        <f t="shared" si="3"/>
        <v>NO</v>
      </c>
      <c r="I84" s="7" t="str">
        <f t="shared" si="2"/>
        <v>NO</v>
      </c>
    </row>
    <row r="85">
      <c r="A85" s="4">
        <f>IFERROR(__xludf.DUMMYFUNCTION("""COMPUTED_VALUE"""),1194727.0)</f>
        <v>1194727</v>
      </c>
      <c r="B85" s="4" t="str">
        <f>IFERROR(__xludf.DUMMYFUNCTION("""COMPUTED_VALUE"""),"P2 - High")</f>
        <v>P2 - High</v>
      </c>
      <c r="C85" s="5">
        <f>IFERROR(__xludf.DUMMYFUNCTION("""COMPUTED_VALUE"""),44578.26429398148)</f>
        <v>44578.26429</v>
      </c>
      <c r="D85" s="4" t="str">
        <f>IFERROR(__xludf.DUMMYFUNCTION("""COMPUTED_VALUE"""),"NEW")</f>
        <v>NEW</v>
      </c>
      <c r="E85" s="6">
        <f>IFERROR(__xludf.DUMMYFUNCTION("""COMPUTED_VALUE"""),44713.45884259259)</f>
        <v>44713.45884</v>
      </c>
      <c r="F85" s="4" t="str">
        <f>IFERROR(__xludf.DUMMYFUNCTION("""COMPUTED_VALUE""")," ---")</f>
        <v> ---</v>
      </c>
      <c r="G85" s="4" t="str">
        <f>IFERROR(__xludf.DUMMYFUNCTION("""COMPUTED_VALUE"""),"SUSE Linux Enterprise Server 15 SP4")</f>
        <v>SUSE Linux Enterprise Server 15 SP4</v>
      </c>
      <c r="H85" s="7" t="str">
        <f t="shared" si="3"/>
        <v>NO</v>
      </c>
      <c r="I85" s="7" t="str">
        <f t="shared" si="2"/>
        <v>NO</v>
      </c>
    </row>
    <row r="86">
      <c r="A86" s="4">
        <f>IFERROR(__xludf.DUMMYFUNCTION("""COMPUTED_VALUE"""),1196092.0)</f>
        <v>1196092</v>
      </c>
      <c r="B86" s="4" t="str">
        <f>IFERROR(__xludf.DUMMYFUNCTION("""COMPUTED_VALUE"""),"P2 - High")</f>
        <v>P2 - High</v>
      </c>
      <c r="C86" s="5">
        <f>IFERROR(__xludf.DUMMYFUNCTION("""COMPUTED_VALUE"""),44609.60228009259)</f>
        <v>44609.60228</v>
      </c>
      <c r="D86" s="4" t="str">
        <f>IFERROR(__xludf.DUMMYFUNCTION("""COMPUTED_VALUE"""),"NEW")</f>
        <v>NEW</v>
      </c>
      <c r="E86" s="6">
        <f>IFERROR(__xludf.DUMMYFUNCTION("""COMPUTED_VALUE"""),44704.399826388886)</f>
        <v>44704.39983</v>
      </c>
      <c r="F86" s="4" t="str">
        <f>IFERROR(__xludf.DUMMYFUNCTION("""COMPUTED_VALUE""")," ---")</f>
        <v> ---</v>
      </c>
      <c r="G86" s="4" t="str">
        <f>IFERROR(__xludf.DUMMYFUNCTION("""COMPUTED_VALUE"""),"SUSE Linux Enterprise Server 15 SP4")</f>
        <v>SUSE Linux Enterprise Server 15 SP4</v>
      </c>
      <c r="H86" s="7" t="str">
        <f t="shared" si="3"/>
        <v>NO</v>
      </c>
      <c r="I86" s="7" t="str">
        <f t="shared" si="2"/>
        <v>NO</v>
      </c>
    </row>
    <row r="87">
      <c r="A87" s="4">
        <f>IFERROR(__xludf.DUMMYFUNCTION("""COMPUTED_VALUE"""),1196127.0)</f>
        <v>1196127</v>
      </c>
      <c r="B87" s="4" t="str">
        <f>IFERROR(__xludf.DUMMYFUNCTION("""COMPUTED_VALUE"""),"P2 - High")</f>
        <v>P2 - High</v>
      </c>
      <c r="C87" s="5">
        <f>IFERROR(__xludf.DUMMYFUNCTION("""COMPUTED_VALUE"""),44610.294803240744)</f>
        <v>44610.2948</v>
      </c>
      <c r="D87" s="4" t="str">
        <f>IFERROR(__xludf.DUMMYFUNCTION("""COMPUTED_VALUE"""),"NEW")</f>
        <v>NEW</v>
      </c>
      <c r="E87" s="6">
        <f>IFERROR(__xludf.DUMMYFUNCTION("""COMPUTED_VALUE"""),44701.047685185185)</f>
        <v>44701.04769</v>
      </c>
      <c r="F87" s="4" t="str">
        <f>IFERROR(__xludf.DUMMYFUNCTION("""COMPUTED_VALUE"""),"No")</f>
        <v>No</v>
      </c>
      <c r="G87" s="4" t="str">
        <f>IFERROR(__xludf.DUMMYFUNCTION("""COMPUTED_VALUE"""),"PUBLIC SUSE Linux Enterprise Server 15 SP4")</f>
        <v>PUBLIC SUSE Linux Enterprise Server 15 SP4</v>
      </c>
      <c r="H87" s="7" t="str">
        <f t="shared" si="3"/>
        <v>NO</v>
      </c>
      <c r="I87" s="7" t="str">
        <f t="shared" si="2"/>
        <v>NO</v>
      </c>
    </row>
    <row r="88">
      <c r="A88" s="4">
        <f>IFERROR(__xludf.DUMMYFUNCTION("""COMPUTED_VALUE"""),1196375.0)</f>
        <v>1196375</v>
      </c>
      <c r="B88" s="4" t="str">
        <f>IFERROR(__xludf.DUMMYFUNCTION("""COMPUTED_VALUE"""),"P2 - High")</f>
        <v>P2 - High</v>
      </c>
      <c r="C88" s="5">
        <f>IFERROR(__xludf.DUMMYFUNCTION("""COMPUTED_VALUE"""),44615.83116898148)</f>
        <v>44615.83117</v>
      </c>
      <c r="D88" s="4" t="str">
        <f>IFERROR(__xludf.DUMMYFUNCTION("""COMPUTED_VALUE"""),"NEW")</f>
        <v>NEW</v>
      </c>
      <c r="E88" s="6">
        <f>IFERROR(__xludf.DUMMYFUNCTION("""COMPUTED_VALUE"""),44616.64807870371)</f>
        <v>44616.64808</v>
      </c>
      <c r="F88" s="4" t="str">
        <f>IFERROR(__xludf.DUMMYFUNCTION("""COMPUTED_VALUE"""),"Yes")</f>
        <v>Yes</v>
      </c>
      <c r="G88" s="4" t="str">
        <f>IFERROR(__xludf.DUMMYFUNCTION("""COMPUTED_VALUE"""),"PUBLIC SUSE Linux Enterprise Server 15 SP4")</f>
        <v>PUBLIC SUSE Linux Enterprise Server 15 SP4</v>
      </c>
      <c r="H88" s="7" t="str">
        <f t="shared" si="3"/>
        <v>NO</v>
      </c>
      <c r="I88" s="7" t="str">
        <f t="shared" si="2"/>
        <v>NO</v>
      </c>
    </row>
    <row r="89">
      <c r="A89" s="4">
        <f>IFERROR(__xludf.DUMMYFUNCTION("""COMPUTED_VALUE"""),1196416.0)</f>
        <v>1196416</v>
      </c>
      <c r="B89" s="4" t="str">
        <f>IFERROR(__xludf.DUMMYFUNCTION("""COMPUTED_VALUE"""),"P2 - High")</f>
        <v>P2 - High</v>
      </c>
      <c r="C89" s="5">
        <f>IFERROR(__xludf.DUMMYFUNCTION("""COMPUTED_VALUE"""),44616.38974537037)</f>
        <v>44616.38975</v>
      </c>
      <c r="D89" s="4" t="str">
        <f>IFERROR(__xludf.DUMMYFUNCTION("""COMPUTED_VALUE"""),"NEW")</f>
        <v>NEW</v>
      </c>
      <c r="E89" s="6">
        <f>IFERROR(__xludf.DUMMYFUNCTION("""COMPUTED_VALUE"""),44624.774872685186)</f>
        <v>44624.77487</v>
      </c>
      <c r="F89" s="4" t="str">
        <f>IFERROR(__xludf.DUMMYFUNCTION("""COMPUTED_VALUE"""),"Yes")</f>
        <v>Yes</v>
      </c>
      <c r="G89" s="4" t="str">
        <f>IFERROR(__xludf.DUMMYFUNCTION("""COMPUTED_VALUE"""),"SUSE Linux Enterprise Server 15 SP4")</f>
        <v>SUSE Linux Enterprise Server 15 SP4</v>
      </c>
      <c r="H89" s="7" t="str">
        <f t="shared" si="3"/>
        <v>NO</v>
      </c>
      <c r="I89" s="7" t="str">
        <f t="shared" si="2"/>
        <v>NO</v>
      </c>
    </row>
    <row r="90">
      <c r="A90" s="4">
        <f>IFERROR(__xludf.DUMMYFUNCTION("""COMPUTED_VALUE"""),1196442.0)</f>
        <v>1196442</v>
      </c>
      <c r="B90" s="4" t="str">
        <f>IFERROR(__xludf.DUMMYFUNCTION("""COMPUTED_VALUE"""),"P2 - High")</f>
        <v>P2 - High</v>
      </c>
      <c r="C90" s="5">
        <f>IFERROR(__xludf.DUMMYFUNCTION("""COMPUTED_VALUE"""),44616.580775462964)</f>
        <v>44616.58078</v>
      </c>
      <c r="D90" s="4" t="str">
        <f>IFERROR(__xludf.DUMMYFUNCTION("""COMPUTED_VALUE"""),"NEW")</f>
        <v>NEW</v>
      </c>
      <c r="E90" s="6">
        <f>IFERROR(__xludf.DUMMYFUNCTION("""COMPUTED_VALUE"""),44621.434432870374)</f>
        <v>44621.43443</v>
      </c>
      <c r="F90" s="4" t="str">
        <f>IFERROR(__xludf.DUMMYFUNCTION("""COMPUTED_VALUE""")," ---")</f>
        <v> ---</v>
      </c>
      <c r="G90" s="4" t="str">
        <f>IFERROR(__xludf.DUMMYFUNCTION("""COMPUTED_VALUE"""),"SUSE Linux Enterprise Server 15 SP4")</f>
        <v>SUSE Linux Enterprise Server 15 SP4</v>
      </c>
      <c r="H90" s="7" t="str">
        <f t="shared" si="3"/>
        <v>NO</v>
      </c>
      <c r="I90" s="7" t="str">
        <f t="shared" si="2"/>
        <v>NO</v>
      </c>
    </row>
    <row r="91">
      <c r="A91" s="4">
        <f>IFERROR(__xludf.DUMMYFUNCTION("""COMPUTED_VALUE"""),1197397.0)</f>
        <v>1197397</v>
      </c>
      <c r="B91" s="4" t="str">
        <f>IFERROR(__xludf.DUMMYFUNCTION("""COMPUTED_VALUE"""),"P2 - High")</f>
        <v>P2 - High</v>
      </c>
      <c r="C91" s="5">
        <f>IFERROR(__xludf.DUMMYFUNCTION("""COMPUTED_VALUE"""),44642.49909722222)</f>
        <v>44642.4991</v>
      </c>
      <c r="D91" s="4" t="str">
        <f>IFERROR(__xludf.DUMMYFUNCTION("""COMPUTED_VALUE"""),"NEW")</f>
        <v>NEW</v>
      </c>
      <c r="E91" s="6">
        <f>IFERROR(__xludf.DUMMYFUNCTION("""COMPUTED_VALUE"""),44694.05295138889)</f>
        <v>44694.05295</v>
      </c>
      <c r="F91" s="4" t="str">
        <f>IFERROR(__xludf.DUMMYFUNCTION("""COMPUTED_VALUE""")," ---")</f>
        <v> ---</v>
      </c>
      <c r="G91" s="4" t="str">
        <f>IFERROR(__xludf.DUMMYFUNCTION("""COMPUTED_VALUE"""),"SUSE Linux Enterprise Server 15 SP4")</f>
        <v>SUSE Linux Enterprise Server 15 SP4</v>
      </c>
      <c r="H91" s="7" t="str">
        <f t="shared" si="3"/>
        <v>NO</v>
      </c>
      <c r="I91" s="7" t="str">
        <f t="shared" si="2"/>
        <v>NO</v>
      </c>
    </row>
    <row r="92">
      <c r="A92" s="4">
        <f>IFERROR(__xludf.DUMMYFUNCTION("""COMPUTED_VALUE"""),1197410.0)</f>
        <v>1197410</v>
      </c>
      <c r="B92" s="4" t="str">
        <f>IFERROR(__xludf.DUMMYFUNCTION("""COMPUTED_VALUE"""),"P2 - High")</f>
        <v>P2 - High</v>
      </c>
      <c r="C92" s="5">
        <f>IFERROR(__xludf.DUMMYFUNCTION("""COMPUTED_VALUE"""),44643.01288194444)</f>
        <v>44643.01288</v>
      </c>
      <c r="D92" s="4" t="str">
        <f>IFERROR(__xludf.DUMMYFUNCTION("""COMPUTED_VALUE"""),"NEW")</f>
        <v>NEW</v>
      </c>
      <c r="E92" s="6">
        <f>IFERROR(__xludf.DUMMYFUNCTION("""COMPUTED_VALUE"""),44736.40725694445)</f>
        <v>44736.40726</v>
      </c>
      <c r="F92" s="4" t="str">
        <f>IFERROR(__xludf.DUMMYFUNCTION("""COMPUTED_VALUE""")," ---")</f>
        <v> ---</v>
      </c>
      <c r="G92" s="4" t="str">
        <f>IFERROR(__xludf.DUMMYFUNCTION("""COMPUTED_VALUE"""),"SUSE Linux Enterprise Server 15 SP4")</f>
        <v>SUSE Linux Enterprise Server 15 SP4</v>
      </c>
      <c r="H92" s="7" t="str">
        <f t="shared" si="3"/>
        <v>NO</v>
      </c>
      <c r="I92" s="7" t="str">
        <f t="shared" si="2"/>
        <v>NO</v>
      </c>
    </row>
    <row r="93">
      <c r="A93" s="4">
        <f>IFERROR(__xludf.DUMMYFUNCTION("""COMPUTED_VALUE"""),1197435.0)</f>
        <v>1197435</v>
      </c>
      <c r="B93" s="4" t="str">
        <f>IFERROR(__xludf.DUMMYFUNCTION("""COMPUTED_VALUE"""),"P2 - High")</f>
        <v>P2 - High</v>
      </c>
      <c r="C93" s="5">
        <f>IFERROR(__xludf.DUMMYFUNCTION("""COMPUTED_VALUE"""),44643.58321759259)</f>
        <v>44643.58322</v>
      </c>
      <c r="D93" s="4" t="str">
        <f>IFERROR(__xludf.DUMMYFUNCTION("""COMPUTED_VALUE"""),"NEW")</f>
        <v>NEW</v>
      </c>
      <c r="E93" s="6">
        <f>IFERROR(__xludf.DUMMYFUNCTION("""COMPUTED_VALUE"""),44649.357453703706)</f>
        <v>44649.35745</v>
      </c>
      <c r="F93" s="4" t="str">
        <f>IFERROR(__xludf.DUMMYFUNCTION("""COMPUTED_VALUE""")," ---")</f>
        <v> ---</v>
      </c>
      <c r="G93" s="4" t="str">
        <f>IFERROR(__xludf.DUMMYFUNCTION("""COMPUTED_VALUE"""),"PUBLIC SUSE Linux Enterprise Server 15 SP4")</f>
        <v>PUBLIC SUSE Linux Enterprise Server 15 SP4</v>
      </c>
      <c r="H93" s="7" t="str">
        <f t="shared" si="3"/>
        <v>NO</v>
      </c>
      <c r="I93" s="7" t="str">
        <f t="shared" si="2"/>
        <v>NO</v>
      </c>
    </row>
    <row r="94">
      <c r="A94" s="4">
        <f>IFERROR(__xludf.DUMMYFUNCTION("""COMPUTED_VALUE"""),1197626.0)</f>
        <v>1197626</v>
      </c>
      <c r="B94" s="4" t="str">
        <f>IFERROR(__xludf.DUMMYFUNCTION("""COMPUTED_VALUE"""),"P2 - High")</f>
        <v>P2 - High</v>
      </c>
      <c r="C94" s="5">
        <f>IFERROR(__xludf.DUMMYFUNCTION("""COMPUTED_VALUE"""),44649.32648148148)</f>
        <v>44649.32648</v>
      </c>
      <c r="D94" s="4" t="str">
        <f>IFERROR(__xludf.DUMMYFUNCTION("""COMPUTED_VALUE"""),"NEW")</f>
        <v>NEW</v>
      </c>
      <c r="E94" s="6">
        <f>IFERROR(__xludf.DUMMYFUNCTION("""COMPUTED_VALUE"""),44657.35821759259)</f>
        <v>44657.35822</v>
      </c>
      <c r="F94" s="4" t="str">
        <f>IFERROR(__xludf.DUMMYFUNCTION("""COMPUTED_VALUE""")," ---")</f>
        <v> ---</v>
      </c>
      <c r="G94" s="4" t="str">
        <f>IFERROR(__xludf.DUMMYFUNCTION("""COMPUTED_VALUE"""),"SUSE Linux Enterprise Server 15 SP4")</f>
        <v>SUSE Linux Enterprise Server 15 SP4</v>
      </c>
      <c r="H94" s="7" t="str">
        <f t="shared" si="3"/>
        <v>NO</v>
      </c>
      <c r="I94" s="7" t="str">
        <f t="shared" si="2"/>
        <v>NO</v>
      </c>
    </row>
    <row r="95">
      <c r="A95" s="4">
        <f>IFERROR(__xludf.DUMMYFUNCTION("""COMPUTED_VALUE"""),1198682.0)</f>
        <v>1198682</v>
      </c>
      <c r="B95" s="4" t="str">
        <f>IFERROR(__xludf.DUMMYFUNCTION("""COMPUTED_VALUE"""),"P2 - High")</f>
        <v>P2 - High</v>
      </c>
      <c r="C95" s="5">
        <f>IFERROR(__xludf.DUMMYFUNCTION("""COMPUTED_VALUE"""),44671.325891203705)</f>
        <v>44671.32589</v>
      </c>
      <c r="D95" s="4" t="str">
        <f>IFERROR(__xludf.DUMMYFUNCTION("""COMPUTED_VALUE"""),"NEW")</f>
        <v>NEW</v>
      </c>
      <c r="E95" s="6">
        <f>IFERROR(__xludf.DUMMYFUNCTION("""COMPUTED_VALUE"""),44705.46763888889)</f>
        <v>44705.46764</v>
      </c>
      <c r="F95" s="4" t="str">
        <f>IFERROR(__xludf.DUMMYFUNCTION("""COMPUTED_VALUE""")," ---")</f>
        <v> ---</v>
      </c>
      <c r="G95" s="4" t="str">
        <f>IFERROR(__xludf.DUMMYFUNCTION("""COMPUTED_VALUE"""),"SUSE Linux Enterprise Server 15 SP4")</f>
        <v>SUSE Linux Enterprise Server 15 SP4</v>
      </c>
      <c r="H95" s="7" t="str">
        <f t="shared" si="3"/>
        <v>NO</v>
      </c>
      <c r="I95" s="7" t="str">
        <f t="shared" si="2"/>
        <v>NO</v>
      </c>
    </row>
    <row r="96">
      <c r="A96" s="4">
        <f>IFERROR(__xludf.DUMMYFUNCTION("""COMPUTED_VALUE"""),1198836.0)</f>
        <v>1198836</v>
      </c>
      <c r="B96" s="4" t="str">
        <f>IFERROR(__xludf.DUMMYFUNCTION("""COMPUTED_VALUE"""),"P2 - High")</f>
        <v>P2 - High</v>
      </c>
      <c r="C96" s="5">
        <f>IFERROR(__xludf.DUMMYFUNCTION("""COMPUTED_VALUE"""),44676.67201388889)</f>
        <v>44676.67201</v>
      </c>
      <c r="D96" s="4" t="str">
        <f>IFERROR(__xludf.DUMMYFUNCTION("""COMPUTED_VALUE"""),"NEW")</f>
        <v>NEW</v>
      </c>
      <c r="E96" s="6">
        <f>IFERROR(__xludf.DUMMYFUNCTION("""COMPUTED_VALUE"""),44691.58164351852)</f>
        <v>44691.58164</v>
      </c>
      <c r="F96" s="4" t="str">
        <f>IFERROR(__xludf.DUMMYFUNCTION("""COMPUTED_VALUE""")," ---")</f>
        <v> ---</v>
      </c>
      <c r="G96" s="4" t="str">
        <f>IFERROR(__xludf.DUMMYFUNCTION("""COMPUTED_VALUE"""),"SUSE Linux Enterprise Server 15 SP4")</f>
        <v>SUSE Linux Enterprise Server 15 SP4</v>
      </c>
      <c r="H96" s="7" t="str">
        <f t="shared" si="3"/>
        <v>NO</v>
      </c>
      <c r="I96" s="7" t="str">
        <f t="shared" si="2"/>
        <v>NO</v>
      </c>
    </row>
    <row r="97">
      <c r="A97" s="4">
        <f>IFERROR(__xludf.DUMMYFUNCTION("""COMPUTED_VALUE"""),1198957.0)</f>
        <v>1198957</v>
      </c>
      <c r="B97" s="4" t="str">
        <f>IFERROR(__xludf.DUMMYFUNCTION("""COMPUTED_VALUE"""),"P2 - High")</f>
        <v>P2 - High</v>
      </c>
      <c r="C97" s="5">
        <f>IFERROR(__xludf.DUMMYFUNCTION("""COMPUTED_VALUE"""),44678.969814814816)</f>
        <v>44678.96981</v>
      </c>
      <c r="D97" s="4" t="str">
        <f>IFERROR(__xludf.DUMMYFUNCTION("""COMPUTED_VALUE"""),"NEW")</f>
        <v>NEW</v>
      </c>
      <c r="E97" s="6">
        <f>IFERROR(__xludf.DUMMYFUNCTION("""COMPUTED_VALUE"""),44684.31166666667)</f>
        <v>44684.31167</v>
      </c>
      <c r="F97" s="4" t="str">
        <f>IFERROR(__xludf.DUMMYFUNCTION("""COMPUTED_VALUE""")," ---")</f>
        <v> ---</v>
      </c>
      <c r="G97" s="4" t="str">
        <f>IFERROR(__xludf.DUMMYFUNCTION("""COMPUTED_VALUE"""),"PUBLIC SUSE Linux Enterprise Server 15 SP4")</f>
        <v>PUBLIC SUSE Linux Enterprise Server 15 SP4</v>
      </c>
      <c r="H97" s="7" t="str">
        <f t="shared" si="3"/>
        <v>NO</v>
      </c>
      <c r="I97" s="7" t="str">
        <f t="shared" si="2"/>
        <v>NO</v>
      </c>
    </row>
    <row r="98">
      <c r="A98" s="4">
        <f>IFERROR(__xludf.DUMMYFUNCTION("""COMPUTED_VALUE"""),1198994.0)</f>
        <v>1198994</v>
      </c>
      <c r="B98" s="4" t="str">
        <f>IFERROR(__xludf.DUMMYFUNCTION("""COMPUTED_VALUE"""),"P2 - High")</f>
        <v>P2 - High</v>
      </c>
      <c r="C98" s="5">
        <f>IFERROR(__xludf.DUMMYFUNCTION("""COMPUTED_VALUE"""),44679.95758101852)</f>
        <v>44679.95758</v>
      </c>
      <c r="D98" s="4" t="str">
        <f>IFERROR(__xludf.DUMMYFUNCTION("""COMPUTED_VALUE"""),"NEW")</f>
        <v>NEW</v>
      </c>
      <c r="E98" s="6">
        <f>IFERROR(__xludf.DUMMYFUNCTION("""COMPUTED_VALUE"""),44734.630891203706)</f>
        <v>44734.63089</v>
      </c>
      <c r="F98" s="4" t="str">
        <f>IFERROR(__xludf.DUMMYFUNCTION("""COMPUTED_VALUE"""),"Yes")</f>
        <v>Yes</v>
      </c>
      <c r="G98" s="4" t="str">
        <f>IFERROR(__xludf.DUMMYFUNCTION("""COMPUTED_VALUE"""),"PUBLIC SUSE Linux Enterprise Desktop 15 SP4")</f>
        <v>PUBLIC SUSE Linux Enterprise Desktop 15 SP4</v>
      </c>
      <c r="H98" s="7" t="str">
        <f t="shared" si="3"/>
        <v>NO</v>
      </c>
      <c r="I98" s="7" t="str">
        <f t="shared" si="2"/>
        <v>NO</v>
      </c>
    </row>
    <row r="99">
      <c r="A99" s="4">
        <f>IFERROR(__xludf.DUMMYFUNCTION("""COMPUTED_VALUE"""),1199260.0)</f>
        <v>1199260</v>
      </c>
      <c r="B99" s="4" t="str">
        <f>IFERROR(__xludf.DUMMYFUNCTION("""COMPUTED_VALUE"""),"P2 - High")</f>
        <v>P2 - High</v>
      </c>
      <c r="C99" s="5">
        <f>IFERROR(__xludf.DUMMYFUNCTION("""COMPUTED_VALUE"""),44686.717523148145)</f>
        <v>44686.71752</v>
      </c>
      <c r="D99" s="4" t="str">
        <f>IFERROR(__xludf.DUMMYFUNCTION("""COMPUTED_VALUE"""),"NEW")</f>
        <v>NEW</v>
      </c>
      <c r="E99" s="6">
        <f>IFERROR(__xludf.DUMMYFUNCTION("""COMPUTED_VALUE"""),44736.903020833335)</f>
        <v>44736.90302</v>
      </c>
      <c r="F99" s="4" t="str">
        <f>IFERROR(__xludf.DUMMYFUNCTION("""COMPUTED_VALUE""")," ---")</f>
        <v> ---</v>
      </c>
      <c r="G99" s="4" t="str">
        <f>IFERROR(__xludf.DUMMYFUNCTION("""COMPUTED_VALUE"""),"SUSE Linux Enterprise Server 15 SP4")</f>
        <v>SUSE Linux Enterprise Server 15 SP4</v>
      </c>
      <c r="H99" s="7" t="str">
        <f t="shared" si="3"/>
        <v>NO</v>
      </c>
      <c r="I99" s="7" t="str">
        <f t="shared" si="2"/>
        <v>NO</v>
      </c>
    </row>
    <row r="100">
      <c r="A100" s="4">
        <f>IFERROR(__xludf.DUMMYFUNCTION("""COMPUTED_VALUE"""),1199835.0)</f>
        <v>1199835</v>
      </c>
      <c r="B100" s="4" t="str">
        <f>IFERROR(__xludf.DUMMYFUNCTION("""COMPUTED_VALUE"""),"P2 - High")</f>
        <v>P2 - High</v>
      </c>
      <c r="C100" s="5">
        <f>IFERROR(__xludf.DUMMYFUNCTION("""COMPUTED_VALUE"""),44704.60318287037)</f>
        <v>44704.60318</v>
      </c>
      <c r="D100" s="4" t="str">
        <f>IFERROR(__xludf.DUMMYFUNCTION("""COMPUTED_VALUE"""),"NEW")</f>
        <v>NEW</v>
      </c>
      <c r="E100" s="6">
        <f>IFERROR(__xludf.DUMMYFUNCTION("""COMPUTED_VALUE"""),44705.4887962963)</f>
        <v>44705.4888</v>
      </c>
      <c r="F100" s="4" t="str">
        <f>IFERROR(__xludf.DUMMYFUNCTION("""COMPUTED_VALUE""")," ---")</f>
        <v> ---</v>
      </c>
      <c r="G100" s="4" t="str">
        <f>IFERROR(__xludf.DUMMYFUNCTION("""COMPUTED_VALUE"""),"SUSE Linux Enterprise Server 15 SP4")</f>
        <v>SUSE Linux Enterprise Server 15 SP4</v>
      </c>
      <c r="H100" s="7" t="str">
        <f t="shared" si="3"/>
        <v>NO</v>
      </c>
      <c r="I100" s="7" t="str">
        <f t="shared" si="2"/>
        <v>NO</v>
      </c>
    </row>
    <row r="101">
      <c r="A101" s="4">
        <f>IFERROR(__xludf.DUMMYFUNCTION("""COMPUTED_VALUE"""),1199866.0)</f>
        <v>1199866</v>
      </c>
      <c r="B101" s="4" t="str">
        <f>IFERROR(__xludf.DUMMYFUNCTION("""COMPUTED_VALUE"""),"P2 - High")</f>
        <v>P2 - High</v>
      </c>
      <c r="C101" s="5">
        <f>IFERROR(__xludf.DUMMYFUNCTION("""COMPUTED_VALUE"""),44705.31791666667)</f>
        <v>44705.31792</v>
      </c>
      <c r="D101" s="4" t="str">
        <f>IFERROR(__xludf.DUMMYFUNCTION("""COMPUTED_VALUE"""),"NEW")</f>
        <v>NEW</v>
      </c>
      <c r="E101" s="6">
        <f>IFERROR(__xludf.DUMMYFUNCTION("""COMPUTED_VALUE"""),44720.031180555554)</f>
        <v>44720.03118</v>
      </c>
      <c r="F101" s="4" t="str">
        <f>IFERROR(__xludf.DUMMYFUNCTION("""COMPUTED_VALUE""")," ---")</f>
        <v> ---</v>
      </c>
      <c r="G101" s="4" t="str">
        <f>IFERROR(__xludf.DUMMYFUNCTION("""COMPUTED_VALUE"""),"SUSE Linux Enterprise Server 15 SP4")</f>
        <v>SUSE Linux Enterprise Server 15 SP4</v>
      </c>
      <c r="H101" s="7" t="str">
        <f t="shared" si="3"/>
        <v>NO</v>
      </c>
      <c r="I101" s="7" t="str">
        <f t="shared" si="2"/>
        <v>NO</v>
      </c>
    </row>
    <row r="102">
      <c r="A102" s="4">
        <f>IFERROR(__xludf.DUMMYFUNCTION("""COMPUTED_VALUE"""),1200054.0)</f>
        <v>1200054</v>
      </c>
      <c r="B102" s="4" t="str">
        <f>IFERROR(__xludf.DUMMYFUNCTION("""COMPUTED_VALUE"""),"P2 - High")</f>
        <v>P2 - High</v>
      </c>
      <c r="C102" s="5">
        <f>IFERROR(__xludf.DUMMYFUNCTION("""COMPUTED_VALUE"""),44712.33053240741)</f>
        <v>44712.33053</v>
      </c>
      <c r="D102" s="4" t="str">
        <f>IFERROR(__xludf.DUMMYFUNCTION("""COMPUTED_VALUE"""),"NEW")</f>
        <v>NEW</v>
      </c>
      <c r="E102" s="6">
        <f>IFERROR(__xludf.DUMMYFUNCTION("""COMPUTED_VALUE"""),44718.25572916667)</f>
        <v>44718.25573</v>
      </c>
      <c r="F102" s="4" t="str">
        <f>IFERROR(__xludf.DUMMYFUNCTION("""COMPUTED_VALUE""")," ---")</f>
        <v> ---</v>
      </c>
      <c r="G102" s="4" t="str">
        <f>IFERROR(__xludf.DUMMYFUNCTION("""COMPUTED_VALUE"""),"SUSE Linux Enterprise Server 15 SP4")</f>
        <v>SUSE Linux Enterprise Server 15 SP4</v>
      </c>
      <c r="H102" s="7" t="str">
        <f t="shared" si="3"/>
        <v>NO</v>
      </c>
      <c r="I102" s="7" t="str">
        <f t="shared" si="2"/>
        <v>NO</v>
      </c>
    </row>
    <row r="103">
      <c r="A103" s="4">
        <f>IFERROR(__xludf.DUMMYFUNCTION("""COMPUTED_VALUE"""),1194959.0)</f>
        <v>1194959</v>
      </c>
      <c r="B103" s="4" t="str">
        <f>IFERROR(__xludf.DUMMYFUNCTION("""COMPUTED_VALUE"""),"P2 - High")</f>
        <v>P2 - High</v>
      </c>
      <c r="C103" s="5">
        <f>IFERROR(__xludf.DUMMYFUNCTION("""COMPUTED_VALUE"""),44581.48034722222)</f>
        <v>44581.48035</v>
      </c>
      <c r="D103" s="4" t="str">
        <f>IFERROR(__xludf.DUMMYFUNCTION("""COMPUTED_VALUE"""),"NEW")</f>
        <v>NEW</v>
      </c>
      <c r="E103" s="6">
        <f>IFERROR(__xludf.DUMMYFUNCTION("""COMPUTED_VALUE"""),44668.49736111111)</f>
        <v>44668.49736</v>
      </c>
      <c r="F103" s="4" t="str">
        <f>IFERROR(__xludf.DUMMYFUNCTION("""COMPUTED_VALUE""")," ---")</f>
        <v> ---</v>
      </c>
      <c r="G103" s="4" t="str">
        <f>IFERROR(__xludf.DUMMYFUNCTION("""COMPUTED_VALUE"""),"SUSE Linux Enterprise Server 15 SP4")</f>
        <v>SUSE Linux Enterprise Server 15 SP4</v>
      </c>
      <c r="H103" s="7" t="str">
        <f t="shared" si="3"/>
        <v>NO</v>
      </c>
      <c r="I103" s="7" t="str">
        <f t="shared" si="2"/>
        <v>NO</v>
      </c>
    </row>
    <row r="104">
      <c r="A104" s="4">
        <f>IFERROR(__xludf.DUMMYFUNCTION("""COMPUTED_VALUE"""),1199923.0)</f>
        <v>1199923</v>
      </c>
      <c r="B104" s="4" t="str">
        <f>IFERROR(__xludf.DUMMYFUNCTION("""COMPUTED_VALUE"""),"P2 - High")</f>
        <v>P2 - High</v>
      </c>
      <c r="C104" s="5">
        <f>IFERROR(__xludf.DUMMYFUNCTION("""COMPUTED_VALUE"""),44706.68854166667)</f>
        <v>44706.68854</v>
      </c>
      <c r="D104" s="4" t="str">
        <f>IFERROR(__xludf.DUMMYFUNCTION("""COMPUTED_VALUE"""),"NEW")</f>
        <v>NEW</v>
      </c>
      <c r="E104" s="6">
        <f>IFERROR(__xludf.DUMMYFUNCTION("""COMPUTED_VALUE"""),44726.51068287037)</f>
        <v>44726.51068</v>
      </c>
      <c r="F104" s="4" t="str">
        <f>IFERROR(__xludf.DUMMYFUNCTION("""COMPUTED_VALUE""")," ---")</f>
        <v> ---</v>
      </c>
      <c r="G104" s="4" t="str">
        <f>IFERROR(__xludf.DUMMYFUNCTION("""COMPUTED_VALUE"""),"SUSE Linux Enterprise Server 15 SP4")</f>
        <v>SUSE Linux Enterprise Server 15 SP4</v>
      </c>
      <c r="H104" s="7" t="str">
        <f t="shared" si="3"/>
        <v>NO</v>
      </c>
      <c r="I104" s="7" t="str">
        <f t="shared" si="2"/>
        <v>NO</v>
      </c>
    </row>
    <row r="105">
      <c r="A105" s="4">
        <f>IFERROR(__xludf.DUMMYFUNCTION("""COMPUTED_VALUE"""),1194825.0)</f>
        <v>1194825</v>
      </c>
      <c r="B105" s="4" t="str">
        <f>IFERROR(__xludf.DUMMYFUNCTION("""COMPUTED_VALUE"""),"P2 - High")</f>
        <v>P2 - High</v>
      </c>
      <c r="C105" s="5">
        <f>IFERROR(__xludf.DUMMYFUNCTION("""COMPUTED_VALUE"""),44579.47667824074)</f>
        <v>44579.47668</v>
      </c>
      <c r="D105" s="4" t="str">
        <f>IFERROR(__xludf.DUMMYFUNCTION("""COMPUTED_VALUE"""),"NEW")</f>
        <v>NEW</v>
      </c>
      <c r="E105" s="6">
        <f>IFERROR(__xludf.DUMMYFUNCTION("""COMPUTED_VALUE"""),44668.497037037036)</f>
        <v>44668.49704</v>
      </c>
      <c r="F105" s="4" t="str">
        <f>IFERROR(__xludf.DUMMYFUNCTION("""COMPUTED_VALUE""")," ---")</f>
        <v> ---</v>
      </c>
      <c r="G105" s="4" t="str">
        <f>IFERROR(__xludf.DUMMYFUNCTION("""COMPUTED_VALUE"""),"PUBLIC SUSE Linux Enterprise Desktop 15 SP4")</f>
        <v>PUBLIC SUSE Linux Enterprise Desktop 15 SP4</v>
      </c>
      <c r="H105" s="7" t="str">
        <f t="shared" si="3"/>
        <v>NO</v>
      </c>
      <c r="I105" s="7" t="str">
        <f t="shared" si="2"/>
        <v>NO</v>
      </c>
    </row>
    <row r="106">
      <c r="A106" s="4">
        <f>IFERROR(__xludf.DUMMYFUNCTION("""COMPUTED_VALUE"""),1199403.0)</f>
        <v>1199403</v>
      </c>
      <c r="B106" s="4" t="str">
        <f>IFERROR(__xludf.DUMMYFUNCTION("""COMPUTED_VALUE"""),"P2 - High")</f>
        <v>P2 - High</v>
      </c>
      <c r="C106" s="5">
        <f>IFERROR(__xludf.DUMMYFUNCTION("""COMPUTED_VALUE"""),44691.654270833336)</f>
        <v>44691.65427</v>
      </c>
      <c r="D106" s="4" t="str">
        <f>IFERROR(__xludf.DUMMYFUNCTION("""COMPUTED_VALUE"""),"NEW")</f>
        <v>NEW</v>
      </c>
      <c r="E106" s="6">
        <f>IFERROR(__xludf.DUMMYFUNCTION("""COMPUTED_VALUE"""),44699.55474537037)</f>
        <v>44699.55475</v>
      </c>
      <c r="F106" s="4" t="str">
        <f>IFERROR(__xludf.DUMMYFUNCTION("""COMPUTED_VALUE""")," ---")</f>
        <v> ---</v>
      </c>
      <c r="G106" s="4" t="str">
        <f>IFERROR(__xludf.DUMMYFUNCTION("""COMPUTED_VALUE"""),"SUSE Linux Enterprise Server 15 SP4")</f>
        <v>SUSE Linux Enterprise Server 15 SP4</v>
      </c>
      <c r="H106" s="7" t="str">
        <f t="shared" si="3"/>
        <v>NO</v>
      </c>
      <c r="I106" s="7" t="str">
        <f t="shared" si="2"/>
        <v>NO</v>
      </c>
    </row>
    <row r="107">
      <c r="A107" s="4">
        <f>IFERROR(__xludf.DUMMYFUNCTION("""COMPUTED_VALUE"""),1196306.0)</f>
        <v>1196306</v>
      </c>
      <c r="B107" s="4" t="str">
        <f>IFERROR(__xludf.DUMMYFUNCTION("""COMPUTED_VALUE"""),"P2 - High")</f>
        <v>P2 - High</v>
      </c>
      <c r="C107" s="5">
        <f>IFERROR(__xludf.DUMMYFUNCTION("""COMPUTED_VALUE"""),44614.70096064815)</f>
        <v>44614.70096</v>
      </c>
      <c r="D107" s="4" t="str">
        <f>IFERROR(__xludf.DUMMYFUNCTION("""COMPUTED_VALUE"""),"NEW")</f>
        <v>NEW</v>
      </c>
      <c r="E107" s="6">
        <f>IFERROR(__xludf.DUMMYFUNCTION("""COMPUTED_VALUE"""),44736.466770833336)</f>
        <v>44736.46677</v>
      </c>
      <c r="F107" s="4" t="str">
        <f>IFERROR(__xludf.DUMMYFUNCTION("""COMPUTED_VALUE""")," ---")</f>
        <v> ---</v>
      </c>
      <c r="G107" s="4" t="str">
        <f>IFERROR(__xludf.DUMMYFUNCTION("""COMPUTED_VALUE"""),"SUSE Linux Enterprise Server 15 SP4")</f>
        <v>SUSE Linux Enterprise Server 15 SP4</v>
      </c>
      <c r="H107" s="7" t="str">
        <f t="shared" si="3"/>
        <v>NO</v>
      </c>
      <c r="I107" s="7" t="str">
        <f t="shared" si="2"/>
        <v>NO</v>
      </c>
    </row>
    <row r="108">
      <c r="A108" s="4">
        <f>IFERROR(__xludf.DUMMYFUNCTION("""COMPUTED_VALUE"""),1196930.0)</f>
        <v>1196930</v>
      </c>
      <c r="B108" s="4" t="str">
        <f>IFERROR(__xludf.DUMMYFUNCTION("""COMPUTED_VALUE"""),"P2 - High")</f>
        <v>P2 - High</v>
      </c>
      <c r="C108" s="5">
        <f>IFERROR(__xludf.DUMMYFUNCTION("""COMPUTED_VALUE"""),44629.652604166666)</f>
        <v>44629.6526</v>
      </c>
      <c r="D108" s="4" t="str">
        <f>IFERROR(__xludf.DUMMYFUNCTION("""COMPUTED_VALUE"""),"NEW")</f>
        <v>NEW</v>
      </c>
      <c r="E108" s="6">
        <f>IFERROR(__xludf.DUMMYFUNCTION("""COMPUTED_VALUE"""),44736.467465277776)</f>
        <v>44736.46747</v>
      </c>
      <c r="F108" s="4" t="str">
        <f>IFERROR(__xludf.DUMMYFUNCTION("""COMPUTED_VALUE""")," ---")</f>
        <v> ---</v>
      </c>
      <c r="G108" s="4" t="str">
        <f>IFERROR(__xludf.DUMMYFUNCTION("""COMPUTED_VALUE"""),"SUSE Linux Enterprise Server 15 SP4")</f>
        <v>SUSE Linux Enterprise Server 15 SP4</v>
      </c>
      <c r="H108" s="7" t="str">
        <f t="shared" si="3"/>
        <v>NO</v>
      </c>
      <c r="I108" s="7" t="str">
        <f t="shared" si="2"/>
        <v>NO</v>
      </c>
    </row>
    <row r="109">
      <c r="A109" s="4">
        <f>IFERROR(__xludf.DUMMYFUNCTION("""COMPUTED_VALUE"""),1194357.0)</f>
        <v>1194357</v>
      </c>
      <c r="B109" s="4" t="str">
        <f>IFERROR(__xludf.DUMMYFUNCTION("""COMPUTED_VALUE"""),"P2 - High")</f>
        <v>P2 - High</v>
      </c>
      <c r="C109" s="5">
        <f>IFERROR(__xludf.DUMMYFUNCTION("""COMPUTED_VALUE"""),44567.28952546296)</f>
        <v>44567.28953</v>
      </c>
      <c r="D109" s="4" t="str">
        <f>IFERROR(__xludf.DUMMYFUNCTION("""COMPUTED_VALUE"""),"NEW")</f>
        <v>NEW</v>
      </c>
      <c r="E109" s="6">
        <f>IFERROR(__xludf.DUMMYFUNCTION("""COMPUTED_VALUE"""),44611.02306712963)</f>
        <v>44611.02307</v>
      </c>
      <c r="F109" s="4" t="str">
        <f>IFERROR(__xludf.DUMMYFUNCTION("""COMPUTED_VALUE""")," ---")</f>
        <v> ---</v>
      </c>
      <c r="G109" s="4" t="str">
        <f>IFERROR(__xludf.DUMMYFUNCTION("""COMPUTED_VALUE"""),"SUSE Linux Enterprise Server 15 SP4")</f>
        <v>SUSE Linux Enterprise Server 15 SP4</v>
      </c>
      <c r="H109" s="7" t="str">
        <f t="shared" si="3"/>
        <v>NO</v>
      </c>
      <c r="I109" s="7" t="str">
        <f t="shared" si="2"/>
        <v>NO</v>
      </c>
    </row>
    <row r="110">
      <c r="A110" s="4">
        <f>IFERROR(__xludf.DUMMYFUNCTION("""COMPUTED_VALUE"""),1196735.0)</f>
        <v>1196735</v>
      </c>
      <c r="B110" s="4" t="str">
        <f>IFERROR(__xludf.DUMMYFUNCTION("""COMPUTED_VALUE"""),"P2 - High")</f>
        <v>P2 - High</v>
      </c>
      <c r="C110" s="5">
        <f>IFERROR(__xludf.DUMMYFUNCTION("""COMPUTED_VALUE"""),44624.24013888889)</f>
        <v>44624.24014</v>
      </c>
      <c r="D110" s="4" t="str">
        <f>IFERROR(__xludf.DUMMYFUNCTION("""COMPUTED_VALUE"""),"NEW")</f>
        <v>NEW</v>
      </c>
      <c r="E110" s="6">
        <f>IFERROR(__xludf.DUMMYFUNCTION("""COMPUTED_VALUE"""),44720.0312037037)</f>
        <v>44720.0312</v>
      </c>
      <c r="F110" s="4" t="str">
        <f>IFERROR(__xludf.DUMMYFUNCTION("""COMPUTED_VALUE"""),"Yes")</f>
        <v>Yes</v>
      </c>
      <c r="G110" s="4" t="str">
        <f>IFERROR(__xludf.DUMMYFUNCTION("""COMPUTED_VALUE"""),"PUBLIC SUSE Linux Enterprise Server 15 SP4")</f>
        <v>PUBLIC SUSE Linux Enterprise Server 15 SP4</v>
      </c>
      <c r="H110" s="7" t="str">
        <f t="shared" si="3"/>
        <v>NO</v>
      </c>
      <c r="I110" s="7" t="str">
        <f t="shared" si="2"/>
        <v>NO</v>
      </c>
    </row>
    <row r="111">
      <c r="A111" s="4">
        <f>IFERROR(__xludf.DUMMYFUNCTION("""COMPUTED_VALUE"""),1200567.0)</f>
        <v>1200567</v>
      </c>
      <c r="B111" s="4" t="str">
        <f>IFERROR(__xludf.DUMMYFUNCTION("""COMPUTED_VALUE"""),"P2 - High")</f>
        <v>P2 - High</v>
      </c>
      <c r="C111" s="5">
        <f>IFERROR(__xludf.DUMMYFUNCTION("""COMPUTED_VALUE"""),44727.50383101852)</f>
        <v>44727.50383</v>
      </c>
      <c r="D111" s="4" t="str">
        <f>IFERROR(__xludf.DUMMYFUNCTION("""COMPUTED_VALUE"""),"CONFIRMED")</f>
        <v>CONFIRMED</v>
      </c>
      <c r="E111" s="6">
        <f>IFERROR(__xludf.DUMMYFUNCTION("""COMPUTED_VALUE"""),44732.50790509259)</f>
        <v>44732.50791</v>
      </c>
      <c r="F111" s="4" t="str">
        <f>IFERROR(__xludf.DUMMYFUNCTION("""COMPUTED_VALUE""")," ---")</f>
        <v> ---</v>
      </c>
      <c r="G111" s="4" t="str">
        <f>IFERROR(__xludf.DUMMYFUNCTION("""COMPUTED_VALUE"""),"SUSE Linux Enterprise Server 15 SP4")</f>
        <v>SUSE Linux Enterprise Server 15 SP4</v>
      </c>
      <c r="H111" s="7" t="str">
        <f t="shared" si="3"/>
        <v>NO</v>
      </c>
      <c r="I111" s="7" t="str">
        <f t="shared" si="2"/>
        <v>NO</v>
      </c>
    </row>
    <row r="112">
      <c r="A112" s="4">
        <f>IFERROR(__xludf.DUMMYFUNCTION("""COMPUTED_VALUE"""),1193175.0)</f>
        <v>1193175</v>
      </c>
      <c r="B112" s="4" t="str">
        <f>IFERROR(__xludf.DUMMYFUNCTION("""COMPUTED_VALUE"""),"P2 - High")</f>
        <v>P2 - High</v>
      </c>
      <c r="C112" s="5">
        <f>IFERROR(__xludf.DUMMYFUNCTION("""COMPUTED_VALUE"""),44529.48552083333)</f>
        <v>44529.48552</v>
      </c>
      <c r="D112" s="4" t="str">
        <f>IFERROR(__xludf.DUMMYFUNCTION("""COMPUTED_VALUE"""),"CONFIRMED")</f>
        <v>CONFIRMED</v>
      </c>
      <c r="E112" s="6">
        <f>IFERROR(__xludf.DUMMYFUNCTION("""COMPUTED_VALUE"""),44688.40408564815)</f>
        <v>44688.40409</v>
      </c>
      <c r="F112" s="4" t="str">
        <f>IFERROR(__xludf.DUMMYFUNCTION("""COMPUTED_VALUE""")," ---")</f>
        <v> ---</v>
      </c>
      <c r="G112" s="4" t="str">
        <f>IFERROR(__xludf.DUMMYFUNCTION("""COMPUTED_VALUE"""),"SUSE Linux Enterprise Server 15 SP4")</f>
        <v>SUSE Linux Enterprise Server 15 SP4</v>
      </c>
      <c r="H112" s="7" t="str">
        <f t="shared" si="3"/>
        <v>NO</v>
      </c>
      <c r="I112" s="7" t="str">
        <f t="shared" si="2"/>
        <v>NO</v>
      </c>
    </row>
    <row r="113">
      <c r="A113" s="4">
        <f>IFERROR(__xludf.DUMMYFUNCTION("""COMPUTED_VALUE"""),1193198.0)</f>
        <v>1193198</v>
      </c>
      <c r="B113" s="4" t="str">
        <f>IFERROR(__xludf.DUMMYFUNCTION("""COMPUTED_VALUE"""),"P2 - High")</f>
        <v>P2 - High</v>
      </c>
      <c r="C113" s="5">
        <f>IFERROR(__xludf.DUMMYFUNCTION("""COMPUTED_VALUE"""),44530.10530092593)</f>
        <v>44530.1053</v>
      </c>
      <c r="D113" s="4" t="str">
        <f>IFERROR(__xludf.DUMMYFUNCTION("""COMPUTED_VALUE"""),"CONFIRMED")</f>
        <v>CONFIRMED</v>
      </c>
      <c r="E113" s="6">
        <f>IFERROR(__xludf.DUMMYFUNCTION("""COMPUTED_VALUE"""),44693.36834490741)</f>
        <v>44693.36834</v>
      </c>
      <c r="F113" s="4" t="str">
        <f>IFERROR(__xludf.DUMMYFUNCTION("""COMPUTED_VALUE""")," ---")</f>
        <v> ---</v>
      </c>
      <c r="G113" s="4" t="str">
        <f>IFERROR(__xludf.DUMMYFUNCTION("""COMPUTED_VALUE"""),"SUSE Linux Enterprise Server 15 SP4")</f>
        <v>SUSE Linux Enterprise Server 15 SP4</v>
      </c>
      <c r="H113" s="7" t="str">
        <f t="shared" si="3"/>
        <v>NO</v>
      </c>
      <c r="I113" s="7" t="str">
        <f t="shared" si="2"/>
        <v>NO</v>
      </c>
    </row>
    <row r="114">
      <c r="A114" s="4">
        <f>IFERROR(__xludf.DUMMYFUNCTION("""COMPUTED_VALUE"""),1195921.0)</f>
        <v>1195921</v>
      </c>
      <c r="B114" s="4" t="str">
        <f>IFERROR(__xludf.DUMMYFUNCTION("""COMPUTED_VALUE"""),"P2 - High")</f>
        <v>P2 - High</v>
      </c>
      <c r="C114" s="5">
        <f>IFERROR(__xludf.DUMMYFUNCTION("""COMPUTED_VALUE"""),44606.71324074074)</f>
        <v>44606.71324</v>
      </c>
      <c r="D114" s="4" t="str">
        <f>IFERROR(__xludf.DUMMYFUNCTION("""COMPUTED_VALUE"""),"CONFIRMED")</f>
        <v>CONFIRMED</v>
      </c>
      <c r="E114" s="6">
        <f>IFERROR(__xludf.DUMMYFUNCTION("""COMPUTED_VALUE"""),44636.060960648145)</f>
        <v>44636.06096</v>
      </c>
      <c r="F114" s="4" t="str">
        <f>IFERROR(__xludf.DUMMYFUNCTION("""COMPUTED_VALUE""")," ---")</f>
        <v> ---</v>
      </c>
      <c r="G114" s="4" t="str">
        <f>IFERROR(__xludf.DUMMYFUNCTION("""COMPUTED_VALUE"""),"SUSE Linux Enterprise Server 15 SP4")</f>
        <v>SUSE Linux Enterprise Server 15 SP4</v>
      </c>
      <c r="H114" s="7" t="str">
        <f t="shared" si="3"/>
        <v>NO</v>
      </c>
      <c r="I114" s="7" t="str">
        <f t="shared" si="2"/>
        <v>NO</v>
      </c>
    </row>
    <row r="115">
      <c r="A115" s="4">
        <f>IFERROR(__xludf.DUMMYFUNCTION("""COMPUTED_VALUE"""),1197722.0)</f>
        <v>1197722</v>
      </c>
      <c r="B115" s="4" t="str">
        <f>IFERROR(__xludf.DUMMYFUNCTION("""COMPUTED_VALUE"""),"P2 - High")</f>
        <v>P2 - High</v>
      </c>
      <c r="C115" s="5">
        <f>IFERROR(__xludf.DUMMYFUNCTION("""COMPUTED_VALUE"""),44650.54405092593)</f>
        <v>44650.54405</v>
      </c>
      <c r="D115" s="4" t="str">
        <f>IFERROR(__xludf.DUMMYFUNCTION("""COMPUTED_VALUE"""),"CONFIRMED")</f>
        <v>CONFIRMED</v>
      </c>
      <c r="E115" s="6">
        <f>IFERROR(__xludf.DUMMYFUNCTION("""COMPUTED_VALUE"""),44656.286782407406)</f>
        <v>44656.28678</v>
      </c>
      <c r="F115" s="4" t="str">
        <f>IFERROR(__xludf.DUMMYFUNCTION("""COMPUTED_VALUE""")," ---")</f>
        <v> ---</v>
      </c>
      <c r="G115" s="4" t="str">
        <f>IFERROR(__xludf.DUMMYFUNCTION("""COMPUTED_VALUE"""),"SUSE Linux Enterprise Server 15 SP4")</f>
        <v>SUSE Linux Enterprise Server 15 SP4</v>
      </c>
      <c r="H115" s="7" t="str">
        <f t="shared" si="3"/>
        <v>NO</v>
      </c>
      <c r="I115" s="7" t="str">
        <f t="shared" si="2"/>
        <v>NO</v>
      </c>
    </row>
    <row r="116">
      <c r="A116" s="4">
        <f>IFERROR(__xludf.DUMMYFUNCTION("""COMPUTED_VALUE"""),1193271.0)</f>
        <v>1193271</v>
      </c>
      <c r="B116" s="4" t="str">
        <f>IFERROR(__xludf.DUMMYFUNCTION("""COMPUTED_VALUE"""),"P2 - High")</f>
        <v>P2 - High</v>
      </c>
      <c r="C116" s="5">
        <f>IFERROR(__xludf.DUMMYFUNCTION("""COMPUTED_VALUE"""),44531.35542824074)</f>
        <v>44531.35543</v>
      </c>
      <c r="D116" s="4" t="str">
        <f>IFERROR(__xludf.DUMMYFUNCTION("""COMPUTED_VALUE"""),"CONFIRMED")</f>
        <v>CONFIRMED</v>
      </c>
      <c r="E116" s="6">
        <f>IFERROR(__xludf.DUMMYFUNCTION("""COMPUTED_VALUE"""),44732.372395833336)</f>
        <v>44732.3724</v>
      </c>
      <c r="F116" s="4" t="str">
        <f>IFERROR(__xludf.DUMMYFUNCTION("""COMPUTED_VALUE""")," ---")</f>
        <v> ---</v>
      </c>
      <c r="G116" s="4" t="str">
        <f>IFERROR(__xludf.DUMMYFUNCTION("""COMPUTED_VALUE"""),"SUSE Linux Enterprise Server 15 SP4")</f>
        <v>SUSE Linux Enterprise Server 15 SP4</v>
      </c>
      <c r="H116" s="7" t="str">
        <f t="shared" si="3"/>
        <v>NO</v>
      </c>
      <c r="I116" s="7" t="str">
        <f t="shared" si="2"/>
        <v>NO</v>
      </c>
    </row>
    <row r="117">
      <c r="A117" s="4">
        <f>IFERROR(__xludf.DUMMYFUNCTION("""COMPUTED_VALUE"""),1193360.0)</f>
        <v>1193360</v>
      </c>
      <c r="B117" s="4" t="str">
        <f>IFERROR(__xludf.DUMMYFUNCTION("""COMPUTED_VALUE"""),"P2 - High")</f>
        <v>P2 - High</v>
      </c>
      <c r="C117" s="5">
        <f>IFERROR(__xludf.DUMMYFUNCTION("""COMPUTED_VALUE"""),44533.40351851852)</f>
        <v>44533.40352</v>
      </c>
      <c r="D117" s="4" t="str">
        <f>IFERROR(__xludf.DUMMYFUNCTION("""COMPUTED_VALUE"""),"CONFIRMED")</f>
        <v>CONFIRMED</v>
      </c>
      <c r="E117" s="6">
        <f>IFERROR(__xludf.DUMMYFUNCTION("""COMPUTED_VALUE"""),44677.60472222222)</f>
        <v>44677.60472</v>
      </c>
      <c r="F117" s="4" t="str">
        <f>IFERROR(__xludf.DUMMYFUNCTION("""COMPUTED_VALUE""")," ---")</f>
        <v> ---</v>
      </c>
      <c r="G117" s="4" t="str">
        <f>IFERROR(__xludf.DUMMYFUNCTION("""COMPUTED_VALUE"""),"SUSE Linux Enterprise Server 15 SP4")</f>
        <v>SUSE Linux Enterprise Server 15 SP4</v>
      </c>
      <c r="H117" s="7" t="str">
        <f t="shared" si="3"/>
        <v>NO</v>
      </c>
      <c r="I117" s="7" t="str">
        <f t="shared" si="2"/>
        <v>NO</v>
      </c>
    </row>
    <row r="118">
      <c r="A118" s="4">
        <f>IFERROR(__xludf.DUMMYFUNCTION("""COMPUTED_VALUE"""),1193581.0)</f>
        <v>1193581</v>
      </c>
      <c r="B118" s="4" t="str">
        <f>IFERROR(__xludf.DUMMYFUNCTION("""COMPUTED_VALUE"""),"P2 - High")</f>
        <v>P2 - High</v>
      </c>
      <c r="C118" s="5">
        <f>IFERROR(__xludf.DUMMYFUNCTION("""COMPUTED_VALUE"""),44539.654074074075)</f>
        <v>44539.65407</v>
      </c>
      <c r="D118" s="4" t="str">
        <f>IFERROR(__xludf.DUMMYFUNCTION("""COMPUTED_VALUE"""),"CONFIRMED")</f>
        <v>CONFIRMED</v>
      </c>
      <c r="E118" s="6">
        <f>IFERROR(__xludf.DUMMYFUNCTION("""COMPUTED_VALUE"""),44543.184479166666)</f>
        <v>44543.18448</v>
      </c>
      <c r="F118" s="4" t="str">
        <f>IFERROR(__xludf.DUMMYFUNCTION("""COMPUTED_VALUE""")," ---")</f>
        <v> ---</v>
      </c>
      <c r="G118" s="4" t="str">
        <f>IFERROR(__xludf.DUMMYFUNCTION("""COMPUTED_VALUE"""),"SUSE Linux Enterprise Server 15 SP4")</f>
        <v>SUSE Linux Enterprise Server 15 SP4</v>
      </c>
      <c r="H118" s="7" t="str">
        <f t="shared" si="3"/>
        <v>NO</v>
      </c>
      <c r="I118" s="7" t="str">
        <f t="shared" si="2"/>
        <v>NO</v>
      </c>
    </row>
    <row r="119">
      <c r="A119" s="4">
        <f>IFERROR(__xludf.DUMMYFUNCTION("""COMPUTED_VALUE"""),1195672.0)</f>
        <v>1195672</v>
      </c>
      <c r="B119" s="4" t="str">
        <f>IFERROR(__xludf.DUMMYFUNCTION("""COMPUTED_VALUE"""),"P2 - High")</f>
        <v>P2 - High</v>
      </c>
      <c r="C119" s="5">
        <f>IFERROR(__xludf.DUMMYFUNCTION("""COMPUTED_VALUE"""),44600.453518518516)</f>
        <v>44600.45352</v>
      </c>
      <c r="D119" s="4" t="str">
        <f>IFERROR(__xludf.DUMMYFUNCTION("""COMPUTED_VALUE"""),"CONFIRMED")</f>
        <v>CONFIRMED</v>
      </c>
      <c r="E119" s="6">
        <f>IFERROR(__xludf.DUMMYFUNCTION("""COMPUTED_VALUE"""),44601.29802083333)</f>
        <v>44601.29802</v>
      </c>
      <c r="F119" s="4" t="str">
        <f>IFERROR(__xludf.DUMMYFUNCTION("""COMPUTED_VALUE""")," ---")</f>
        <v> ---</v>
      </c>
      <c r="G119" s="4" t="str">
        <f>IFERROR(__xludf.DUMMYFUNCTION("""COMPUTED_VALUE"""),"SUSE Linux Enterprise Server 15 SP4")</f>
        <v>SUSE Linux Enterprise Server 15 SP4</v>
      </c>
      <c r="H119" s="7" t="str">
        <f t="shared" si="3"/>
        <v>NO</v>
      </c>
      <c r="I119" s="7" t="str">
        <f t="shared" si="2"/>
        <v>NO</v>
      </c>
    </row>
    <row r="120">
      <c r="A120" s="4">
        <f>IFERROR(__xludf.DUMMYFUNCTION("""COMPUTED_VALUE"""),1197196.0)</f>
        <v>1197196</v>
      </c>
      <c r="B120" s="4" t="str">
        <f>IFERROR(__xludf.DUMMYFUNCTION("""COMPUTED_VALUE"""),"P2 - High")</f>
        <v>P2 - High</v>
      </c>
      <c r="C120" s="5">
        <f>IFERROR(__xludf.DUMMYFUNCTION("""COMPUTED_VALUE"""),44637.25619212963)</f>
        <v>44637.25619</v>
      </c>
      <c r="D120" s="4" t="str">
        <f>IFERROR(__xludf.DUMMYFUNCTION("""COMPUTED_VALUE"""),"CONFIRMED")</f>
        <v>CONFIRMED</v>
      </c>
      <c r="E120" s="6">
        <f>IFERROR(__xludf.DUMMYFUNCTION("""COMPUTED_VALUE"""),44693.68980324074)</f>
        <v>44693.6898</v>
      </c>
      <c r="F120" s="4" t="str">
        <f>IFERROR(__xludf.DUMMYFUNCTION("""COMPUTED_VALUE""")," ---")</f>
        <v> ---</v>
      </c>
      <c r="G120" s="4" t="str">
        <f>IFERROR(__xludf.DUMMYFUNCTION("""COMPUTED_VALUE"""),"SUSE Linux Enterprise Server 15 SP4")</f>
        <v>SUSE Linux Enterprise Server 15 SP4</v>
      </c>
      <c r="H120" s="7" t="str">
        <f t="shared" si="3"/>
        <v>NO</v>
      </c>
      <c r="I120" s="7" t="str">
        <f t="shared" si="2"/>
        <v>NO</v>
      </c>
    </row>
    <row r="121">
      <c r="A121" s="4">
        <f>IFERROR(__xludf.DUMMYFUNCTION("""COMPUTED_VALUE"""),1199990.0)</f>
        <v>1199990</v>
      </c>
      <c r="B121" s="4" t="str">
        <f>IFERROR(__xludf.DUMMYFUNCTION("""COMPUTED_VALUE"""),"P2 - High")</f>
        <v>P2 - High</v>
      </c>
      <c r="C121" s="5">
        <f>IFERROR(__xludf.DUMMYFUNCTION("""COMPUTED_VALUE"""),44708.65351851852)</f>
        <v>44708.65352</v>
      </c>
      <c r="D121" s="4" t="str">
        <f>IFERROR(__xludf.DUMMYFUNCTION("""COMPUTED_VALUE"""),"IN_PROGRESS")</f>
        <v>IN_PROGRESS</v>
      </c>
      <c r="E121" s="6">
        <f>IFERROR(__xludf.DUMMYFUNCTION("""COMPUTED_VALUE"""),44719.58023148148)</f>
        <v>44719.58023</v>
      </c>
      <c r="F121" s="4" t="str">
        <f>IFERROR(__xludf.DUMMYFUNCTION("""COMPUTED_VALUE""")," ---")</f>
        <v> ---</v>
      </c>
      <c r="G121" s="4" t="str">
        <f>IFERROR(__xludf.DUMMYFUNCTION("""COMPUTED_VALUE"""),"SUSE Linux Enterprise Server 15 SP4")</f>
        <v>SUSE Linux Enterprise Server 15 SP4</v>
      </c>
      <c r="H121" s="7" t="str">
        <f t="shared" si="3"/>
        <v>NO</v>
      </c>
      <c r="I121" s="7" t="str">
        <f t="shared" si="2"/>
        <v>NO</v>
      </c>
    </row>
    <row r="122">
      <c r="A122" s="4">
        <f>IFERROR(__xludf.DUMMYFUNCTION("""COMPUTED_VALUE"""),1200301.0)</f>
        <v>1200301</v>
      </c>
      <c r="B122" s="4" t="str">
        <f>IFERROR(__xludf.DUMMYFUNCTION("""COMPUTED_VALUE"""),"P2 - High")</f>
        <v>P2 - High</v>
      </c>
      <c r="C122" s="5">
        <f>IFERROR(__xludf.DUMMYFUNCTION("""COMPUTED_VALUE"""),44719.659895833334)</f>
        <v>44719.6599</v>
      </c>
      <c r="D122" s="4" t="str">
        <f>IFERROR(__xludf.DUMMYFUNCTION("""COMPUTED_VALUE"""),"IN_PROGRESS")</f>
        <v>IN_PROGRESS</v>
      </c>
      <c r="E122" s="6">
        <f>IFERROR(__xludf.DUMMYFUNCTION("""COMPUTED_VALUE"""),44733.62112268519)</f>
        <v>44733.62112</v>
      </c>
      <c r="F122" s="4" t="str">
        <f>IFERROR(__xludf.DUMMYFUNCTION("""COMPUTED_VALUE""")," ---")</f>
        <v> ---</v>
      </c>
      <c r="G122" s="4" t="str">
        <f>IFERROR(__xludf.DUMMYFUNCTION("""COMPUTED_VALUE"""),"SUSE Linux Enterprise Server 15 SP4")</f>
        <v>SUSE Linux Enterprise Server 15 SP4</v>
      </c>
      <c r="H122" s="7" t="str">
        <f t="shared" si="3"/>
        <v>NO</v>
      </c>
      <c r="I122" s="7" t="str">
        <f t="shared" si="2"/>
        <v>NO</v>
      </c>
    </row>
    <row r="123">
      <c r="A123" s="4">
        <f>IFERROR(__xludf.DUMMYFUNCTION("""COMPUTED_VALUE"""),1194975.0)</f>
        <v>1194975</v>
      </c>
      <c r="B123" s="4" t="str">
        <f>IFERROR(__xludf.DUMMYFUNCTION("""COMPUTED_VALUE"""),"P2 - High")</f>
        <v>P2 - High</v>
      </c>
      <c r="C123" s="5">
        <f>IFERROR(__xludf.DUMMYFUNCTION("""COMPUTED_VALUE"""),44581.689675925925)</f>
        <v>44581.68968</v>
      </c>
      <c r="D123" s="4" t="str">
        <f>IFERROR(__xludf.DUMMYFUNCTION("""COMPUTED_VALUE"""),"IN_PROGRESS")</f>
        <v>IN_PROGRESS</v>
      </c>
      <c r="E123" s="6">
        <f>IFERROR(__xludf.DUMMYFUNCTION("""COMPUTED_VALUE"""),44668.49744212963)</f>
        <v>44668.49744</v>
      </c>
      <c r="F123" s="4" t="str">
        <f>IFERROR(__xludf.DUMMYFUNCTION("""COMPUTED_VALUE""")," ---")</f>
        <v> ---</v>
      </c>
      <c r="G123" s="4" t="str">
        <f>IFERROR(__xludf.DUMMYFUNCTION("""COMPUTED_VALUE"""),"SUSE Linux Enterprise Server 15 SP4")</f>
        <v>SUSE Linux Enterprise Server 15 SP4</v>
      </c>
      <c r="H123" s="7" t="str">
        <f t="shared" si="3"/>
        <v>NO</v>
      </c>
      <c r="I123" s="7" t="str">
        <f t="shared" si="2"/>
        <v>NO</v>
      </c>
    </row>
    <row r="124">
      <c r="A124" s="4">
        <f>IFERROR(__xludf.DUMMYFUNCTION("""COMPUTED_VALUE"""),1192644.0)</f>
        <v>1192644</v>
      </c>
      <c r="B124" s="4" t="str">
        <f>IFERROR(__xludf.DUMMYFUNCTION("""COMPUTED_VALUE"""),"P2 - High")</f>
        <v>P2 - High</v>
      </c>
      <c r="C124" s="5">
        <f>IFERROR(__xludf.DUMMYFUNCTION("""COMPUTED_VALUE"""),44512.655173611114)</f>
        <v>44512.65517</v>
      </c>
      <c r="D124" s="4" t="str">
        <f>IFERROR(__xludf.DUMMYFUNCTION("""COMPUTED_VALUE"""),"IN_PROGRESS")</f>
        <v>IN_PROGRESS</v>
      </c>
      <c r="E124" s="6">
        <f>IFERROR(__xludf.DUMMYFUNCTION("""COMPUTED_VALUE"""),44668.493726851855)</f>
        <v>44668.49373</v>
      </c>
      <c r="F124" s="4" t="str">
        <f>IFERROR(__xludf.DUMMYFUNCTION("""COMPUTED_VALUE""")," ---")</f>
        <v> ---</v>
      </c>
      <c r="G124" s="4" t="str">
        <f>IFERROR(__xludf.DUMMYFUNCTION("""COMPUTED_VALUE"""),"SUSE Linux Enterprise Server 15 SP4")</f>
        <v>SUSE Linux Enterprise Server 15 SP4</v>
      </c>
      <c r="H124" s="7" t="str">
        <f t="shared" si="3"/>
        <v>NO</v>
      </c>
      <c r="I124" s="7" t="str">
        <f t="shared" si="2"/>
        <v>NO</v>
      </c>
    </row>
    <row r="125">
      <c r="A125" s="4">
        <f>IFERROR(__xludf.DUMMYFUNCTION("""COMPUTED_VALUE"""),1193239.0)</f>
        <v>1193239</v>
      </c>
      <c r="B125" s="4" t="str">
        <f>IFERROR(__xludf.DUMMYFUNCTION("""COMPUTED_VALUE"""),"P2 - High")</f>
        <v>P2 - High</v>
      </c>
      <c r="C125" s="5">
        <f>IFERROR(__xludf.DUMMYFUNCTION("""COMPUTED_VALUE"""),44530.522986111115)</f>
        <v>44530.52299</v>
      </c>
      <c r="D125" s="4" t="str">
        <f>IFERROR(__xludf.DUMMYFUNCTION("""COMPUTED_VALUE"""),"IN_PROGRESS")</f>
        <v>IN_PROGRESS</v>
      </c>
      <c r="E125" s="6">
        <f>IFERROR(__xludf.DUMMYFUNCTION("""COMPUTED_VALUE"""),44736.81321759259)</f>
        <v>44736.81322</v>
      </c>
      <c r="F125" s="4" t="str">
        <f>IFERROR(__xludf.DUMMYFUNCTION("""COMPUTED_VALUE""")," ---")</f>
        <v> ---</v>
      </c>
      <c r="G125" s="4" t="str">
        <f>IFERROR(__xludf.DUMMYFUNCTION("""COMPUTED_VALUE"""),"SUSE Linux Enterprise Server 15 SP4")</f>
        <v>SUSE Linux Enterprise Server 15 SP4</v>
      </c>
      <c r="H125" s="7" t="str">
        <f t="shared" si="3"/>
        <v>NO</v>
      </c>
      <c r="I125" s="7" t="str">
        <f t="shared" si="2"/>
        <v>NO</v>
      </c>
    </row>
    <row r="126">
      <c r="A126" s="4">
        <f>IFERROR(__xludf.DUMMYFUNCTION("""COMPUTED_VALUE"""),1199086.0)</f>
        <v>1199086</v>
      </c>
      <c r="B126" s="4" t="str">
        <f>IFERROR(__xludf.DUMMYFUNCTION("""COMPUTED_VALUE"""),"P2 - High")</f>
        <v>P2 - High</v>
      </c>
      <c r="C126" s="5">
        <f>IFERROR(__xludf.DUMMYFUNCTION("""COMPUTED_VALUE"""),44683.617939814816)</f>
        <v>44683.61794</v>
      </c>
      <c r="D126" s="4" t="str">
        <f>IFERROR(__xludf.DUMMYFUNCTION("""COMPUTED_VALUE"""),"IN_PROGRESS")</f>
        <v>IN_PROGRESS</v>
      </c>
      <c r="E126" s="6">
        <f>IFERROR(__xludf.DUMMYFUNCTION("""COMPUTED_VALUE"""),44712.59512731482)</f>
        <v>44712.59513</v>
      </c>
      <c r="F126" s="4" t="str">
        <f>IFERROR(__xludf.DUMMYFUNCTION("""COMPUTED_VALUE""")," ---")</f>
        <v> ---</v>
      </c>
      <c r="G126" s="4" t="str">
        <f>IFERROR(__xludf.DUMMYFUNCTION("""COMPUTED_VALUE"""),"SUSE Linux Enterprise Server 15 SP4")</f>
        <v>SUSE Linux Enterprise Server 15 SP4</v>
      </c>
      <c r="H126" s="7" t="str">
        <f t="shared" si="3"/>
        <v>NO</v>
      </c>
      <c r="I126" s="7" t="str">
        <f t="shared" si="2"/>
        <v>NO</v>
      </c>
    </row>
    <row r="127">
      <c r="A127" s="4">
        <f>IFERROR(__xludf.DUMMYFUNCTION("""COMPUTED_VALUE"""),1200323.0)</f>
        <v>1200323</v>
      </c>
      <c r="B127" s="4" t="str">
        <f>IFERROR(__xludf.DUMMYFUNCTION("""COMPUTED_VALUE"""),"P2 - High")</f>
        <v>P2 - High</v>
      </c>
      <c r="C127" s="5">
        <f>IFERROR(__xludf.DUMMYFUNCTION("""COMPUTED_VALUE"""),44720.3777662037)</f>
        <v>44720.37777</v>
      </c>
      <c r="D127" s="4" t="str">
        <f>IFERROR(__xludf.DUMMYFUNCTION("""COMPUTED_VALUE"""),"IN_PROGRESS")</f>
        <v>IN_PROGRESS</v>
      </c>
      <c r="E127" s="6">
        <f>IFERROR(__xludf.DUMMYFUNCTION("""COMPUTED_VALUE"""),44736.506423611114)</f>
        <v>44736.50642</v>
      </c>
      <c r="F127" s="4" t="str">
        <f>IFERROR(__xludf.DUMMYFUNCTION("""COMPUTED_VALUE""")," ---")</f>
        <v> ---</v>
      </c>
      <c r="G127" s="4" t="str">
        <f>IFERROR(__xludf.DUMMYFUNCTION("""COMPUTED_VALUE"""),"SUSE Linux Enterprise Server 15 SP4")</f>
        <v>SUSE Linux Enterprise Server 15 SP4</v>
      </c>
      <c r="H127" s="7" t="str">
        <f t="shared" si="3"/>
        <v>NO</v>
      </c>
      <c r="I127" s="7" t="str">
        <f t="shared" si="2"/>
        <v>NO</v>
      </c>
    </row>
    <row r="128">
      <c r="A128" s="4">
        <f>IFERROR(__xludf.DUMMYFUNCTION("""COMPUTED_VALUE"""),1198410.0)</f>
        <v>1198410</v>
      </c>
      <c r="B128" s="4" t="str">
        <f>IFERROR(__xludf.DUMMYFUNCTION("""COMPUTED_VALUE"""),"P2 - High")</f>
        <v>P2 - High</v>
      </c>
      <c r="C128" s="5">
        <f>IFERROR(__xludf.DUMMYFUNCTION("""COMPUTED_VALUE"""),44663.67153935185)</f>
        <v>44663.67154</v>
      </c>
      <c r="D128" s="4" t="str">
        <f>IFERROR(__xludf.DUMMYFUNCTION("""COMPUTED_VALUE"""),"IN_PROGRESS")</f>
        <v>IN_PROGRESS</v>
      </c>
      <c r="E128" s="6">
        <f>IFERROR(__xludf.DUMMYFUNCTION("""COMPUTED_VALUE"""),44734.87569444445)</f>
        <v>44734.87569</v>
      </c>
      <c r="F128" s="4" t="str">
        <f>IFERROR(__xludf.DUMMYFUNCTION("""COMPUTED_VALUE""")," ---")</f>
        <v> ---</v>
      </c>
      <c r="G128" s="4" t="str">
        <f>IFERROR(__xludf.DUMMYFUNCTION("""COMPUTED_VALUE"""),"SUSE Linux Enterprise Server 15 SP4")</f>
        <v>SUSE Linux Enterprise Server 15 SP4</v>
      </c>
      <c r="H128" s="7" t="str">
        <f t="shared" si="3"/>
        <v>NO</v>
      </c>
      <c r="I128" s="7" t="str">
        <f t="shared" si="2"/>
        <v>NO</v>
      </c>
    </row>
    <row r="129">
      <c r="A129" s="4">
        <f>IFERROR(__xludf.DUMMYFUNCTION("""COMPUTED_VALUE"""),1194317.0)</f>
        <v>1194317</v>
      </c>
      <c r="B129" s="4" t="str">
        <f>IFERROR(__xludf.DUMMYFUNCTION("""COMPUTED_VALUE"""),"P2 - High")</f>
        <v>P2 - High</v>
      </c>
      <c r="C129" s="5">
        <f>IFERROR(__xludf.DUMMYFUNCTION("""COMPUTED_VALUE"""),44565.845138888886)</f>
        <v>44565.84514</v>
      </c>
      <c r="D129" s="4" t="str">
        <f>IFERROR(__xludf.DUMMYFUNCTION("""COMPUTED_VALUE"""),"IN_PROGRESS")</f>
        <v>IN_PROGRESS</v>
      </c>
      <c r="E129" s="6">
        <f>IFERROR(__xludf.DUMMYFUNCTION("""COMPUTED_VALUE"""),44668.4959375)</f>
        <v>44668.49594</v>
      </c>
      <c r="F129" s="4" t="str">
        <f>IFERROR(__xludf.DUMMYFUNCTION("""COMPUTED_VALUE""")," ---")</f>
        <v> ---</v>
      </c>
      <c r="G129" s="4" t="str">
        <f>IFERROR(__xludf.DUMMYFUNCTION("""COMPUTED_VALUE"""),"SUSE Linux Enterprise Server 15 SP4")</f>
        <v>SUSE Linux Enterprise Server 15 SP4</v>
      </c>
      <c r="H129" s="7" t="str">
        <f t="shared" si="3"/>
        <v>YES</v>
      </c>
      <c r="I129" s="7" t="str">
        <f t="shared" si="2"/>
        <v>NO</v>
      </c>
    </row>
    <row r="130">
      <c r="A130" s="4">
        <f>IFERROR(__xludf.DUMMYFUNCTION("""COMPUTED_VALUE"""),1194558.0)</f>
        <v>1194558</v>
      </c>
      <c r="B130" s="4" t="str">
        <f>IFERROR(__xludf.DUMMYFUNCTION("""COMPUTED_VALUE"""),"P2 - High")</f>
        <v>P2 - High</v>
      </c>
      <c r="C130" s="5">
        <f>IFERROR(__xludf.DUMMYFUNCTION("""COMPUTED_VALUE"""),44572.67381944445)</f>
        <v>44572.67382</v>
      </c>
      <c r="D130" s="4" t="str">
        <f>IFERROR(__xludf.DUMMYFUNCTION("""COMPUTED_VALUE"""),"IN_PROGRESS")</f>
        <v>IN_PROGRESS</v>
      </c>
      <c r="E130" s="6">
        <f>IFERROR(__xludf.DUMMYFUNCTION("""COMPUTED_VALUE"""),44602.87563657408)</f>
        <v>44602.87564</v>
      </c>
      <c r="F130" s="4" t="str">
        <f>IFERROR(__xludf.DUMMYFUNCTION("""COMPUTED_VALUE""")," ---")</f>
        <v> ---</v>
      </c>
      <c r="G130" s="4" t="str">
        <f>IFERROR(__xludf.DUMMYFUNCTION("""COMPUTED_VALUE"""),"SUSE Linux Enterprise Server 15 SP4")</f>
        <v>SUSE Linux Enterprise Server 15 SP4</v>
      </c>
      <c r="H130" s="7" t="str">
        <f t="shared" si="3"/>
        <v>NO</v>
      </c>
      <c r="I130" s="7" t="str">
        <f t="shared" si="2"/>
        <v>NO</v>
      </c>
    </row>
    <row r="131">
      <c r="A131" s="4">
        <f>IFERROR(__xludf.DUMMYFUNCTION("""COMPUTED_VALUE"""),1193454.0)</f>
        <v>1193454</v>
      </c>
      <c r="B131" s="4" t="str">
        <f>IFERROR(__xludf.DUMMYFUNCTION("""COMPUTED_VALUE"""),"P2 - High")</f>
        <v>P2 - High</v>
      </c>
      <c r="C131" s="5">
        <f>IFERROR(__xludf.DUMMYFUNCTION("""COMPUTED_VALUE"""),44536.93106481482)</f>
        <v>44536.93106</v>
      </c>
      <c r="D131" s="4" t="str">
        <f>IFERROR(__xludf.DUMMYFUNCTION("""COMPUTED_VALUE"""),"IN_PROGRESS")</f>
        <v>IN_PROGRESS</v>
      </c>
      <c r="E131" s="6">
        <f>IFERROR(__xludf.DUMMYFUNCTION("""COMPUTED_VALUE"""),44721.59798611111)</f>
        <v>44721.59799</v>
      </c>
      <c r="F131" s="4" t="str">
        <f>IFERROR(__xludf.DUMMYFUNCTION("""COMPUTED_VALUE""")," ---")</f>
        <v> ---</v>
      </c>
      <c r="G131" s="4" t="str">
        <f>IFERROR(__xludf.DUMMYFUNCTION("""COMPUTED_VALUE"""),"SUSE Linux Enterprise Server 15 SP4")</f>
        <v>SUSE Linux Enterprise Server 15 SP4</v>
      </c>
      <c r="H131" s="7" t="str">
        <f t="shared" si="3"/>
        <v>NO</v>
      </c>
      <c r="I131" s="7" t="str">
        <f t="shared" si="2"/>
        <v>NO</v>
      </c>
    </row>
    <row r="132">
      <c r="A132" s="4">
        <f>IFERROR(__xludf.DUMMYFUNCTION("""COMPUTED_VALUE"""),1194565.0)</f>
        <v>1194565</v>
      </c>
      <c r="B132" s="4" t="str">
        <f>IFERROR(__xludf.DUMMYFUNCTION("""COMPUTED_VALUE"""),"P2 - High")</f>
        <v>P2 - High</v>
      </c>
      <c r="C132" s="5">
        <f>IFERROR(__xludf.DUMMYFUNCTION("""COMPUTED_VALUE"""),44573.1253125)</f>
        <v>44573.12531</v>
      </c>
      <c r="D132" s="4" t="str">
        <f>IFERROR(__xludf.DUMMYFUNCTION("""COMPUTED_VALUE"""),"IN_PROGRESS")</f>
        <v>IN_PROGRESS</v>
      </c>
      <c r="E132" s="6">
        <f>IFERROR(__xludf.DUMMYFUNCTION("""COMPUTED_VALUE"""),44573.48550925926)</f>
        <v>44573.48551</v>
      </c>
      <c r="F132" s="4" t="str">
        <f>IFERROR(__xludf.DUMMYFUNCTION("""COMPUTED_VALUE""")," ---")</f>
        <v> ---</v>
      </c>
      <c r="G132" s="4" t="str">
        <f>IFERROR(__xludf.DUMMYFUNCTION("""COMPUTED_VALUE"""),"SUSE Linux Enterprise Server 15 SP4")</f>
        <v>SUSE Linux Enterprise Server 15 SP4</v>
      </c>
      <c r="H132" s="7" t="str">
        <f t="shared" si="3"/>
        <v>NO</v>
      </c>
      <c r="I132" s="7" t="str">
        <f t="shared" si="2"/>
        <v>NO</v>
      </c>
    </row>
    <row r="133">
      <c r="A133" s="4">
        <f>IFERROR(__xludf.DUMMYFUNCTION("""COMPUTED_VALUE"""),1194595.0)</f>
        <v>1194595</v>
      </c>
      <c r="B133" s="4" t="str">
        <f>IFERROR(__xludf.DUMMYFUNCTION("""COMPUTED_VALUE"""),"P2 - High")</f>
        <v>P2 - High</v>
      </c>
      <c r="C133" s="5">
        <f>IFERROR(__xludf.DUMMYFUNCTION("""COMPUTED_VALUE"""),44573.46511574074)</f>
        <v>44573.46512</v>
      </c>
      <c r="D133" s="4" t="str">
        <f>IFERROR(__xludf.DUMMYFUNCTION("""COMPUTED_VALUE"""),"IN_PROGRESS")</f>
        <v>IN_PROGRESS</v>
      </c>
      <c r="E133" s="6">
        <f>IFERROR(__xludf.DUMMYFUNCTION("""COMPUTED_VALUE"""),44668.49633101852)</f>
        <v>44668.49633</v>
      </c>
      <c r="F133" s="4" t="str">
        <f>IFERROR(__xludf.DUMMYFUNCTION("""COMPUTED_VALUE""")," ---")</f>
        <v> ---</v>
      </c>
      <c r="G133" s="4" t="str">
        <f>IFERROR(__xludf.DUMMYFUNCTION("""COMPUTED_VALUE"""),"SUSE Linux Enterprise Server 15 SP4")</f>
        <v>SUSE Linux Enterprise Server 15 SP4</v>
      </c>
      <c r="H133" s="7" t="str">
        <f t="shared" si="3"/>
        <v>NO</v>
      </c>
      <c r="I133" s="7" t="str">
        <f t="shared" si="2"/>
        <v>NO</v>
      </c>
    </row>
    <row r="134">
      <c r="A134" s="4">
        <f>IFERROR(__xludf.DUMMYFUNCTION("""COMPUTED_VALUE"""),1193377.0)</f>
        <v>1193377</v>
      </c>
      <c r="B134" s="4" t="str">
        <f>IFERROR(__xludf.DUMMYFUNCTION("""COMPUTED_VALUE"""),"P2 - High")</f>
        <v>P2 - High</v>
      </c>
      <c r="C134" s="5">
        <f>IFERROR(__xludf.DUMMYFUNCTION("""COMPUTED_VALUE"""),44533.630625)</f>
        <v>44533.63063</v>
      </c>
      <c r="D134" s="4" t="str">
        <f>IFERROR(__xludf.DUMMYFUNCTION("""COMPUTED_VALUE"""),"RESOLVED")</f>
        <v>RESOLVED</v>
      </c>
      <c r="E134" s="6">
        <f>IFERROR(__xludf.DUMMYFUNCTION("""COMPUTED_VALUE"""),44668.49489583333)</f>
        <v>44668.4949</v>
      </c>
      <c r="F134" s="4" t="str">
        <f>IFERROR(__xludf.DUMMYFUNCTION("""COMPUTED_VALUE""")," ---")</f>
        <v> ---</v>
      </c>
      <c r="G134" s="4" t="str">
        <f>IFERROR(__xludf.DUMMYFUNCTION("""COMPUTED_VALUE"""),"SUSE Linux Enterprise Server 15 SP4")</f>
        <v>SUSE Linux Enterprise Server 15 SP4</v>
      </c>
      <c r="H134" s="7" t="str">
        <f t="shared" si="3"/>
        <v>NO</v>
      </c>
      <c r="I134" s="7" t="str">
        <f t="shared" si="2"/>
        <v>NO</v>
      </c>
    </row>
    <row r="135">
      <c r="A135" s="4">
        <f>IFERROR(__xludf.DUMMYFUNCTION("""COMPUTED_VALUE"""),1193791.0)</f>
        <v>1193791</v>
      </c>
      <c r="B135" s="4" t="str">
        <f>IFERROR(__xludf.DUMMYFUNCTION("""COMPUTED_VALUE"""),"P2 - High")</f>
        <v>P2 - High</v>
      </c>
      <c r="C135" s="5">
        <f>IFERROR(__xludf.DUMMYFUNCTION("""COMPUTED_VALUE"""),44546.33777777778)</f>
        <v>44546.33778</v>
      </c>
      <c r="D135" s="4" t="str">
        <f>IFERROR(__xludf.DUMMYFUNCTION("""COMPUTED_VALUE"""),"RESOLVED")</f>
        <v>RESOLVED</v>
      </c>
      <c r="E135" s="6">
        <f>IFERROR(__xludf.DUMMYFUNCTION("""COMPUTED_VALUE"""),44671.02746527778)</f>
        <v>44671.02747</v>
      </c>
      <c r="F135" s="4" t="str">
        <f>IFERROR(__xludf.DUMMYFUNCTION("""COMPUTED_VALUE""")," ---")</f>
        <v> ---</v>
      </c>
      <c r="G135" s="4" t="str">
        <f>IFERROR(__xludf.DUMMYFUNCTION("""COMPUTED_VALUE"""),"SUSE Linux Enterprise Server 15 SP4")</f>
        <v>SUSE Linux Enterprise Server 15 SP4</v>
      </c>
      <c r="H135" s="7" t="str">
        <f t="shared" si="3"/>
        <v>NO</v>
      </c>
      <c r="I135" s="7" t="str">
        <f t="shared" si="2"/>
        <v>NO</v>
      </c>
    </row>
    <row r="136">
      <c r="A136" s="4">
        <f>IFERROR(__xludf.DUMMYFUNCTION("""COMPUTED_VALUE"""),1198417.0)</f>
        <v>1198417</v>
      </c>
      <c r="B136" s="4" t="str">
        <f>IFERROR(__xludf.DUMMYFUNCTION("""COMPUTED_VALUE"""),"P2 - High")</f>
        <v>P2 - High</v>
      </c>
      <c r="C136" s="5">
        <f>IFERROR(__xludf.DUMMYFUNCTION("""COMPUTED_VALUE"""),44663.75234953704)</f>
        <v>44663.75235</v>
      </c>
      <c r="D136" s="4" t="str">
        <f>IFERROR(__xludf.DUMMYFUNCTION("""COMPUTED_VALUE"""),"RESOLVED")</f>
        <v>RESOLVED</v>
      </c>
      <c r="E136" s="6">
        <f>IFERROR(__xludf.DUMMYFUNCTION("""COMPUTED_VALUE"""),44676.23983796296)</f>
        <v>44676.23984</v>
      </c>
      <c r="F136" s="4" t="str">
        <f>IFERROR(__xludf.DUMMYFUNCTION("""COMPUTED_VALUE""")," ---")</f>
        <v> ---</v>
      </c>
      <c r="G136" s="4" t="str">
        <f>IFERROR(__xludf.DUMMYFUNCTION("""COMPUTED_VALUE"""),"SUSE Linux Enterprise Server 15 SP4")</f>
        <v>SUSE Linux Enterprise Server 15 SP4</v>
      </c>
      <c r="H136" s="7" t="str">
        <f t="shared" si="3"/>
        <v>NO</v>
      </c>
      <c r="I136" s="7" t="str">
        <f t="shared" si="2"/>
        <v>NO</v>
      </c>
    </row>
    <row r="137">
      <c r="A137" s="4">
        <f>IFERROR(__xludf.DUMMYFUNCTION("""COMPUTED_VALUE"""),1187675.0)</f>
        <v>1187675</v>
      </c>
      <c r="B137" s="4" t="str">
        <f>IFERROR(__xludf.DUMMYFUNCTION("""COMPUTED_VALUE"""),"P2 - High")</f>
        <v>P2 - High</v>
      </c>
      <c r="C137" s="5">
        <f>IFERROR(__xludf.DUMMYFUNCTION("""COMPUTED_VALUE"""),44371.37189814815)</f>
        <v>44371.3719</v>
      </c>
      <c r="D137" s="4" t="str">
        <f>IFERROR(__xludf.DUMMYFUNCTION("""COMPUTED_VALUE"""),"RESOLVED")</f>
        <v>RESOLVED</v>
      </c>
      <c r="E137" s="6">
        <f>IFERROR(__xludf.DUMMYFUNCTION("""COMPUTED_VALUE"""),44469.35565972222)</f>
        <v>44469.35566</v>
      </c>
      <c r="F137" s="4" t="str">
        <f>IFERROR(__xludf.DUMMYFUNCTION("""COMPUTED_VALUE""")," ---")</f>
        <v> ---</v>
      </c>
      <c r="G137" s="4" t="str">
        <f>IFERROR(__xludf.DUMMYFUNCTION("""COMPUTED_VALUE"""),"SUSE Linux Enterprise Server 15 SP4")</f>
        <v>SUSE Linux Enterprise Server 15 SP4</v>
      </c>
      <c r="H137" s="7" t="str">
        <f t="shared" si="3"/>
        <v>NO</v>
      </c>
      <c r="I137" s="7" t="str">
        <f t="shared" si="2"/>
        <v>NO</v>
      </c>
    </row>
    <row r="138">
      <c r="A138" s="4">
        <f>IFERROR(__xludf.DUMMYFUNCTION("""COMPUTED_VALUE"""),1191349.0)</f>
        <v>1191349</v>
      </c>
      <c r="B138" s="4" t="str">
        <f>IFERROR(__xludf.DUMMYFUNCTION("""COMPUTED_VALUE"""),"P2 - High")</f>
        <v>P2 - High</v>
      </c>
      <c r="C138" s="5">
        <f>IFERROR(__xludf.DUMMYFUNCTION("""COMPUTED_VALUE"""),44474.78931712963)</f>
        <v>44474.78932</v>
      </c>
      <c r="D138" s="4" t="str">
        <f>IFERROR(__xludf.DUMMYFUNCTION("""COMPUTED_VALUE"""),"RESOLVED")</f>
        <v>RESOLVED</v>
      </c>
      <c r="E138" s="6">
        <f>IFERROR(__xludf.DUMMYFUNCTION("""COMPUTED_VALUE"""),44567.23263888889)</f>
        <v>44567.23264</v>
      </c>
      <c r="F138" s="4" t="str">
        <f>IFERROR(__xludf.DUMMYFUNCTION("""COMPUTED_VALUE""")," ---")</f>
        <v> ---</v>
      </c>
      <c r="G138" s="4" t="str">
        <f>IFERROR(__xludf.DUMMYFUNCTION("""COMPUTED_VALUE"""),"SUSE Linux Enterprise Server 15 SP4")</f>
        <v>SUSE Linux Enterprise Server 15 SP4</v>
      </c>
      <c r="H138" s="7" t="str">
        <f t="shared" si="3"/>
        <v>NO</v>
      </c>
      <c r="I138" s="7" t="str">
        <f t="shared" si="2"/>
        <v>NO</v>
      </c>
    </row>
    <row r="139">
      <c r="A139" s="4">
        <f>IFERROR(__xludf.DUMMYFUNCTION("""COMPUTED_VALUE"""),1194025.0)</f>
        <v>1194025</v>
      </c>
      <c r="B139" s="4" t="str">
        <f>IFERROR(__xludf.DUMMYFUNCTION("""COMPUTED_VALUE"""),"P2 - High")</f>
        <v>P2 - High</v>
      </c>
      <c r="C139" s="5">
        <f>IFERROR(__xludf.DUMMYFUNCTION("""COMPUTED_VALUE"""),44552.83697916667)</f>
        <v>44552.83698</v>
      </c>
      <c r="D139" s="4" t="str">
        <f>IFERROR(__xludf.DUMMYFUNCTION("""COMPUTED_VALUE"""),"RESOLVED")</f>
        <v>RESOLVED</v>
      </c>
      <c r="E139" s="6">
        <f>IFERROR(__xludf.DUMMYFUNCTION("""COMPUTED_VALUE"""),44635.62033564815)</f>
        <v>44635.62034</v>
      </c>
      <c r="F139" s="4" t="str">
        <f>IFERROR(__xludf.DUMMYFUNCTION("""COMPUTED_VALUE""")," ---")</f>
        <v> ---</v>
      </c>
      <c r="G139" s="4" t="str">
        <f>IFERROR(__xludf.DUMMYFUNCTION("""COMPUTED_VALUE"""),"PUBLIC SUSE Linux Enterprise Server 15 SP4")</f>
        <v>PUBLIC SUSE Linux Enterprise Server 15 SP4</v>
      </c>
      <c r="H139" s="7" t="str">
        <f t="shared" si="3"/>
        <v>NO</v>
      </c>
      <c r="I139" s="7" t="str">
        <f t="shared" si="2"/>
        <v>NO</v>
      </c>
    </row>
    <row r="140">
      <c r="A140" s="4">
        <f>IFERROR(__xludf.DUMMYFUNCTION("""COMPUTED_VALUE"""),1194032.0)</f>
        <v>1194032</v>
      </c>
      <c r="B140" s="4" t="str">
        <f>IFERROR(__xludf.DUMMYFUNCTION("""COMPUTED_VALUE"""),"P2 - High")</f>
        <v>P2 - High</v>
      </c>
      <c r="C140" s="5">
        <f>IFERROR(__xludf.DUMMYFUNCTION("""COMPUTED_VALUE"""),44553.118483796294)</f>
        <v>44553.11848</v>
      </c>
      <c r="D140" s="4" t="str">
        <f>IFERROR(__xludf.DUMMYFUNCTION("""COMPUTED_VALUE"""),"RESOLVED")</f>
        <v>RESOLVED</v>
      </c>
      <c r="E140" s="6">
        <f>IFERROR(__xludf.DUMMYFUNCTION("""COMPUTED_VALUE"""),44636.353796296295)</f>
        <v>44636.3538</v>
      </c>
      <c r="F140" s="4" t="str">
        <f>IFERROR(__xludf.DUMMYFUNCTION("""COMPUTED_VALUE""")," ---")</f>
        <v> ---</v>
      </c>
      <c r="G140" s="4" t="str">
        <f>IFERROR(__xludf.DUMMYFUNCTION("""COMPUTED_VALUE"""),"SUSE Linux Enterprise Server 15 SP4")</f>
        <v>SUSE Linux Enterprise Server 15 SP4</v>
      </c>
      <c r="H140" s="7" t="str">
        <f t="shared" si="3"/>
        <v>NO</v>
      </c>
      <c r="I140" s="7" t="str">
        <f t="shared" si="2"/>
        <v>NO</v>
      </c>
    </row>
    <row r="141">
      <c r="A141" s="4">
        <f>IFERROR(__xludf.DUMMYFUNCTION("""COMPUTED_VALUE"""),1195012.0)</f>
        <v>1195012</v>
      </c>
      <c r="B141" s="4" t="str">
        <f>IFERROR(__xludf.DUMMYFUNCTION("""COMPUTED_VALUE"""),"P2 - High")</f>
        <v>P2 - High</v>
      </c>
      <c r="C141" s="5">
        <f>IFERROR(__xludf.DUMMYFUNCTION("""COMPUTED_VALUE"""),44582.927395833336)</f>
        <v>44582.9274</v>
      </c>
      <c r="D141" s="4" t="str">
        <f>IFERROR(__xludf.DUMMYFUNCTION("""COMPUTED_VALUE"""),"RESOLVED")</f>
        <v>RESOLVED</v>
      </c>
      <c r="E141" s="6">
        <f>IFERROR(__xludf.DUMMYFUNCTION("""COMPUTED_VALUE"""),44628.997349537036)</f>
        <v>44628.99735</v>
      </c>
      <c r="F141" s="4" t="str">
        <f>IFERROR(__xludf.DUMMYFUNCTION("""COMPUTED_VALUE""")," ---")</f>
        <v> ---</v>
      </c>
      <c r="G141" s="4" t="str">
        <f>IFERROR(__xludf.DUMMYFUNCTION("""COMPUTED_VALUE"""),"SUSE Linux Enterprise Server 15 SP4")</f>
        <v>SUSE Linux Enterprise Server 15 SP4</v>
      </c>
      <c r="H141" s="7" t="str">
        <f t="shared" si="3"/>
        <v>NO</v>
      </c>
      <c r="I141" s="7" t="str">
        <f t="shared" si="2"/>
        <v>NO</v>
      </c>
    </row>
    <row r="142">
      <c r="A142" s="4">
        <f>IFERROR(__xludf.DUMMYFUNCTION("""COMPUTED_VALUE"""),1195823.0)</f>
        <v>1195823</v>
      </c>
      <c r="B142" s="4" t="str">
        <f>IFERROR(__xludf.DUMMYFUNCTION("""COMPUTED_VALUE"""),"P2 - High")</f>
        <v>P2 - High</v>
      </c>
      <c r="C142" s="5">
        <f>IFERROR(__xludf.DUMMYFUNCTION("""COMPUTED_VALUE"""),44603.41756944444)</f>
        <v>44603.41757</v>
      </c>
      <c r="D142" s="4" t="str">
        <f>IFERROR(__xludf.DUMMYFUNCTION("""COMPUTED_VALUE"""),"RESOLVED")</f>
        <v>RESOLVED</v>
      </c>
      <c r="E142" s="6">
        <f>IFERROR(__xludf.DUMMYFUNCTION("""COMPUTED_VALUE"""),44736.46612268518)</f>
        <v>44736.46612</v>
      </c>
      <c r="F142" s="4" t="str">
        <f>IFERROR(__xludf.DUMMYFUNCTION("""COMPUTED_VALUE""")," ---")</f>
        <v> ---</v>
      </c>
      <c r="G142" s="4" t="str">
        <f>IFERROR(__xludf.DUMMYFUNCTION("""COMPUTED_VALUE"""),"SUSE Linux Enterprise Server 15 SP4")</f>
        <v>SUSE Linux Enterprise Server 15 SP4</v>
      </c>
      <c r="H142" s="7" t="str">
        <f t="shared" si="3"/>
        <v>NO</v>
      </c>
      <c r="I142" s="7" t="str">
        <f t="shared" si="2"/>
        <v>NO</v>
      </c>
    </row>
    <row r="143">
      <c r="A143" s="4">
        <f>IFERROR(__xludf.DUMMYFUNCTION("""COMPUTED_VALUE"""),1197346.0)</f>
        <v>1197346</v>
      </c>
      <c r="B143" s="4" t="str">
        <f>IFERROR(__xludf.DUMMYFUNCTION("""COMPUTED_VALUE"""),"P2 - High")</f>
        <v>P2 - High</v>
      </c>
      <c r="C143" s="5">
        <f>IFERROR(__xludf.DUMMYFUNCTION("""COMPUTED_VALUE"""),44641.55525462963)</f>
        <v>44641.55525</v>
      </c>
      <c r="D143" s="4" t="str">
        <f>IFERROR(__xludf.DUMMYFUNCTION("""COMPUTED_VALUE"""),"RESOLVED")</f>
        <v>RESOLVED</v>
      </c>
      <c r="E143" s="6">
        <f>IFERROR(__xludf.DUMMYFUNCTION("""COMPUTED_VALUE"""),44675.64554398148)</f>
        <v>44675.64554</v>
      </c>
      <c r="F143" s="4" t="str">
        <f>IFERROR(__xludf.DUMMYFUNCTION("""COMPUTED_VALUE""")," ---")</f>
        <v> ---</v>
      </c>
      <c r="G143" s="4" t="str">
        <f>IFERROR(__xludf.DUMMYFUNCTION("""COMPUTED_VALUE"""),"PUBLIC SUSE Linux Enterprise Server 15 SP4")</f>
        <v>PUBLIC SUSE Linux Enterprise Server 15 SP4</v>
      </c>
      <c r="H143" s="7" t="str">
        <f t="shared" si="3"/>
        <v>NO</v>
      </c>
      <c r="I143" s="7" t="str">
        <f t="shared" si="2"/>
        <v>NO</v>
      </c>
    </row>
    <row r="144">
      <c r="A144" s="4">
        <f>IFERROR(__xludf.DUMMYFUNCTION("""COMPUTED_VALUE"""),1197360.0)</f>
        <v>1197360</v>
      </c>
      <c r="B144" s="4" t="str">
        <f>IFERROR(__xludf.DUMMYFUNCTION("""COMPUTED_VALUE"""),"P2 - High")</f>
        <v>P2 - High</v>
      </c>
      <c r="C144" s="5">
        <f>IFERROR(__xludf.DUMMYFUNCTION("""COMPUTED_VALUE"""),44641.71784722222)</f>
        <v>44641.71785</v>
      </c>
      <c r="D144" s="4" t="str">
        <f>IFERROR(__xludf.DUMMYFUNCTION("""COMPUTED_VALUE"""),"RESOLVED")</f>
        <v>RESOLVED</v>
      </c>
      <c r="E144" s="6">
        <f>IFERROR(__xludf.DUMMYFUNCTION("""COMPUTED_VALUE"""),44643.563796296294)</f>
        <v>44643.5638</v>
      </c>
      <c r="F144" s="4" t="str">
        <f>IFERROR(__xludf.DUMMYFUNCTION("""COMPUTED_VALUE""")," ---")</f>
        <v> ---</v>
      </c>
      <c r="G144" s="4" t="str">
        <f>IFERROR(__xludf.DUMMYFUNCTION("""COMPUTED_VALUE"""),"SUSE Linux Enterprise Server 15 SP4")</f>
        <v>SUSE Linux Enterprise Server 15 SP4</v>
      </c>
      <c r="H144" s="7" t="str">
        <f t="shared" si="3"/>
        <v>NO</v>
      </c>
      <c r="I144" s="7" t="str">
        <f t="shared" si="2"/>
        <v>NO</v>
      </c>
    </row>
    <row r="145">
      <c r="A145" s="4">
        <f>IFERROR(__xludf.DUMMYFUNCTION("""COMPUTED_VALUE"""),1200045.0)</f>
        <v>1200045</v>
      </c>
      <c r="B145" s="4" t="str">
        <f>IFERROR(__xludf.DUMMYFUNCTION("""COMPUTED_VALUE"""),"P2 - High")</f>
        <v>P2 - High</v>
      </c>
      <c r="C145" s="5">
        <f>IFERROR(__xludf.DUMMYFUNCTION("""COMPUTED_VALUE"""),44711.73626157407)</f>
        <v>44711.73626</v>
      </c>
      <c r="D145" s="4" t="str">
        <f>IFERROR(__xludf.DUMMYFUNCTION("""COMPUTED_VALUE"""),"RESOLVED")</f>
        <v>RESOLVED</v>
      </c>
      <c r="E145" s="6">
        <f>IFERROR(__xludf.DUMMYFUNCTION("""COMPUTED_VALUE"""),44736.68366898148)</f>
        <v>44736.68367</v>
      </c>
      <c r="F145" s="4" t="str">
        <f>IFERROR(__xludf.DUMMYFUNCTION("""COMPUTED_VALUE""")," ---")</f>
        <v> ---</v>
      </c>
      <c r="G145" s="4" t="str">
        <f>IFERROR(__xludf.DUMMYFUNCTION("""COMPUTED_VALUE"""),"SUSE Linux Enterprise Server 15 SP4")</f>
        <v>SUSE Linux Enterprise Server 15 SP4</v>
      </c>
      <c r="H145" s="7" t="str">
        <f t="shared" si="3"/>
        <v>NO</v>
      </c>
      <c r="I145" s="7" t="str">
        <f t="shared" si="2"/>
        <v>NO</v>
      </c>
    </row>
    <row r="146">
      <c r="A146" s="4">
        <f>IFERROR(__xludf.DUMMYFUNCTION("""COMPUTED_VALUE"""),1200046.0)</f>
        <v>1200046</v>
      </c>
      <c r="B146" s="4" t="str">
        <f>IFERROR(__xludf.DUMMYFUNCTION("""COMPUTED_VALUE"""),"P2 - High")</f>
        <v>P2 - High</v>
      </c>
      <c r="C146" s="5">
        <f>IFERROR(__xludf.DUMMYFUNCTION("""COMPUTED_VALUE"""),44711.74055555555)</f>
        <v>44711.74056</v>
      </c>
      <c r="D146" s="4" t="str">
        <f>IFERROR(__xludf.DUMMYFUNCTION("""COMPUTED_VALUE"""),"RESOLVED")</f>
        <v>RESOLVED</v>
      </c>
      <c r="E146" s="6">
        <f>IFERROR(__xludf.DUMMYFUNCTION("""COMPUTED_VALUE"""),44736.683703703704)</f>
        <v>44736.6837</v>
      </c>
      <c r="F146" s="4" t="str">
        <f>IFERROR(__xludf.DUMMYFUNCTION("""COMPUTED_VALUE""")," ---")</f>
        <v> ---</v>
      </c>
      <c r="G146" s="4" t="str">
        <f>IFERROR(__xludf.DUMMYFUNCTION("""COMPUTED_VALUE"""),"SUSE Linux Enterprise Server 15 SP4")</f>
        <v>SUSE Linux Enterprise Server 15 SP4</v>
      </c>
      <c r="H146" s="7" t="str">
        <f t="shared" si="3"/>
        <v>NO</v>
      </c>
      <c r="I146" s="7" t="str">
        <f t="shared" si="2"/>
        <v>NO</v>
      </c>
    </row>
    <row r="147">
      <c r="A147" s="4">
        <f>IFERROR(__xludf.DUMMYFUNCTION("""COMPUTED_VALUE"""),1196960.0)</f>
        <v>1196960</v>
      </c>
      <c r="B147" s="4" t="str">
        <f>IFERROR(__xludf.DUMMYFUNCTION("""COMPUTED_VALUE"""),"P2 - High")</f>
        <v>P2 - High</v>
      </c>
      <c r="C147" s="5">
        <f>IFERROR(__xludf.DUMMYFUNCTION("""COMPUTED_VALUE"""),44630.48820601852)</f>
        <v>44630.48821</v>
      </c>
      <c r="D147" s="4" t="str">
        <f>IFERROR(__xludf.DUMMYFUNCTION("""COMPUTED_VALUE"""),"RESOLVED")</f>
        <v>RESOLVED</v>
      </c>
      <c r="E147" s="6">
        <f>IFERROR(__xludf.DUMMYFUNCTION("""COMPUTED_VALUE"""),44736.46755787037)</f>
        <v>44736.46756</v>
      </c>
      <c r="F147" s="4" t="str">
        <f>IFERROR(__xludf.DUMMYFUNCTION("""COMPUTED_VALUE""")," ---")</f>
        <v> ---</v>
      </c>
      <c r="G147" s="4" t="str">
        <f>IFERROR(__xludf.DUMMYFUNCTION("""COMPUTED_VALUE"""),"SUSE Linux Enterprise Server 15 SP4")</f>
        <v>SUSE Linux Enterprise Server 15 SP4</v>
      </c>
      <c r="H147" s="7" t="str">
        <f t="shared" si="3"/>
        <v>NO</v>
      </c>
      <c r="I147" s="7" t="str">
        <f t="shared" si="2"/>
        <v>NO</v>
      </c>
    </row>
    <row r="148">
      <c r="A148" s="4">
        <f>IFERROR(__xludf.DUMMYFUNCTION("""COMPUTED_VALUE"""),1193289.0)</f>
        <v>1193289</v>
      </c>
      <c r="B148" s="4" t="str">
        <f>IFERROR(__xludf.DUMMYFUNCTION("""COMPUTED_VALUE"""),"P2 - High")</f>
        <v>P2 - High</v>
      </c>
      <c r="C148" s="5">
        <f>IFERROR(__xludf.DUMMYFUNCTION("""COMPUTED_VALUE"""),44531.613541666666)</f>
        <v>44531.61354</v>
      </c>
      <c r="D148" s="4" t="str">
        <f>IFERROR(__xludf.DUMMYFUNCTION("""COMPUTED_VALUE"""),"RESOLVED")</f>
        <v>RESOLVED</v>
      </c>
      <c r="E148" s="6">
        <f>IFERROR(__xludf.DUMMYFUNCTION("""COMPUTED_VALUE"""),44736.46469907407)</f>
        <v>44736.4647</v>
      </c>
      <c r="F148" s="4" t="str">
        <f>IFERROR(__xludf.DUMMYFUNCTION("""COMPUTED_VALUE"""),"No")</f>
        <v>No</v>
      </c>
      <c r="G148" s="4" t="str">
        <f>IFERROR(__xludf.DUMMYFUNCTION("""COMPUTED_VALUE"""),"SUSE Linux Enterprise Server 15 SP4")</f>
        <v>SUSE Linux Enterprise Server 15 SP4</v>
      </c>
      <c r="H148" s="7" t="str">
        <f t="shared" si="3"/>
        <v>NO</v>
      </c>
      <c r="I148" s="7" t="str">
        <f t="shared" si="2"/>
        <v>NO</v>
      </c>
    </row>
    <row r="149">
      <c r="A149" s="4">
        <f>IFERROR(__xludf.DUMMYFUNCTION("""COMPUTED_VALUE"""),1199011.0)</f>
        <v>1199011</v>
      </c>
      <c r="B149" s="4" t="str">
        <f>IFERROR(__xludf.DUMMYFUNCTION("""COMPUTED_VALUE"""),"P2 - High")</f>
        <v>P2 - High</v>
      </c>
      <c r="C149" s="5">
        <f>IFERROR(__xludf.DUMMYFUNCTION("""COMPUTED_VALUE"""),44680.36518518518)</f>
        <v>44680.36519</v>
      </c>
      <c r="D149" s="4" t="str">
        <f>IFERROR(__xludf.DUMMYFUNCTION("""COMPUTED_VALUE"""),"RESOLVED")</f>
        <v>RESOLVED</v>
      </c>
      <c r="E149" s="6">
        <f>IFERROR(__xludf.DUMMYFUNCTION("""COMPUTED_VALUE"""),44736.47091435185)</f>
        <v>44736.47091</v>
      </c>
      <c r="F149" s="4" t="str">
        <f>IFERROR(__xludf.DUMMYFUNCTION("""COMPUTED_VALUE""")," ---")</f>
        <v> ---</v>
      </c>
      <c r="G149" s="4" t="str">
        <f>IFERROR(__xludf.DUMMYFUNCTION("""COMPUTED_VALUE"""),"PUBLIC SUSE Linux Enterprise Server 15 SP4")</f>
        <v>PUBLIC SUSE Linux Enterprise Server 15 SP4</v>
      </c>
      <c r="H149" s="7" t="str">
        <f t="shared" si="3"/>
        <v>NO</v>
      </c>
      <c r="I149" s="7" t="str">
        <f t="shared" si="2"/>
        <v>NO</v>
      </c>
    </row>
    <row r="150">
      <c r="A150" s="4">
        <f>IFERROR(__xludf.DUMMYFUNCTION("""COMPUTED_VALUE"""),1197932.0)</f>
        <v>1197932</v>
      </c>
      <c r="B150" s="4" t="str">
        <f>IFERROR(__xludf.DUMMYFUNCTION("""COMPUTED_VALUE"""),"P2 - High")</f>
        <v>P2 - High</v>
      </c>
      <c r="C150" s="5">
        <f>IFERROR(__xludf.DUMMYFUNCTION("""COMPUTED_VALUE"""),44652.531643518516)</f>
        <v>44652.53164</v>
      </c>
      <c r="D150" s="4" t="str">
        <f>IFERROR(__xludf.DUMMYFUNCTION("""COMPUTED_VALUE"""),"RESOLVED")</f>
        <v>RESOLVED</v>
      </c>
      <c r="E150" s="6">
        <f>IFERROR(__xludf.DUMMYFUNCTION("""COMPUTED_VALUE"""),44683.40503472222)</f>
        <v>44683.40503</v>
      </c>
      <c r="F150" s="4" t="str">
        <f>IFERROR(__xludf.DUMMYFUNCTION("""COMPUTED_VALUE""")," ---")</f>
        <v> ---</v>
      </c>
      <c r="G150" s="4" t="str">
        <f>IFERROR(__xludf.DUMMYFUNCTION("""COMPUTED_VALUE"""),"SUSE Linux Enterprise Server 15 SP4")</f>
        <v>SUSE Linux Enterprise Server 15 SP4</v>
      </c>
      <c r="H150" s="7" t="str">
        <f t="shared" si="3"/>
        <v>NO</v>
      </c>
      <c r="I150" s="7" t="str">
        <f t="shared" si="2"/>
        <v>NO</v>
      </c>
    </row>
    <row r="151">
      <c r="A151" s="4">
        <f>IFERROR(__xludf.DUMMYFUNCTION("""COMPUTED_VALUE"""),1190923.0)</f>
        <v>1190923</v>
      </c>
      <c r="B151" s="4" t="str">
        <f>IFERROR(__xludf.DUMMYFUNCTION("""COMPUTED_VALUE"""),"P2 - High")</f>
        <v>P2 - High</v>
      </c>
      <c r="C151" s="5">
        <f>IFERROR(__xludf.DUMMYFUNCTION("""COMPUTED_VALUE"""),44466.378900462965)</f>
        <v>44466.3789</v>
      </c>
      <c r="D151" s="4" t="str">
        <f>IFERROR(__xludf.DUMMYFUNCTION("""COMPUTED_VALUE"""),"RESOLVED")</f>
        <v>RESOLVED</v>
      </c>
      <c r="E151" s="6">
        <f>IFERROR(__xludf.DUMMYFUNCTION("""COMPUTED_VALUE"""),44668.49252314815)</f>
        <v>44668.49252</v>
      </c>
      <c r="F151" s="4" t="str">
        <f>IFERROR(__xludf.DUMMYFUNCTION("""COMPUTED_VALUE""")," ---")</f>
        <v> ---</v>
      </c>
      <c r="G151" s="4" t="str">
        <f>IFERROR(__xludf.DUMMYFUNCTION("""COMPUTED_VALUE"""),"SUSE Linux Enterprise Server 15 SP4")</f>
        <v>SUSE Linux Enterprise Server 15 SP4</v>
      </c>
      <c r="H151" s="7" t="str">
        <f t="shared" si="3"/>
        <v>NO</v>
      </c>
      <c r="I151" s="7" t="str">
        <f t="shared" si="2"/>
        <v>NO</v>
      </c>
    </row>
    <row r="152">
      <c r="A152" s="4">
        <f>IFERROR(__xludf.DUMMYFUNCTION("""COMPUTED_VALUE"""),1194839.0)</f>
        <v>1194839</v>
      </c>
      <c r="B152" s="4" t="str">
        <f>IFERROR(__xludf.DUMMYFUNCTION("""COMPUTED_VALUE"""),"P2 - High")</f>
        <v>P2 - High</v>
      </c>
      <c r="C152" s="5">
        <f>IFERROR(__xludf.DUMMYFUNCTION("""COMPUTED_VALUE"""),44579.589166666665)</f>
        <v>44579.58917</v>
      </c>
      <c r="D152" s="4" t="str">
        <f>IFERROR(__xludf.DUMMYFUNCTION("""COMPUTED_VALUE"""),"RESOLVED")</f>
        <v>RESOLVED</v>
      </c>
      <c r="E152" s="6">
        <f>IFERROR(__xludf.DUMMYFUNCTION("""COMPUTED_VALUE"""),44668.49711805556)</f>
        <v>44668.49712</v>
      </c>
      <c r="F152" s="4" t="str">
        <f>IFERROR(__xludf.DUMMYFUNCTION("""COMPUTED_VALUE""")," ---")</f>
        <v> ---</v>
      </c>
      <c r="G152" s="4" t="str">
        <f>IFERROR(__xludf.DUMMYFUNCTION("""COMPUTED_VALUE"""),"SUSE Linux Enterprise Server 15 SP4")</f>
        <v>SUSE Linux Enterprise Server 15 SP4</v>
      </c>
      <c r="H152" s="7" t="str">
        <f t="shared" si="3"/>
        <v>NO</v>
      </c>
      <c r="I152" s="7" t="str">
        <f t="shared" si="2"/>
        <v>NO</v>
      </c>
    </row>
    <row r="153">
      <c r="A153" s="4">
        <f>IFERROR(__xludf.DUMMYFUNCTION("""COMPUTED_VALUE"""),1199163.0)</f>
        <v>1199163</v>
      </c>
      <c r="B153" s="4" t="str">
        <f>IFERROR(__xludf.DUMMYFUNCTION("""COMPUTED_VALUE"""),"P2 - High")</f>
        <v>P2 - High</v>
      </c>
      <c r="C153" s="5">
        <f>IFERROR(__xludf.DUMMYFUNCTION("""COMPUTED_VALUE"""),44684.61574074074)</f>
        <v>44684.61574</v>
      </c>
      <c r="D153" s="4" t="str">
        <f>IFERROR(__xludf.DUMMYFUNCTION("""COMPUTED_VALUE"""),"RESOLVED")</f>
        <v>RESOLVED</v>
      </c>
      <c r="E153" s="6">
        <f>IFERROR(__xludf.DUMMYFUNCTION("""COMPUTED_VALUE"""),44736.47121527778)</f>
        <v>44736.47122</v>
      </c>
      <c r="F153" s="4" t="str">
        <f>IFERROR(__xludf.DUMMYFUNCTION("""COMPUTED_VALUE"""),"Yes")</f>
        <v>Yes</v>
      </c>
      <c r="G153" s="4" t="str">
        <f>IFERROR(__xludf.DUMMYFUNCTION("""COMPUTED_VALUE"""),"PUBLIC SUSE Linux Enterprise Server 15 SP4")</f>
        <v>PUBLIC SUSE Linux Enterprise Server 15 SP4</v>
      </c>
      <c r="H153" s="7" t="str">
        <f t="shared" si="3"/>
        <v>NO</v>
      </c>
      <c r="I153" s="7" t="str">
        <f t="shared" si="2"/>
        <v>NO</v>
      </c>
    </row>
    <row r="154">
      <c r="A154" s="4">
        <f>IFERROR(__xludf.DUMMYFUNCTION("""COMPUTED_VALUE"""),1194725.0)</f>
        <v>1194725</v>
      </c>
      <c r="B154" s="4" t="str">
        <f>IFERROR(__xludf.DUMMYFUNCTION("""COMPUTED_VALUE"""),"P2 - High")</f>
        <v>P2 - High</v>
      </c>
      <c r="C154" s="5">
        <f>IFERROR(__xludf.DUMMYFUNCTION("""COMPUTED_VALUE"""),44578.24469907407)</f>
        <v>44578.2447</v>
      </c>
      <c r="D154" s="4" t="str">
        <f>IFERROR(__xludf.DUMMYFUNCTION("""COMPUTED_VALUE"""),"RESOLVED")</f>
        <v>RESOLVED</v>
      </c>
      <c r="E154" s="6">
        <f>IFERROR(__xludf.DUMMYFUNCTION("""COMPUTED_VALUE"""),44691.488483796296)</f>
        <v>44691.48848</v>
      </c>
      <c r="F154" s="4" t="str">
        <f>IFERROR(__xludf.DUMMYFUNCTION("""COMPUTED_VALUE""")," ---")</f>
        <v> ---</v>
      </c>
      <c r="G154" s="4" t="str">
        <f>IFERROR(__xludf.DUMMYFUNCTION("""COMPUTED_VALUE"""),"SUSE Linux Enterprise Server 15 SP4")</f>
        <v>SUSE Linux Enterprise Server 15 SP4</v>
      </c>
      <c r="H154" s="7" t="str">
        <f t="shared" si="3"/>
        <v>NO</v>
      </c>
      <c r="I154" s="7" t="str">
        <f t="shared" si="2"/>
        <v>NO</v>
      </c>
    </row>
    <row r="155">
      <c r="A155" s="4">
        <f>IFERROR(__xludf.DUMMYFUNCTION("""COMPUTED_VALUE"""),1195198.0)</f>
        <v>1195198</v>
      </c>
      <c r="B155" s="4" t="str">
        <f>IFERROR(__xludf.DUMMYFUNCTION("""COMPUTED_VALUE"""),"P2 - High")</f>
        <v>P2 - High</v>
      </c>
      <c r="C155" s="5">
        <f>IFERROR(__xludf.DUMMYFUNCTION("""COMPUTED_VALUE"""),44588.45195601852)</f>
        <v>44588.45196</v>
      </c>
      <c r="D155" s="4" t="str">
        <f>IFERROR(__xludf.DUMMYFUNCTION("""COMPUTED_VALUE"""),"RESOLVED")</f>
        <v>RESOLVED</v>
      </c>
      <c r="E155" s="6">
        <f>IFERROR(__xludf.DUMMYFUNCTION("""COMPUTED_VALUE"""),44621.649675925924)</f>
        <v>44621.64968</v>
      </c>
      <c r="F155" s="4" t="str">
        <f>IFERROR(__xludf.DUMMYFUNCTION("""COMPUTED_VALUE""")," ---")</f>
        <v> ---</v>
      </c>
      <c r="G155" s="4" t="str">
        <f>IFERROR(__xludf.DUMMYFUNCTION("""COMPUTED_VALUE"""),"SUSE Linux Enterprise Server 15 SP4")</f>
        <v>SUSE Linux Enterprise Server 15 SP4</v>
      </c>
      <c r="H155" s="7" t="str">
        <f t="shared" si="3"/>
        <v>NO</v>
      </c>
      <c r="I155" s="7" t="str">
        <f t="shared" si="2"/>
        <v>NO</v>
      </c>
    </row>
    <row r="156">
      <c r="A156" s="4">
        <f>IFERROR(__xludf.DUMMYFUNCTION("""COMPUTED_VALUE"""),1195669.0)</f>
        <v>1195669</v>
      </c>
      <c r="B156" s="4" t="str">
        <f>IFERROR(__xludf.DUMMYFUNCTION("""COMPUTED_VALUE"""),"P2 - High")</f>
        <v>P2 - High</v>
      </c>
      <c r="C156" s="5">
        <f>IFERROR(__xludf.DUMMYFUNCTION("""COMPUTED_VALUE"""),44600.44681712963)</f>
        <v>44600.44682</v>
      </c>
      <c r="D156" s="4" t="str">
        <f>IFERROR(__xludf.DUMMYFUNCTION("""COMPUTED_VALUE"""),"RESOLVED")</f>
        <v>RESOLVED</v>
      </c>
      <c r="E156" s="6">
        <f>IFERROR(__xludf.DUMMYFUNCTION("""COMPUTED_VALUE"""),44736.46604166667)</f>
        <v>44736.46604</v>
      </c>
      <c r="F156" s="4" t="str">
        <f>IFERROR(__xludf.DUMMYFUNCTION("""COMPUTED_VALUE""")," ---")</f>
        <v> ---</v>
      </c>
      <c r="G156" s="4" t="str">
        <f>IFERROR(__xludf.DUMMYFUNCTION("""COMPUTED_VALUE"""),"SUSE Linux Enterprise Server 15 SP4")</f>
        <v>SUSE Linux Enterprise Server 15 SP4</v>
      </c>
      <c r="H156" s="7" t="str">
        <f t="shared" si="3"/>
        <v>NO</v>
      </c>
      <c r="I156" s="7" t="str">
        <f t="shared" si="2"/>
        <v>NO</v>
      </c>
    </row>
    <row r="157">
      <c r="A157" s="4">
        <f>IFERROR(__xludf.DUMMYFUNCTION("""COMPUTED_VALUE"""),1195915.0)</f>
        <v>1195915</v>
      </c>
      <c r="B157" s="4" t="str">
        <f>IFERROR(__xludf.DUMMYFUNCTION("""COMPUTED_VALUE"""),"P2 - High")</f>
        <v>P2 - High</v>
      </c>
      <c r="C157" s="5">
        <f>IFERROR(__xludf.DUMMYFUNCTION("""COMPUTED_VALUE"""),44606.59405092592)</f>
        <v>44606.59405</v>
      </c>
      <c r="D157" s="4" t="str">
        <f>IFERROR(__xludf.DUMMYFUNCTION("""COMPUTED_VALUE"""),"RESOLVED")</f>
        <v>RESOLVED</v>
      </c>
      <c r="E157" s="6">
        <f>IFERROR(__xludf.DUMMYFUNCTION("""COMPUTED_VALUE"""),44736.46625)</f>
        <v>44736.46625</v>
      </c>
      <c r="F157" s="4" t="str">
        <f>IFERROR(__xludf.DUMMYFUNCTION("""COMPUTED_VALUE""")," ---")</f>
        <v> ---</v>
      </c>
      <c r="G157" s="4" t="str">
        <f>IFERROR(__xludf.DUMMYFUNCTION("""COMPUTED_VALUE"""),"SUSE Linux Enterprise Server 15 SP4")</f>
        <v>SUSE Linux Enterprise Server 15 SP4</v>
      </c>
      <c r="H157" s="7" t="str">
        <f t="shared" si="3"/>
        <v>NO</v>
      </c>
      <c r="I157" s="7" t="str">
        <f t="shared" si="2"/>
        <v>NO</v>
      </c>
    </row>
    <row r="158">
      <c r="A158" s="4">
        <f>IFERROR(__xludf.DUMMYFUNCTION("""COMPUTED_VALUE"""),1189071.0)</f>
        <v>1189071</v>
      </c>
      <c r="B158" s="4" t="str">
        <f>IFERROR(__xludf.DUMMYFUNCTION("""COMPUTED_VALUE"""),"P2 - High")</f>
        <v>P2 - High</v>
      </c>
      <c r="C158" s="5">
        <f>IFERROR(__xludf.DUMMYFUNCTION("""COMPUTED_VALUE"""),44412.5753125)</f>
        <v>44412.57531</v>
      </c>
      <c r="D158" s="4" t="str">
        <f>IFERROR(__xludf.DUMMYFUNCTION("""COMPUTED_VALUE"""),"RESOLVED")</f>
        <v>RESOLVED</v>
      </c>
      <c r="E158" s="6">
        <f>IFERROR(__xludf.DUMMYFUNCTION("""COMPUTED_VALUE"""),44446.799166666664)</f>
        <v>44446.79917</v>
      </c>
      <c r="F158" s="4" t="str">
        <f>IFERROR(__xludf.DUMMYFUNCTION("""COMPUTED_VALUE""")," ---")</f>
        <v> ---</v>
      </c>
      <c r="G158" s="4" t="str">
        <f>IFERROR(__xludf.DUMMYFUNCTION("""COMPUTED_VALUE"""),"SUSE Linux Enterprise Server 15 SP4")</f>
        <v>SUSE Linux Enterprise Server 15 SP4</v>
      </c>
      <c r="H158" s="7" t="str">
        <f t="shared" si="3"/>
        <v>NO</v>
      </c>
      <c r="I158" s="7" t="str">
        <f t="shared" si="2"/>
        <v>NO</v>
      </c>
    </row>
    <row r="159">
      <c r="A159" s="4">
        <f>IFERROR(__xludf.DUMMYFUNCTION("""COMPUTED_VALUE"""),1189111.0)</f>
        <v>1189111</v>
      </c>
      <c r="B159" s="4" t="str">
        <f>IFERROR(__xludf.DUMMYFUNCTION("""COMPUTED_VALUE"""),"P2 - High")</f>
        <v>P2 - High</v>
      </c>
      <c r="C159" s="5">
        <f>IFERROR(__xludf.DUMMYFUNCTION("""COMPUTED_VALUE"""),44412.71196759259)</f>
        <v>44412.71197</v>
      </c>
      <c r="D159" s="4" t="str">
        <f>IFERROR(__xludf.DUMMYFUNCTION("""COMPUTED_VALUE"""),"RESOLVED")</f>
        <v>RESOLVED</v>
      </c>
      <c r="E159" s="6">
        <f>IFERROR(__xludf.DUMMYFUNCTION("""COMPUTED_VALUE"""),44668.49086805555)</f>
        <v>44668.49087</v>
      </c>
      <c r="F159" s="4" t="str">
        <f>IFERROR(__xludf.DUMMYFUNCTION("""COMPUTED_VALUE""")," ---")</f>
        <v> ---</v>
      </c>
      <c r="G159" s="4" t="str">
        <f>IFERROR(__xludf.DUMMYFUNCTION("""COMPUTED_VALUE"""),"SUSE Linux Enterprise Server 15 SP4")</f>
        <v>SUSE Linux Enterprise Server 15 SP4</v>
      </c>
      <c r="H159" s="7" t="str">
        <f t="shared" si="3"/>
        <v>NO</v>
      </c>
      <c r="I159" s="7" t="str">
        <f t="shared" si="2"/>
        <v>NO</v>
      </c>
    </row>
    <row r="160">
      <c r="A160" s="4">
        <f>IFERROR(__xludf.DUMMYFUNCTION("""COMPUTED_VALUE"""),1195953.0)</f>
        <v>1195953</v>
      </c>
      <c r="B160" s="4" t="str">
        <f>IFERROR(__xludf.DUMMYFUNCTION("""COMPUTED_VALUE"""),"P2 - High")</f>
        <v>P2 - High</v>
      </c>
      <c r="C160" s="5">
        <f>IFERROR(__xludf.DUMMYFUNCTION("""COMPUTED_VALUE"""),44607.39733796296)</f>
        <v>44607.39734</v>
      </c>
      <c r="D160" s="4" t="str">
        <f>IFERROR(__xludf.DUMMYFUNCTION("""COMPUTED_VALUE"""),"RESOLVED")</f>
        <v>RESOLVED</v>
      </c>
      <c r="E160" s="6">
        <f>IFERROR(__xludf.DUMMYFUNCTION("""COMPUTED_VALUE"""),44691.50834490741)</f>
        <v>44691.50834</v>
      </c>
      <c r="F160" s="4" t="str">
        <f>IFERROR(__xludf.DUMMYFUNCTION("""COMPUTED_VALUE""")," ---")</f>
        <v> ---</v>
      </c>
      <c r="G160" s="4" t="str">
        <f>IFERROR(__xludf.DUMMYFUNCTION("""COMPUTED_VALUE"""),"SUSE Linux Enterprise Server 15 SP4")</f>
        <v>SUSE Linux Enterprise Server 15 SP4</v>
      </c>
      <c r="H160" s="7" t="str">
        <f t="shared" si="3"/>
        <v>NO</v>
      </c>
      <c r="I160" s="7" t="str">
        <f t="shared" si="2"/>
        <v>NO</v>
      </c>
    </row>
    <row r="161">
      <c r="A161" s="4">
        <f>IFERROR(__xludf.DUMMYFUNCTION("""COMPUTED_VALUE"""),1193823.0)</f>
        <v>1193823</v>
      </c>
      <c r="B161" s="4" t="str">
        <f>IFERROR(__xludf.DUMMYFUNCTION("""COMPUTED_VALUE"""),"P2 - High")</f>
        <v>P2 - High</v>
      </c>
      <c r="C161" s="5">
        <f>IFERROR(__xludf.DUMMYFUNCTION("""COMPUTED_VALUE"""),44546.62494212963)</f>
        <v>44546.62494</v>
      </c>
      <c r="D161" s="4" t="str">
        <f>IFERROR(__xludf.DUMMYFUNCTION("""COMPUTED_VALUE"""),"RESOLVED")</f>
        <v>RESOLVED</v>
      </c>
      <c r="E161" s="6">
        <f>IFERROR(__xludf.DUMMYFUNCTION("""COMPUTED_VALUE"""),44736.46494212963)</f>
        <v>44736.46494</v>
      </c>
      <c r="F161" s="4" t="str">
        <f>IFERROR(__xludf.DUMMYFUNCTION("""COMPUTED_VALUE""")," ---")</f>
        <v> ---</v>
      </c>
      <c r="G161" s="4" t="str">
        <f>IFERROR(__xludf.DUMMYFUNCTION("""COMPUTED_VALUE"""),"SUSE Linux Enterprise Server 15 SP4")</f>
        <v>SUSE Linux Enterprise Server 15 SP4</v>
      </c>
      <c r="H161" s="7" t="str">
        <f t="shared" si="3"/>
        <v>NO</v>
      </c>
      <c r="I161" s="7" t="str">
        <f t="shared" si="2"/>
        <v>NO</v>
      </c>
    </row>
    <row r="162">
      <c r="A162" s="4">
        <f>IFERROR(__xludf.DUMMYFUNCTION("""COMPUTED_VALUE"""),1196894.0)</f>
        <v>1196894</v>
      </c>
      <c r="B162" s="4" t="str">
        <f>IFERROR(__xludf.DUMMYFUNCTION("""COMPUTED_VALUE"""),"P2 - High")</f>
        <v>P2 - High</v>
      </c>
      <c r="C162" s="5">
        <f>IFERROR(__xludf.DUMMYFUNCTION("""COMPUTED_VALUE"""),44629.11150462963)</f>
        <v>44629.1115</v>
      </c>
      <c r="D162" s="4" t="str">
        <f>IFERROR(__xludf.DUMMYFUNCTION("""COMPUTED_VALUE"""),"RESOLVED")</f>
        <v>RESOLVED</v>
      </c>
      <c r="E162" s="6">
        <f>IFERROR(__xludf.DUMMYFUNCTION("""COMPUTED_VALUE"""),44668.49946759259)</f>
        <v>44668.49947</v>
      </c>
      <c r="F162" s="4" t="str">
        <f>IFERROR(__xludf.DUMMYFUNCTION("""COMPUTED_VALUE""")," ---")</f>
        <v> ---</v>
      </c>
      <c r="G162" s="4" t="str">
        <f>IFERROR(__xludf.DUMMYFUNCTION("""COMPUTED_VALUE"""),"SUSE Linux Enterprise Server 15 SP4")</f>
        <v>SUSE Linux Enterprise Server 15 SP4</v>
      </c>
      <c r="H162" s="7" t="str">
        <f t="shared" si="3"/>
        <v>NO</v>
      </c>
      <c r="I162" s="7" t="str">
        <f t="shared" si="2"/>
        <v>NO</v>
      </c>
    </row>
    <row r="163">
      <c r="A163" s="4">
        <f>IFERROR(__xludf.DUMMYFUNCTION("""COMPUTED_VALUE"""),1189153.0)</f>
        <v>1189153</v>
      </c>
      <c r="B163" s="4" t="str">
        <f>IFERROR(__xludf.DUMMYFUNCTION("""COMPUTED_VALUE"""),"P2 - High")</f>
        <v>P2 - High</v>
      </c>
      <c r="C163" s="5">
        <f>IFERROR(__xludf.DUMMYFUNCTION("""COMPUTED_VALUE"""),44413.719618055555)</f>
        <v>44413.71962</v>
      </c>
      <c r="D163" s="4" t="str">
        <f>IFERROR(__xludf.DUMMYFUNCTION("""COMPUTED_VALUE"""),"RESOLVED")</f>
        <v>RESOLVED</v>
      </c>
      <c r="E163" s="6">
        <f>IFERROR(__xludf.DUMMYFUNCTION("""COMPUTED_VALUE"""),44482.68415509259)</f>
        <v>44482.68416</v>
      </c>
      <c r="F163" s="4" t="str">
        <f>IFERROR(__xludf.DUMMYFUNCTION("""COMPUTED_VALUE""")," ---")</f>
        <v> ---</v>
      </c>
      <c r="G163" s="4" t="str">
        <f>IFERROR(__xludf.DUMMYFUNCTION("""COMPUTED_VALUE"""),"SUSE Linux Enterprise Server 15 SP4")</f>
        <v>SUSE Linux Enterprise Server 15 SP4</v>
      </c>
      <c r="H163" s="7" t="str">
        <f t="shared" si="3"/>
        <v>NO</v>
      </c>
      <c r="I163" s="7" t="str">
        <f t="shared" si="2"/>
        <v>NO</v>
      </c>
    </row>
    <row r="164">
      <c r="A164" s="4">
        <f>IFERROR(__xludf.DUMMYFUNCTION("""COMPUTED_VALUE"""),1190068.0)</f>
        <v>1190068</v>
      </c>
      <c r="B164" s="4" t="str">
        <f>IFERROR(__xludf.DUMMYFUNCTION("""COMPUTED_VALUE"""),"P2 - High")</f>
        <v>P2 - High</v>
      </c>
      <c r="C164" s="5">
        <f>IFERROR(__xludf.DUMMYFUNCTION("""COMPUTED_VALUE"""),44440.597395833334)</f>
        <v>44440.5974</v>
      </c>
      <c r="D164" s="4" t="str">
        <f>IFERROR(__xludf.DUMMYFUNCTION("""COMPUTED_VALUE"""),"RESOLVED")</f>
        <v>RESOLVED</v>
      </c>
      <c r="E164" s="6">
        <f>IFERROR(__xludf.DUMMYFUNCTION("""COMPUTED_VALUE"""),44668.491481481484)</f>
        <v>44668.49148</v>
      </c>
      <c r="F164" s="4" t="str">
        <f>IFERROR(__xludf.DUMMYFUNCTION("""COMPUTED_VALUE""")," ---")</f>
        <v> ---</v>
      </c>
      <c r="G164" s="4" t="str">
        <f>IFERROR(__xludf.DUMMYFUNCTION("""COMPUTED_VALUE"""),"SUSE Linux Enterprise Server 15 SP4")</f>
        <v>SUSE Linux Enterprise Server 15 SP4</v>
      </c>
      <c r="H164" s="7" t="str">
        <f t="shared" si="3"/>
        <v>NO</v>
      </c>
      <c r="I164" s="7" t="str">
        <f t="shared" si="2"/>
        <v>NO</v>
      </c>
    </row>
    <row r="165">
      <c r="A165" s="4">
        <f>IFERROR(__xludf.DUMMYFUNCTION("""COMPUTED_VALUE"""),1191396.0)</f>
        <v>1191396</v>
      </c>
      <c r="B165" s="4" t="str">
        <f>IFERROR(__xludf.DUMMYFUNCTION("""COMPUTED_VALUE"""),"P2 - High")</f>
        <v>P2 - High</v>
      </c>
      <c r="C165" s="5">
        <f>IFERROR(__xludf.DUMMYFUNCTION("""COMPUTED_VALUE"""),44475.505694444444)</f>
        <v>44475.50569</v>
      </c>
      <c r="D165" s="4" t="str">
        <f>IFERROR(__xludf.DUMMYFUNCTION("""COMPUTED_VALUE"""),"RESOLVED")</f>
        <v>RESOLVED</v>
      </c>
      <c r="E165" s="6">
        <f>IFERROR(__xludf.DUMMYFUNCTION("""COMPUTED_VALUE"""),44697.50517361111)</f>
        <v>44697.50517</v>
      </c>
      <c r="F165" s="4" t="str">
        <f>IFERROR(__xludf.DUMMYFUNCTION("""COMPUTED_VALUE""")," ---")</f>
        <v> ---</v>
      </c>
      <c r="G165" s="4" t="str">
        <f>IFERROR(__xludf.DUMMYFUNCTION("""COMPUTED_VALUE"""),"SUSE Linux Enterprise Server 15 SP4")</f>
        <v>SUSE Linux Enterprise Server 15 SP4</v>
      </c>
      <c r="H165" s="7" t="str">
        <f t="shared" si="3"/>
        <v>NO</v>
      </c>
      <c r="I165" s="7" t="str">
        <f t="shared" si="2"/>
        <v>NO</v>
      </c>
    </row>
    <row r="166">
      <c r="A166" s="4">
        <f>IFERROR(__xludf.DUMMYFUNCTION("""COMPUTED_VALUE"""),1191731.0)</f>
        <v>1191731</v>
      </c>
      <c r="B166" s="4" t="str">
        <f>IFERROR(__xludf.DUMMYFUNCTION("""COMPUTED_VALUE"""),"P2 - High")</f>
        <v>P2 - High</v>
      </c>
      <c r="C166" s="5">
        <f>IFERROR(__xludf.DUMMYFUNCTION("""COMPUTED_VALUE"""),44487.30289351852)</f>
        <v>44487.30289</v>
      </c>
      <c r="D166" s="4" t="str">
        <f>IFERROR(__xludf.DUMMYFUNCTION("""COMPUTED_VALUE"""),"RESOLVED")</f>
        <v>RESOLVED</v>
      </c>
      <c r="E166" s="6">
        <f>IFERROR(__xludf.DUMMYFUNCTION("""COMPUTED_VALUE"""),44624.931550925925)</f>
        <v>44624.93155</v>
      </c>
      <c r="F166" s="4" t="str">
        <f>IFERROR(__xludf.DUMMYFUNCTION("""COMPUTED_VALUE""")," ---")</f>
        <v> ---</v>
      </c>
      <c r="G166" s="4" t="str">
        <f>IFERROR(__xludf.DUMMYFUNCTION("""COMPUTED_VALUE"""),"SUSE Linux Enterprise Server 15 SP4")</f>
        <v>SUSE Linux Enterprise Server 15 SP4</v>
      </c>
      <c r="H166" s="7" t="str">
        <f t="shared" si="3"/>
        <v>NO</v>
      </c>
      <c r="I166" s="7" t="str">
        <f t="shared" si="2"/>
        <v>NO</v>
      </c>
    </row>
    <row r="167">
      <c r="A167" s="4">
        <f>IFERROR(__xludf.DUMMYFUNCTION("""COMPUTED_VALUE"""),1191951.0)</f>
        <v>1191951</v>
      </c>
      <c r="B167" s="4" t="str">
        <f>IFERROR(__xludf.DUMMYFUNCTION("""COMPUTED_VALUE"""),"P2 - High")</f>
        <v>P2 - High</v>
      </c>
      <c r="C167" s="5">
        <f>IFERROR(__xludf.DUMMYFUNCTION("""COMPUTED_VALUE"""),44491.43934027778)</f>
        <v>44491.43934</v>
      </c>
      <c r="D167" s="4" t="str">
        <f>IFERROR(__xludf.DUMMYFUNCTION("""COMPUTED_VALUE"""),"RESOLVED")</f>
        <v>RESOLVED</v>
      </c>
      <c r="E167" s="6">
        <f>IFERROR(__xludf.DUMMYFUNCTION("""COMPUTED_VALUE"""),44539.626909722225)</f>
        <v>44539.62691</v>
      </c>
      <c r="F167" s="4" t="str">
        <f>IFERROR(__xludf.DUMMYFUNCTION("""COMPUTED_VALUE"""),"Yes")</f>
        <v>Yes</v>
      </c>
      <c r="G167" s="4" t="str">
        <f>IFERROR(__xludf.DUMMYFUNCTION("""COMPUTED_VALUE"""),"SUSE Linux Enterprise Server 15 SP4")</f>
        <v>SUSE Linux Enterprise Server 15 SP4</v>
      </c>
      <c r="H167" s="7" t="str">
        <f t="shared" si="3"/>
        <v>NO</v>
      </c>
      <c r="I167" s="7" t="str">
        <f t="shared" si="2"/>
        <v>NO</v>
      </c>
    </row>
    <row r="168">
      <c r="A168" s="4">
        <f>IFERROR(__xludf.DUMMYFUNCTION("""COMPUTED_VALUE"""),1192295.0)</f>
        <v>1192295</v>
      </c>
      <c r="B168" s="4" t="str">
        <f>IFERROR(__xludf.DUMMYFUNCTION("""COMPUTED_VALUE"""),"P2 - High")</f>
        <v>P2 - High</v>
      </c>
      <c r="C168" s="5">
        <f>IFERROR(__xludf.DUMMYFUNCTION("""COMPUTED_VALUE"""),44503.53099537037)</f>
        <v>44503.531</v>
      </c>
      <c r="D168" s="4" t="str">
        <f>IFERROR(__xludf.DUMMYFUNCTION("""COMPUTED_VALUE"""),"RESOLVED")</f>
        <v>RESOLVED</v>
      </c>
      <c r="E168" s="6">
        <f>IFERROR(__xludf.DUMMYFUNCTION("""COMPUTED_VALUE"""),44668.49340277778)</f>
        <v>44668.4934</v>
      </c>
      <c r="F168" s="4" t="str">
        <f>IFERROR(__xludf.DUMMYFUNCTION("""COMPUTED_VALUE""")," ---")</f>
        <v> ---</v>
      </c>
      <c r="G168" s="4" t="str">
        <f>IFERROR(__xludf.DUMMYFUNCTION("""COMPUTED_VALUE"""),"SUSE Linux Enterprise Server 15 SP4")</f>
        <v>SUSE Linux Enterprise Server 15 SP4</v>
      </c>
      <c r="H168" s="7" t="str">
        <f t="shared" si="3"/>
        <v>NO</v>
      </c>
      <c r="I168" s="7" t="str">
        <f t="shared" si="2"/>
        <v>NO</v>
      </c>
    </row>
    <row r="169">
      <c r="A169" s="4">
        <f>IFERROR(__xludf.DUMMYFUNCTION("""COMPUTED_VALUE"""),1192700.0)</f>
        <v>1192700</v>
      </c>
      <c r="B169" s="4" t="str">
        <f>IFERROR(__xludf.DUMMYFUNCTION("""COMPUTED_VALUE"""),"P2 - High")</f>
        <v>P2 - High</v>
      </c>
      <c r="C169" s="5">
        <f>IFERROR(__xludf.DUMMYFUNCTION("""COMPUTED_VALUE"""),44515.54142361111)</f>
        <v>44515.54142</v>
      </c>
      <c r="D169" s="4" t="str">
        <f>IFERROR(__xludf.DUMMYFUNCTION("""COMPUTED_VALUE"""),"RESOLVED")</f>
        <v>RESOLVED</v>
      </c>
      <c r="E169" s="6">
        <f>IFERROR(__xludf.DUMMYFUNCTION("""COMPUTED_VALUE"""),44668.49376157407)</f>
        <v>44668.49376</v>
      </c>
      <c r="F169" s="4" t="str">
        <f>IFERROR(__xludf.DUMMYFUNCTION("""COMPUTED_VALUE""")," ---")</f>
        <v> ---</v>
      </c>
      <c r="G169" s="4" t="str">
        <f>IFERROR(__xludf.DUMMYFUNCTION("""COMPUTED_VALUE"""),"SUSE Linux Enterprise Server 15 SP4")</f>
        <v>SUSE Linux Enterprise Server 15 SP4</v>
      </c>
      <c r="H169" s="7" t="str">
        <f t="shared" si="3"/>
        <v>NO</v>
      </c>
      <c r="I169" s="7" t="str">
        <f t="shared" si="2"/>
        <v>NO</v>
      </c>
    </row>
    <row r="170">
      <c r="A170" s="4">
        <f>IFERROR(__xludf.DUMMYFUNCTION("""COMPUTED_VALUE"""),1193031.0)</f>
        <v>1193031</v>
      </c>
      <c r="B170" s="4" t="str">
        <f>IFERROR(__xludf.DUMMYFUNCTION("""COMPUTED_VALUE"""),"P2 - High")</f>
        <v>P2 - High</v>
      </c>
      <c r="C170" s="5">
        <f>IFERROR(__xludf.DUMMYFUNCTION("""COMPUTED_VALUE"""),44524.394282407404)</f>
        <v>44524.39428</v>
      </c>
      <c r="D170" s="4" t="str">
        <f>IFERROR(__xludf.DUMMYFUNCTION("""COMPUTED_VALUE"""),"RESOLVED")</f>
        <v>RESOLVED</v>
      </c>
      <c r="E170" s="6">
        <f>IFERROR(__xludf.DUMMYFUNCTION("""COMPUTED_VALUE"""),44532.36177083333)</f>
        <v>44532.36177</v>
      </c>
      <c r="F170" s="4" t="str">
        <f>IFERROR(__xludf.DUMMYFUNCTION("""COMPUTED_VALUE""")," ---")</f>
        <v> ---</v>
      </c>
      <c r="G170" s="4" t="str">
        <f>IFERROR(__xludf.DUMMYFUNCTION("""COMPUTED_VALUE"""),"SUSE Linux Enterprise Server 15 SP4")</f>
        <v>SUSE Linux Enterprise Server 15 SP4</v>
      </c>
      <c r="H170" s="7" t="str">
        <f t="shared" si="3"/>
        <v>NO</v>
      </c>
      <c r="I170" s="7" t="str">
        <f t="shared" si="2"/>
        <v>NO</v>
      </c>
    </row>
    <row r="171">
      <c r="A171" s="4">
        <f>IFERROR(__xludf.DUMMYFUNCTION("""COMPUTED_VALUE"""),1193349.0)</f>
        <v>1193349</v>
      </c>
      <c r="B171" s="4" t="str">
        <f>IFERROR(__xludf.DUMMYFUNCTION("""COMPUTED_VALUE"""),"P2 - High")</f>
        <v>P2 - High</v>
      </c>
      <c r="C171" s="5">
        <f>IFERROR(__xludf.DUMMYFUNCTION("""COMPUTED_VALUE"""),44532.993425925924)</f>
        <v>44532.99343</v>
      </c>
      <c r="D171" s="4" t="str">
        <f>IFERROR(__xludf.DUMMYFUNCTION("""COMPUTED_VALUE"""),"RESOLVED")</f>
        <v>RESOLVED</v>
      </c>
      <c r="E171" s="6">
        <f>IFERROR(__xludf.DUMMYFUNCTION("""COMPUTED_VALUE"""),44688.68193287037)</f>
        <v>44688.68193</v>
      </c>
      <c r="F171" s="4" t="str">
        <f>IFERROR(__xludf.DUMMYFUNCTION("""COMPUTED_VALUE""")," ---")</f>
        <v> ---</v>
      </c>
      <c r="G171" s="4" t="str">
        <f>IFERROR(__xludf.DUMMYFUNCTION("""COMPUTED_VALUE"""),"SUSE Linux Enterprise Server 15 SP4")</f>
        <v>SUSE Linux Enterprise Server 15 SP4</v>
      </c>
      <c r="H171" s="7" t="str">
        <f t="shared" si="3"/>
        <v>NO</v>
      </c>
      <c r="I171" s="7" t="str">
        <f t="shared" si="2"/>
        <v>NO</v>
      </c>
    </row>
    <row r="172">
      <c r="A172" s="4">
        <f>IFERROR(__xludf.DUMMYFUNCTION("""COMPUTED_VALUE"""),1193470.0)</f>
        <v>1193470</v>
      </c>
      <c r="B172" s="4" t="str">
        <f>IFERROR(__xludf.DUMMYFUNCTION("""COMPUTED_VALUE"""),"P2 - High")</f>
        <v>P2 - High</v>
      </c>
      <c r="C172" s="5">
        <f>IFERROR(__xludf.DUMMYFUNCTION("""COMPUTED_VALUE"""),44537.45180555555)</f>
        <v>44537.45181</v>
      </c>
      <c r="D172" s="4" t="str">
        <f>IFERROR(__xludf.DUMMYFUNCTION("""COMPUTED_VALUE"""),"RESOLVED")</f>
        <v>RESOLVED</v>
      </c>
      <c r="E172" s="6">
        <f>IFERROR(__xludf.DUMMYFUNCTION("""COMPUTED_VALUE"""),44668.49493055556)</f>
        <v>44668.49493</v>
      </c>
      <c r="F172" s="4" t="str">
        <f>IFERROR(__xludf.DUMMYFUNCTION("""COMPUTED_VALUE""")," ---")</f>
        <v> ---</v>
      </c>
      <c r="G172" s="4" t="str">
        <f>IFERROR(__xludf.DUMMYFUNCTION("""COMPUTED_VALUE"""),"SUSE Linux Enterprise Server 15 SP4")</f>
        <v>SUSE Linux Enterprise Server 15 SP4</v>
      </c>
      <c r="H172" s="7" t="str">
        <f t="shared" si="3"/>
        <v>NO</v>
      </c>
      <c r="I172" s="7" t="str">
        <f t="shared" si="2"/>
        <v>NO</v>
      </c>
    </row>
    <row r="173">
      <c r="A173" s="4">
        <f>IFERROR(__xludf.DUMMYFUNCTION("""COMPUTED_VALUE"""),1193674.0)</f>
        <v>1193674</v>
      </c>
      <c r="B173" s="4" t="str">
        <f>IFERROR(__xludf.DUMMYFUNCTION("""COMPUTED_VALUE"""),"P2 - High")</f>
        <v>P2 - High</v>
      </c>
      <c r="C173" s="5">
        <f>IFERROR(__xludf.DUMMYFUNCTION("""COMPUTED_VALUE"""),44543.57016203704)</f>
        <v>44543.57016</v>
      </c>
      <c r="D173" s="4" t="str">
        <f>IFERROR(__xludf.DUMMYFUNCTION("""COMPUTED_VALUE"""),"RESOLVED")</f>
        <v>RESOLVED</v>
      </c>
      <c r="E173" s="6">
        <f>IFERROR(__xludf.DUMMYFUNCTION("""COMPUTED_VALUE"""),44668.4952662037)</f>
        <v>44668.49527</v>
      </c>
      <c r="F173" s="4" t="str">
        <f>IFERROR(__xludf.DUMMYFUNCTION("""COMPUTED_VALUE""")," ---")</f>
        <v> ---</v>
      </c>
      <c r="G173" s="4" t="str">
        <f>IFERROR(__xludf.DUMMYFUNCTION("""COMPUTED_VALUE"""),"SUSE Linux Enterprise Server 15 SP4")</f>
        <v>SUSE Linux Enterprise Server 15 SP4</v>
      </c>
      <c r="H173" s="7" t="str">
        <f t="shared" si="3"/>
        <v>NO</v>
      </c>
      <c r="I173" s="7" t="str">
        <f t="shared" si="2"/>
        <v>NO</v>
      </c>
    </row>
    <row r="174">
      <c r="A174" s="4">
        <f>IFERROR(__xludf.DUMMYFUNCTION("""COMPUTED_VALUE"""),1194858.0)</f>
        <v>1194858</v>
      </c>
      <c r="B174" s="4" t="str">
        <f>IFERROR(__xludf.DUMMYFUNCTION("""COMPUTED_VALUE"""),"P2 - High")</f>
        <v>P2 - High</v>
      </c>
      <c r="C174" s="5">
        <f>IFERROR(__xludf.DUMMYFUNCTION("""COMPUTED_VALUE"""),44580.3128125)</f>
        <v>44580.31281</v>
      </c>
      <c r="D174" s="4" t="str">
        <f>IFERROR(__xludf.DUMMYFUNCTION("""COMPUTED_VALUE"""),"RESOLVED")</f>
        <v>RESOLVED</v>
      </c>
      <c r="E174" s="6">
        <f>IFERROR(__xludf.DUMMYFUNCTION("""COMPUTED_VALUE"""),44668.497199074074)</f>
        <v>44668.4972</v>
      </c>
      <c r="F174" s="4" t="str">
        <f>IFERROR(__xludf.DUMMYFUNCTION("""COMPUTED_VALUE""")," ---")</f>
        <v> ---</v>
      </c>
      <c r="G174" s="4" t="str">
        <f>IFERROR(__xludf.DUMMYFUNCTION("""COMPUTED_VALUE"""),"SUSE Linux Enterprise Server 15 SP4")</f>
        <v>SUSE Linux Enterprise Server 15 SP4</v>
      </c>
      <c r="H174" s="7" t="str">
        <f t="shared" si="3"/>
        <v>NO</v>
      </c>
      <c r="I174" s="7" t="str">
        <f t="shared" si="2"/>
        <v>NO</v>
      </c>
    </row>
    <row r="175">
      <c r="A175" s="4">
        <f>IFERROR(__xludf.DUMMYFUNCTION("""COMPUTED_VALUE"""),1195111.0)</f>
        <v>1195111</v>
      </c>
      <c r="B175" s="4" t="str">
        <f>IFERROR(__xludf.DUMMYFUNCTION("""COMPUTED_VALUE"""),"P2 - High")</f>
        <v>P2 - High</v>
      </c>
      <c r="C175" s="5">
        <f>IFERROR(__xludf.DUMMYFUNCTION("""COMPUTED_VALUE"""),44586.884930555556)</f>
        <v>44586.88493</v>
      </c>
      <c r="D175" s="4" t="str">
        <f>IFERROR(__xludf.DUMMYFUNCTION("""COMPUTED_VALUE"""),"RESOLVED")</f>
        <v>RESOLVED</v>
      </c>
      <c r="E175" s="6">
        <f>IFERROR(__xludf.DUMMYFUNCTION("""COMPUTED_VALUE"""),44665.72430555556)</f>
        <v>44665.72431</v>
      </c>
      <c r="F175" s="4" t="str">
        <f>IFERROR(__xludf.DUMMYFUNCTION("""COMPUTED_VALUE""")," ---")</f>
        <v> ---</v>
      </c>
      <c r="G175" s="4" t="str">
        <f>IFERROR(__xludf.DUMMYFUNCTION("""COMPUTED_VALUE"""),"SUSE Linux Enterprise Server 15 SP4")</f>
        <v>SUSE Linux Enterprise Server 15 SP4</v>
      </c>
      <c r="H175" s="7" t="str">
        <f t="shared" si="3"/>
        <v>NO</v>
      </c>
      <c r="I175" s="7" t="str">
        <f t="shared" si="2"/>
        <v>NO</v>
      </c>
    </row>
    <row r="176">
      <c r="A176" s="4">
        <f>IFERROR(__xludf.DUMMYFUNCTION("""COMPUTED_VALUE"""),1195659.0)</f>
        <v>1195659</v>
      </c>
      <c r="B176" s="4" t="str">
        <f>IFERROR(__xludf.DUMMYFUNCTION("""COMPUTED_VALUE"""),"P2 - High")</f>
        <v>P2 - High</v>
      </c>
      <c r="C176" s="5">
        <f>IFERROR(__xludf.DUMMYFUNCTION("""COMPUTED_VALUE"""),44600.340625)</f>
        <v>44600.34063</v>
      </c>
      <c r="D176" s="4" t="str">
        <f>IFERROR(__xludf.DUMMYFUNCTION("""COMPUTED_VALUE"""),"RESOLVED")</f>
        <v>RESOLVED</v>
      </c>
      <c r="E176" s="6">
        <f>IFERROR(__xludf.DUMMYFUNCTION("""COMPUTED_VALUE"""),44602.755381944444)</f>
        <v>44602.75538</v>
      </c>
      <c r="F176" s="4" t="str">
        <f>IFERROR(__xludf.DUMMYFUNCTION("""COMPUTED_VALUE""")," ---")</f>
        <v> ---</v>
      </c>
      <c r="G176" s="4" t="str">
        <f>IFERROR(__xludf.DUMMYFUNCTION("""COMPUTED_VALUE"""),"SUSE Linux Enterprise Server 15 SP4")</f>
        <v>SUSE Linux Enterprise Server 15 SP4</v>
      </c>
      <c r="H176" s="7" t="str">
        <f t="shared" si="3"/>
        <v>NO</v>
      </c>
      <c r="I176" s="7" t="str">
        <f t="shared" si="2"/>
        <v>NO</v>
      </c>
    </row>
    <row r="177">
      <c r="A177" s="4">
        <f>IFERROR(__xludf.DUMMYFUNCTION("""COMPUTED_VALUE"""),1195957.0)</f>
        <v>1195957</v>
      </c>
      <c r="B177" s="4" t="str">
        <f>IFERROR(__xludf.DUMMYFUNCTION("""COMPUTED_VALUE"""),"P2 - High")</f>
        <v>P2 - High</v>
      </c>
      <c r="C177" s="5">
        <f>IFERROR(__xludf.DUMMYFUNCTION("""COMPUTED_VALUE"""),44607.418761574074)</f>
        <v>44607.41876</v>
      </c>
      <c r="D177" s="4" t="str">
        <f>IFERROR(__xludf.DUMMYFUNCTION("""COMPUTED_VALUE"""),"RESOLVED")</f>
        <v>RESOLVED</v>
      </c>
      <c r="E177" s="6">
        <f>IFERROR(__xludf.DUMMYFUNCTION("""COMPUTED_VALUE"""),44736.46633101852)</f>
        <v>44736.46633</v>
      </c>
      <c r="F177" s="4" t="str">
        <f>IFERROR(__xludf.DUMMYFUNCTION("""COMPUTED_VALUE"""),"Yes")</f>
        <v>Yes</v>
      </c>
      <c r="G177" s="4" t="str">
        <f>IFERROR(__xludf.DUMMYFUNCTION("""COMPUTED_VALUE"""),"PUBLIC SUSE Linux Enterprise Server 15 SP4")</f>
        <v>PUBLIC SUSE Linux Enterprise Server 15 SP4</v>
      </c>
      <c r="H177" s="7" t="str">
        <f t="shared" si="3"/>
        <v>NO</v>
      </c>
      <c r="I177" s="7" t="str">
        <f t="shared" si="2"/>
        <v>NO</v>
      </c>
    </row>
    <row r="178">
      <c r="A178" s="4">
        <f>IFERROR(__xludf.DUMMYFUNCTION("""COMPUTED_VALUE"""),1195993.0)</f>
        <v>1195993</v>
      </c>
      <c r="B178" s="4" t="str">
        <f>IFERROR(__xludf.DUMMYFUNCTION("""COMPUTED_VALUE"""),"P2 - High")</f>
        <v>P2 - High</v>
      </c>
      <c r="C178" s="5">
        <f>IFERROR(__xludf.DUMMYFUNCTION("""COMPUTED_VALUE"""),44607.79907407407)</f>
        <v>44607.79907</v>
      </c>
      <c r="D178" s="4" t="str">
        <f>IFERROR(__xludf.DUMMYFUNCTION("""COMPUTED_VALUE"""),"RESOLVED")</f>
        <v>RESOLVED</v>
      </c>
      <c r="E178" s="6">
        <f>IFERROR(__xludf.DUMMYFUNCTION("""COMPUTED_VALUE"""),44668.49866898148)</f>
        <v>44668.49867</v>
      </c>
      <c r="F178" s="4" t="str">
        <f>IFERROR(__xludf.DUMMYFUNCTION("""COMPUTED_VALUE""")," ---")</f>
        <v> ---</v>
      </c>
      <c r="G178" s="4" t="str">
        <f>IFERROR(__xludf.DUMMYFUNCTION("""COMPUTED_VALUE"""),"SUSE Linux Enterprise Server 15 SP4")</f>
        <v>SUSE Linux Enterprise Server 15 SP4</v>
      </c>
      <c r="H178" s="7" t="str">
        <f t="shared" si="3"/>
        <v>NO</v>
      </c>
      <c r="I178" s="7" t="str">
        <f t="shared" si="2"/>
        <v>NO</v>
      </c>
    </row>
    <row r="179">
      <c r="A179" s="4">
        <f>IFERROR(__xludf.DUMMYFUNCTION("""COMPUTED_VALUE"""),1195995.0)</f>
        <v>1195995</v>
      </c>
      <c r="B179" s="4" t="str">
        <f>IFERROR(__xludf.DUMMYFUNCTION("""COMPUTED_VALUE"""),"P2 - High")</f>
        <v>P2 - High</v>
      </c>
      <c r="C179" s="5">
        <f>IFERROR(__xludf.DUMMYFUNCTION("""COMPUTED_VALUE"""),44607.84076388889)</f>
        <v>44607.84076</v>
      </c>
      <c r="D179" s="4" t="str">
        <f>IFERROR(__xludf.DUMMYFUNCTION("""COMPUTED_VALUE"""),"RESOLVED")</f>
        <v>RESOLVED</v>
      </c>
      <c r="E179" s="6">
        <f>IFERROR(__xludf.DUMMYFUNCTION("""COMPUTED_VALUE"""),44631.47982638889)</f>
        <v>44631.47983</v>
      </c>
      <c r="F179" s="4" t="str">
        <f>IFERROR(__xludf.DUMMYFUNCTION("""COMPUTED_VALUE"""),"Yes")</f>
        <v>Yes</v>
      </c>
      <c r="G179" s="4" t="str">
        <f>IFERROR(__xludf.DUMMYFUNCTION("""COMPUTED_VALUE"""),"SUSE Linux Enterprise Server 15 SP4")</f>
        <v>SUSE Linux Enterprise Server 15 SP4</v>
      </c>
      <c r="H179" s="7" t="str">
        <f t="shared" si="3"/>
        <v>NO</v>
      </c>
      <c r="I179" s="7" t="str">
        <f t="shared" si="2"/>
        <v>NO</v>
      </c>
    </row>
    <row r="180">
      <c r="A180" s="4">
        <f>IFERROR(__xludf.DUMMYFUNCTION("""COMPUTED_VALUE"""),1196221.0)</f>
        <v>1196221</v>
      </c>
      <c r="B180" s="4" t="str">
        <f>IFERROR(__xludf.DUMMYFUNCTION("""COMPUTED_VALUE"""),"P2 - High")</f>
        <v>P2 - High</v>
      </c>
      <c r="C180" s="5">
        <f>IFERROR(__xludf.DUMMYFUNCTION("""COMPUTED_VALUE"""),44613.340891203705)</f>
        <v>44613.34089</v>
      </c>
      <c r="D180" s="4" t="str">
        <f>IFERROR(__xludf.DUMMYFUNCTION("""COMPUTED_VALUE"""),"RESOLVED")</f>
        <v>RESOLVED</v>
      </c>
      <c r="E180" s="6">
        <f>IFERROR(__xludf.DUMMYFUNCTION("""COMPUTED_VALUE"""),44649.43009259259)</f>
        <v>44649.43009</v>
      </c>
      <c r="F180" s="4" t="str">
        <f>IFERROR(__xludf.DUMMYFUNCTION("""COMPUTED_VALUE""")," ---")</f>
        <v> ---</v>
      </c>
      <c r="G180" s="4" t="str">
        <f>IFERROR(__xludf.DUMMYFUNCTION("""COMPUTED_VALUE"""),"SUSE Linux Enterprise Desktop 15 SP4")</f>
        <v>SUSE Linux Enterprise Desktop 15 SP4</v>
      </c>
      <c r="H180" s="7" t="str">
        <f t="shared" si="3"/>
        <v>NO</v>
      </c>
      <c r="I180" s="7" t="str">
        <f t="shared" si="2"/>
        <v>NO</v>
      </c>
    </row>
    <row r="181">
      <c r="A181" s="4">
        <f>IFERROR(__xludf.DUMMYFUNCTION("""COMPUTED_VALUE"""),1196291.0)</f>
        <v>1196291</v>
      </c>
      <c r="B181" s="4" t="str">
        <f>IFERROR(__xludf.DUMMYFUNCTION("""COMPUTED_VALUE"""),"P2 - High")</f>
        <v>P2 - High</v>
      </c>
      <c r="C181" s="5">
        <f>IFERROR(__xludf.DUMMYFUNCTION("""COMPUTED_VALUE"""),44614.5441087963)</f>
        <v>44614.54411</v>
      </c>
      <c r="D181" s="4" t="str">
        <f>IFERROR(__xludf.DUMMYFUNCTION("""COMPUTED_VALUE"""),"RESOLVED")</f>
        <v>RESOLVED</v>
      </c>
      <c r="E181" s="6">
        <f>IFERROR(__xludf.DUMMYFUNCTION("""COMPUTED_VALUE"""),44621.40358796297)</f>
        <v>44621.40359</v>
      </c>
      <c r="F181" s="4" t="str">
        <f>IFERROR(__xludf.DUMMYFUNCTION("""COMPUTED_VALUE"""),"Yes")</f>
        <v>Yes</v>
      </c>
      <c r="G181" s="4" t="str">
        <f>IFERROR(__xludf.DUMMYFUNCTION("""COMPUTED_VALUE"""),"PUBLIC SUSE Linux Enterprise Server 15 SP4")</f>
        <v>PUBLIC SUSE Linux Enterprise Server 15 SP4</v>
      </c>
      <c r="H181" s="7" t="str">
        <f t="shared" si="3"/>
        <v>NO</v>
      </c>
      <c r="I181" s="7" t="str">
        <f t="shared" si="2"/>
        <v>NO</v>
      </c>
    </row>
    <row r="182">
      <c r="A182" s="4">
        <f>IFERROR(__xludf.DUMMYFUNCTION("""COMPUTED_VALUE"""),1196346.0)</f>
        <v>1196346</v>
      </c>
      <c r="B182" s="4" t="str">
        <f>IFERROR(__xludf.DUMMYFUNCTION("""COMPUTED_VALUE"""),"P2 - High")</f>
        <v>P2 - High</v>
      </c>
      <c r="C182" s="5">
        <f>IFERROR(__xludf.DUMMYFUNCTION("""COMPUTED_VALUE"""),44615.504745370374)</f>
        <v>44615.50475</v>
      </c>
      <c r="D182" s="4" t="str">
        <f>IFERROR(__xludf.DUMMYFUNCTION("""COMPUTED_VALUE"""),"RESOLVED")</f>
        <v>RESOLVED</v>
      </c>
      <c r="E182" s="6">
        <f>IFERROR(__xludf.DUMMYFUNCTION("""COMPUTED_VALUE"""),44668.49895833333)</f>
        <v>44668.49896</v>
      </c>
      <c r="F182" s="4" t="str">
        <f>IFERROR(__xludf.DUMMYFUNCTION("""COMPUTED_VALUE""")," ---")</f>
        <v> ---</v>
      </c>
      <c r="G182" s="4" t="str">
        <f>IFERROR(__xludf.DUMMYFUNCTION("""COMPUTED_VALUE"""),"PUBLIC SUSE Linux Enterprise Server 15 SP4")</f>
        <v>PUBLIC SUSE Linux Enterprise Server 15 SP4</v>
      </c>
      <c r="H182" s="7" t="str">
        <f t="shared" si="3"/>
        <v>NO</v>
      </c>
      <c r="I182" s="7" t="str">
        <f t="shared" si="2"/>
        <v>NO</v>
      </c>
    </row>
    <row r="183">
      <c r="A183" s="4">
        <f>IFERROR(__xludf.DUMMYFUNCTION("""COMPUTED_VALUE"""),1196848.0)</f>
        <v>1196848</v>
      </c>
      <c r="B183" s="4" t="str">
        <f>IFERROR(__xludf.DUMMYFUNCTION("""COMPUTED_VALUE"""),"P2 - High")</f>
        <v>P2 - High</v>
      </c>
      <c r="C183" s="5">
        <f>IFERROR(__xludf.DUMMYFUNCTION("""COMPUTED_VALUE"""),44628.05372685185)</f>
        <v>44628.05373</v>
      </c>
      <c r="D183" s="4" t="str">
        <f>IFERROR(__xludf.DUMMYFUNCTION("""COMPUTED_VALUE"""),"RESOLVED")</f>
        <v>RESOLVED</v>
      </c>
      <c r="E183" s="6">
        <f>IFERROR(__xludf.DUMMYFUNCTION("""COMPUTED_VALUE"""),44668.499340277776)</f>
        <v>44668.49934</v>
      </c>
      <c r="F183" s="4" t="str">
        <f>IFERROR(__xludf.DUMMYFUNCTION("""COMPUTED_VALUE""")," ---")</f>
        <v> ---</v>
      </c>
      <c r="G183" s="4" t="str">
        <f>IFERROR(__xludf.DUMMYFUNCTION("""COMPUTED_VALUE"""),"SUSE Linux Enterprise Server 15 SP4")</f>
        <v>SUSE Linux Enterprise Server 15 SP4</v>
      </c>
      <c r="H183" s="7" t="str">
        <f t="shared" si="3"/>
        <v>NO</v>
      </c>
      <c r="I183" s="7" t="str">
        <f t="shared" si="2"/>
        <v>NO</v>
      </c>
    </row>
    <row r="184">
      <c r="A184" s="4">
        <f>IFERROR(__xludf.DUMMYFUNCTION("""COMPUTED_VALUE"""),1196849.0)</f>
        <v>1196849</v>
      </c>
      <c r="B184" s="4" t="str">
        <f>IFERROR(__xludf.DUMMYFUNCTION("""COMPUTED_VALUE"""),"P2 - High")</f>
        <v>P2 - High</v>
      </c>
      <c r="C184" s="5">
        <f>IFERROR(__xludf.DUMMYFUNCTION("""COMPUTED_VALUE"""),44628.055752314816)</f>
        <v>44628.05575</v>
      </c>
      <c r="D184" s="4" t="str">
        <f>IFERROR(__xludf.DUMMYFUNCTION("""COMPUTED_VALUE"""),"RESOLVED")</f>
        <v>RESOLVED</v>
      </c>
      <c r="E184" s="6">
        <f>IFERROR(__xludf.DUMMYFUNCTION("""COMPUTED_VALUE"""),44668.499386574076)</f>
        <v>44668.49939</v>
      </c>
      <c r="F184" s="4" t="str">
        <f>IFERROR(__xludf.DUMMYFUNCTION("""COMPUTED_VALUE""")," ---")</f>
        <v> ---</v>
      </c>
      <c r="G184" s="4" t="str">
        <f>IFERROR(__xludf.DUMMYFUNCTION("""COMPUTED_VALUE"""),"SUSE Linux Enterprise Server 15 SP4")</f>
        <v>SUSE Linux Enterprise Server 15 SP4</v>
      </c>
      <c r="H184" s="7" t="str">
        <f t="shared" si="3"/>
        <v>NO</v>
      </c>
      <c r="I184" s="7" t="str">
        <f t="shared" si="2"/>
        <v>NO</v>
      </c>
    </row>
    <row r="185">
      <c r="A185" s="4">
        <f>IFERROR(__xludf.DUMMYFUNCTION("""COMPUTED_VALUE"""),1197121.0)</f>
        <v>1197121</v>
      </c>
      <c r="B185" s="4" t="str">
        <f>IFERROR(__xludf.DUMMYFUNCTION("""COMPUTED_VALUE"""),"P2 - High")</f>
        <v>P2 - High</v>
      </c>
      <c r="C185" s="5">
        <f>IFERROR(__xludf.DUMMYFUNCTION("""COMPUTED_VALUE"""),44635.394282407404)</f>
        <v>44635.39428</v>
      </c>
      <c r="D185" s="4" t="str">
        <f>IFERROR(__xludf.DUMMYFUNCTION("""COMPUTED_VALUE"""),"RESOLVED")</f>
        <v>RESOLVED</v>
      </c>
      <c r="E185" s="6">
        <f>IFERROR(__xludf.DUMMYFUNCTION("""COMPUTED_VALUE"""),44641.64378472222)</f>
        <v>44641.64378</v>
      </c>
      <c r="F185" s="4" t="str">
        <f>IFERROR(__xludf.DUMMYFUNCTION("""COMPUTED_VALUE""")," ---")</f>
        <v> ---</v>
      </c>
      <c r="G185" s="4" t="str">
        <f>IFERROR(__xludf.DUMMYFUNCTION("""COMPUTED_VALUE"""),"PUBLIC SUSE Linux Enterprise Desktop 15 SP4")</f>
        <v>PUBLIC SUSE Linux Enterprise Desktop 15 SP4</v>
      </c>
      <c r="H185" s="7" t="str">
        <f t="shared" si="3"/>
        <v>NO</v>
      </c>
      <c r="I185" s="7" t="str">
        <f t="shared" si="2"/>
        <v>NO</v>
      </c>
    </row>
    <row r="186">
      <c r="A186" s="4">
        <f>IFERROR(__xludf.DUMMYFUNCTION("""COMPUTED_VALUE"""),1197361.0)</f>
        <v>1197361</v>
      </c>
      <c r="B186" s="4" t="str">
        <f>IFERROR(__xludf.DUMMYFUNCTION("""COMPUTED_VALUE"""),"P2 - High")</f>
        <v>P2 - High</v>
      </c>
      <c r="C186" s="5">
        <f>IFERROR(__xludf.DUMMYFUNCTION("""COMPUTED_VALUE"""),44641.72740740741)</f>
        <v>44641.72741</v>
      </c>
      <c r="D186" s="4" t="str">
        <f>IFERROR(__xludf.DUMMYFUNCTION("""COMPUTED_VALUE"""),"RESOLVED")</f>
        <v>RESOLVED</v>
      </c>
      <c r="E186" s="6">
        <f>IFERROR(__xludf.DUMMYFUNCTION("""COMPUTED_VALUE"""),44649.124756944446)</f>
        <v>44649.12476</v>
      </c>
      <c r="F186" s="4" t="str">
        <f>IFERROR(__xludf.DUMMYFUNCTION("""COMPUTED_VALUE""")," ---")</f>
        <v> ---</v>
      </c>
      <c r="G186" s="4" t="str">
        <f>IFERROR(__xludf.DUMMYFUNCTION("""COMPUTED_VALUE"""),"SUSE Linux Enterprise Server 15 SP4")</f>
        <v>SUSE Linux Enterprise Server 15 SP4</v>
      </c>
      <c r="H186" s="7" t="str">
        <f t="shared" si="3"/>
        <v>NO</v>
      </c>
      <c r="I186" s="7" t="str">
        <f t="shared" si="2"/>
        <v>NO</v>
      </c>
    </row>
    <row r="187">
      <c r="A187" s="4">
        <f>IFERROR(__xludf.DUMMYFUNCTION("""COMPUTED_VALUE"""),1197364.0)</f>
        <v>1197364</v>
      </c>
      <c r="B187" s="4" t="str">
        <f>IFERROR(__xludf.DUMMYFUNCTION("""COMPUTED_VALUE"""),"P2 - High")</f>
        <v>P2 - High</v>
      </c>
      <c r="C187" s="5">
        <f>IFERROR(__xludf.DUMMYFUNCTION("""COMPUTED_VALUE"""),44641.73709490741)</f>
        <v>44641.73709</v>
      </c>
      <c r="D187" s="4" t="str">
        <f>IFERROR(__xludf.DUMMYFUNCTION("""COMPUTED_VALUE"""),"RESOLVED")</f>
        <v>RESOLVED</v>
      </c>
      <c r="E187" s="6">
        <f>IFERROR(__xludf.DUMMYFUNCTION("""COMPUTED_VALUE"""),44649.11280092593)</f>
        <v>44649.1128</v>
      </c>
      <c r="F187" s="4" t="str">
        <f>IFERROR(__xludf.DUMMYFUNCTION("""COMPUTED_VALUE""")," ---")</f>
        <v> ---</v>
      </c>
      <c r="G187" s="4" t="str">
        <f>IFERROR(__xludf.DUMMYFUNCTION("""COMPUTED_VALUE"""),"SUSE Linux Enterprise Server 15 SP4")</f>
        <v>SUSE Linux Enterprise Server 15 SP4</v>
      </c>
      <c r="H187" s="7" t="str">
        <f t="shared" si="3"/>
        <v>NO</v>
      </c>
      <c r="I187" s="7" t="str">
        <f t="shared" si="2"/>
        <v>NO</v>
      </c>
    </row>
    <row r="188">
      <c r="A188" s="4">
        <f>IFERROR(__xludf.DUMMYFUNCTION("""COMPUTED_VALUE"""),1197595.0)</f>
        <v>1197595</v>
      </c>
      <c r="B188" s="4" t="str">
        <f>IFERROR(__xludf.DUMMYFUNCTION("""COMPUTED_VALUE"""),"P2 - High")</f>
        <v>P2 - High</v>
      </c>
      <c r="C188" s="5">
        <f>IFERROR(__xludf.DUMMYFUNCTION("""COMPUTED_VALUE"""),44648.4471875)</f>
        <v>44648.44719</v>
      </c>
      <c r="D188" s="4" t="str">
        <f>IFERROR(__xludf.DUMMYFUNCTION("""COMPUTED_VALUE"""),"RESOLVED")</f>
        <v>RESOLVED</v>
      </c>
      <c r="E188" s="6">
        <f>IFERROR(__xludf.DUMMYFUNCTION("""COMPUTED_VALUE"""),44658.935)</f>
        <v>44658.935</v>
      </c>
      <c r="F188" s="4" t="str">
        <f>IFERROR(__xludf.DUMMYFUNCTION("""COMPUTED_VALUE"""),"Yes")</f>
        <v>Yes</v>
      </c>
      <c r="G188" s="4" t="str">
        <f>IFERROR(__xludf.DUMMYFUNCTION("""COMPUTED_VALUE"""),"PUBLIC SUSE Linux Enterprise Server 15 SP4")</f>
        <v>PUBLIC SUSE Linux Enterprise Server 15 SP4</v>
      </c>
      <c r="H188" s="7" t="str">
        <f t="shared" si="3"/>
        <v>NO</v>
      </c>
      <c r="I188" s="7" t="str">
        <f t="shared" si="2"/>
        <v>NO</v>
      </c>
    </row>
    <row r="189">
      <c r="A189" s="4">
        <f>IFERROR(__xludf.DUMMYFUNCTION("""COMPUTED_VALUE"""),1197805.0)</f>
        <v>1197805</v>
      </c>
      <c r="B189" s="4" t="str">
        <f>IFERROR(__xludf.DUMMYFUNCTION("""COMPUTED_VALUE"""),"P2 - High")</f>
        <v>P2 - High</v>
      </c>
      <c r="C189" s="5">
        <f>IFERROR(__xludf.DUMMYFUNCTION("""COMPUTED_VALUE"""),44651.328252314815)</f>
        <v>44651.32825</v>
      </c>
      <c r="D189" s="4" t="str">
        <f>IFERROR(__xludf.DUMMYFUNCTION("""COMPUTED_VALUE"""),"RESOLVED")</f>
        <v>RESOLVED</v>
      </c>
      <c r="E189" s="6">
        <f>IFERROR(__xludf.DUMMYFUNCTION("""COMPUTED_VALUE"""),44672.75439814815)</f>
        <v>44672.7544</v>
      </c>
      <c r="F189" s="4" t="str">
        <f>IFERROR(__xludf.DUMMYFUNCTION("""COMPUTED_VALUE""")," ---")</f>
        <v> ---</v>
      </c>
      <c r="G189" s="4" t="str">
        <f>IFERROR(__xludf.DUMMYFUNCTION("""COMPUTED_VALUE"""),"SUSE Linux Enterprise Server 15 SP4")</f>
        <v>SUSE Linux Enterprise Server 15 SP4</v>
      </c>
      <c r="H189" s="7" t="str">
        <f t="shared" si="3"/>
        <v>NO</v>
      </c>
      <c r="I189" s="7" t="str">
        <f t="shared" si="2"/>
        <v>NO</v>
      </c>
    </row>
    <row r="190">
      <c r="A190" s="4">
        <f>IFERROR(__xludf.DUMMYFUNCTION("""COMPUTED_VALUE"""),1198951.0)</f>
        <v>1198951</v>
      </c>
      <c r="B190" s="4" t="str">
        <f>IFERROR(__xludf.DUMMYFUNCTION("""COMPUTED_VALUE"""),"P2 - High")</f>
        <v>P2 - High</v>
      </c>
      <c r="C190" s="5">
        <f>IFERROR(__xludf.DUMMYFUNCTION("""COMPUTED_VALUE"""),44678.83385416667)</f>
        <v>44678.83385</v>
      </c>
      <c r="D190" s="4" t="str">
        <f>IFERROR(__xludf.DUMMYFUNCTION("""COMPUTED_VALUE"""),"RESOLVED")</f>
        <v>RESOLVED</v>
      </c>
      <c r="E190" s="6">
        <f>IFERROR(__xludf.DUMMYFUNCTION("""COMPUTED_VALUE"""),44686.68126157407)</f>
        <v>44686.68126</v>
      </c>
      <c r="F190" s="4" t="str">
        <f>IFERROR(__xludf.DUMMYFUNCTION("""COMPUTED_VALUE""")," ---")</f>
        <v> ---</v>
      </c>
      <c r="G190" s="4" t="str">
        <f>IFERROR(__xludf.DUMMYFUNCTION("""COMPUTED_VALUE"""),"SUSE Linux Enterprise Server 15 SP4")</f>
        <v>SUSE Linux Enterprise Server 15 SP4</v>
      </c>
      <c r="H190" s="7" t="str">
        <f t="shared" si="3"/>
        <v>NO</v>
      </c>
      <c r="I190" s="7" t="str">
        <f t="shared" si="2"/>
        <v>NO</v>
      </c>
    </row>
    <row r="191">
      <c r="A191" s="4">
        <f>IFERROR(__xludf.DUMMYFUNCTION("""COMPUTED_VALUE"""),1199639.0)</f>
        <v>1199639</v>
      </c>
      <c r="B191" s="4" t="str">
        <f>IFERROR(__xludf.DUMMYFUNCTION("""COMPUTED_VALUE"""),"P2 - High")</f>
        <v>P2 - High</v>
      </c>
      <c r="C191" s="5">
        <f>IFERROR(__xludf.DUMMYFUNCTION("""COMPUTED_VALUE"""),44698.879328703704)</f>
        <v>44698.87933</v>
      </c>
      <c r="D191" s="4" t="str">
        <f>IFERROR(__xludf.DUMMYFUNCTION("""COMPUTED_VALUE"""),"RESOLVED")</f>
        <v>RESOLVED</v>
      </c>
      <c r="E191" s="6">
        <f>IFERROR(__xludf.DUMMYFUNCTION("""COMPUTED_VALUE"""),44712.72386574074)</f>
        <v>44712.72387</v>
      </c>
      <c r="F191" s="4" t="str">
        <f>IFERROR(__xludf.DUMMYFUNCTION("""COMPUTED_VALUE""")," ---")</f>
        <v> ---</v>
      </c>
      <c r="G191" s="4" t="str">
        <f>IFERROR(__xludf.DUMMYFUNCTION("""COMPUTED_VALUE"""),"SUSE Linux Enterprise Server 15 SP4")</f>
        <v>SUSE Linux Enterprise Server 15 SP4</v>
      </c>
      <c r="H191" s="7" t="str">
        <f t="shared" si="3"/>
        <v>NO</v>
      </c>
      <c r="I191" s="7" t="str">
        <f t="shared" si="2"/>
        <v>NO</v>
      </c>
    </row>
    <row r="192">
      <c r="A192" s="4">
        <f>IFERROR(__xludf.DUMMYFUNCTION("""COMPUTED_VALUE"""),1200572.0)</f>
        <v>1200572</v>
      </c>
      <c r="B192" s="4" t="str">
        <f>IFERROR(__xludf.DUMMYFUNCTION("""COMPUTED_VALUE"""),"P2 - High")</f>
        <v>P2 - High</v>
      </c>
      <c r="C192" s="5">
        <f>IFERROR(__xludf.DUMMYFUNCTION("""COMPUTED_VALUE"""),44727.59210648148)</f>
        <v>44727.59211</v>
      </c>
      <c r="D192" s="4" t="str">
        <f>IFERROR(__xludf.DUMMYFUNCTION("""COMPUTED_VALUE"""),"RESOLVED")</f>
        <v>RESOLVED</v>
      </c>
      <c r="E192" s="6">
        <f>IFERROR(__xludf.DUMMYFUNCTION("""COMPUTED_VALUE"""),44732.675046296295)</f>
        <v>44732.67505</v>
      </c>
      <c r="F192" s="4" t="str">
        <f>IFERROR(__xludf.DUMMYFUNCTION("""COMPUTED_VALUE""")," ---")</f>
        <v> ---</v>
      </c>
      <c r="G192" s="4" t="str">
        <f>IFERROR(__xludf.DUMMYFUNCTION("""COMPUTED_VALUE"""),"SUSE Linux Enterprise Server 15 SP4")</f>
        <v>SUSE Linux Enterprise Server 15 SP4</v>
      </c>
      <c r="H192" s="7" t="str">
        <f t="shared" si="3"/>
        <v>NO</v>
      </c>
      <c r="I192" s="7" t="str">
        <f t="shared" si="2"/>
        <v>NO</v>
      </c>
    </row>
    <row r="193">
      <c r="A193" s="4">
        <f>IFERROR(__xludf.DUMMYFUNCTION("""COMPUTED_VALUE"""),1197902.0)</f>
        <v>1197902</v>
      </c>
      <c r="B193" s="4" t="str">
        <f>IFERROR(__xludf.DUMMYFUNCTION("""COMPUTED_VALUE"""),"P2 - High")</f>
        <v>P2 - High</v>
      </c>
      <c r="C193" s="5">
        <f>IFERROR(__xludf.DUMMYFUNCTION("""COMPUTED_VALUE"""),44652.27206018518)</f>
        <v>44652.27206</v>
      </c>
      <c r="D193" s="4" t="str">
        <f>IFERROR(__xludf.DUMMYFUNCTION("""COMPUTED_VALUE"""),"RESOLVED")</f>
        <v>RESOLVED</v>
      </c>
      <c r="E193" s="6">
        <f>IFERROR(__xludf.DUMMYFUNCTION("""COMPUTED_VALUE"""),44658.424409722225)</f>
        <v>44658.42441</v>
      </c>
      <c r="F193" s="4" t="str">
        <f>IFERROR(__xludf.DUMMYFUNCTION("""COMPUTED_VALUE""")," ---")</f>
        <v> ---</v>
      </c>
      <c r="G193" s="4" t="str">
        <f>IFERROR(__xludf.DUMMYFUNCTION("""COMPUTED_VALUE"""),"SUSE Linux Enterprise Server 15 SP4")</f>
        <v>SUSE Linux Enterprise Server 15 SP4</v>
      </c>
      <c r="H193" s="7" t="str">
        <f t="shared" si="3"/>
        <v>NO</v>
      </c>
      <c r="I193" s="7" t="str">
        <f t="shared" si="2"/>
        <v>NO</v>
      </c>
    </row>
    <row r="194">
      <c r="A194" s="4">
        <f>IFERROR(__xludf.DUMMYFUNCTION("""COMPUTED_VALUE"""),1196627.0)</f>
        <v>1196627</v>
      </c>
      <c r="B194" s="4" t="str">
        <f>IFERROR(__xludf.DUMMYFUNCTION("""COMPUTED_VALUE"""),"P2 - High")</f>
        <v>P2 - High</v>
      </c>
      <c r="C194" s="5">
        <f>IFERROR(__xludf.DUMMYFUNCTION("""COMPUTED_VALUE"""),44622.171631944446)</f>
        <v>44622.17163</v>
      </c>
      <c r="D194" s="4" t="str">
        <f>IFERROR(__xludf.DUMMYFUNCTION("""COMPUTED_VALUE"""),"RESOLVED")</f>
        <v>RESOLVED</v>
      </c>
      <c r="E194" s="6">
        <f>IFERROR(__xludf.DUMMYFUNCTION("""COMPUTED_VALUE"""),44650.57030092592)</f>
        <v>44650.5703</v>
      </c>
      <c r="F194" s="4" t="str">
        <f>IFERROR(__xludf.DUMMYFUNCTION("""COMPUTED_VALUE""")," ---")</f>
        <v> ---</v>
      </c>
      <c r="G194" s="4" t="str">
        <f>IFERROR(__xludf.DUMMYFUNCTION("""COMPUTED_VALUE"""),"SUSE Linux Enterprise Server 15 SP4")</f>
        <v>SUSE Linux Enterprise Server 15 SP4</v>
      </c>
      <c r="H194" s="7" t="str">
        <f t="shared" si="3"/>
        <v>NO</v>
      </c>
      <c r="I194" s="7" t="str">
        <f t="shared" si="2"/>
        <v>NO</v>
      </c>
    </row>
    <row r="195">
      <c r="A195" s="4">
        <f>IFERROR(__xludf.DUMMYFUNCTION("""COMPUTED_VALUE"""),1196746.0)</f>
        <v>1196746</v>
      </c>
      <c r="B195" s="4" t="str">
        <f>IFERROR(__xludf.DUMMYFUNCTION("""COMPUTED_VALUE"""),"P2 - High")</f>
        <v>P2 - High</v>
      </c>
      <c r="C195" s="5">
        <f>IFERROR(__xludf.DUMMYFUNCTION("""COMPUTED_VALUE"""),44624.41585648148)</f>
        <v>44624.41586</v>
      </c>
      <c r="D195" s="4" t="str">
        <f>IFERROR(__xludf.DUMMYFUNCTION("""COMPUTED_VALUE"""),"RESOLVED")</f>
        <v>RESOLVED</v>
      </c>
      <c r="E195" s="6">
        <f>IFERROR(__xludf.DUMMYFUNCTION("""COMPUTED_VALUE"""),44697.312476851854)</f>
        <v>44697.31248</v>
      </c>
      <c r="F195" s="4" t="str">
        <f>IFERROR(__xludf.DUMMYFUNCTION("""COMPUTED_VALUE""")," ---")</f>
        <v> ---</v>
      </c>
      <c r="G195" s="4" t="str">
        <f>IFERROR(__xludf.DUMMYFUNCTION("""COMPUTED_VALUE"""),"SUSE Linux Enterprise Server 15 SP4")</f>
        <v>SUSE Linux Enterprise Server 15 SP4</v>
      </c>
      <c r="H195" s="7" t="str">
        <f t="shared" si="3"/>
        <v>NO</v>
      </c>
      <c r="I195" s="7" t="str">
        <f t="shared" si="2"/>
        <v>NO</v>
      </c>
    </row>
    <row r="196">
      <c r="A196" s="4">
        <f>IFERROR(__xludf.DUMMYFUNCTION("""COMPUTED_VALUE"""),1198802.0)</f>
        <v>1198802</v>
      </c>
      <c r="B196" s="4" t="str">
        <f>IFERROR(__xludf.DUMMYFUNCTION("""COMPUTED_VALUE"""),"P2 - High")</f>
        <v>P2 - High</v>
      </c>
      <c r="C196" s="5">
        <f>IFERROR(__xludf.DUMMYFUNCTION("""COMPUTED_VALUE"""),44676.314351851855)</f>
        <v>44676.31435</v>
      </c>
      <c r="D196" s="4" t="str">
        <f>IFERROR(__xludf.DUMMYFUNCTION("""COMPUTED_VALUE"""),"RESOLVED")</f>
        <v>RESOLVED</v>
      </c>
      <c r="E196" s="6">
        <f>IFERROR(__xludf.DUMMYFUNCTION("""COMPUTED_VALUE"""),44736.47052083333)</f>
        <v>44736.47052</v>
      </c>
      <c r="F196" s="4" t="str">
        <f>IFERROR(__xludf.DUMMYFUNCTION("""COMPUTED_VALUE""")," ---")</f>
        <v> ---</v>
      </c>
      <c r="G196" s="4" t="str">
        <f>IFERROR(__xludf.DUMMYFUNCTION("""COMPUTED_VALUE"""),"SUSE Linux Enterprise Server 15 SP4")</f>
        <v>SUSE Linux Enterprise Server 15 SP4</v>
      </c>
      <c r="H196" s="7" t="str">
        <f t="shared" si="3"/>
        <v>NO</v>
      </c>
      <c r="I196" s="7" t="str">
        <f t="shared" si="2"/>
        <v>NO</v>
      </c>
    </row>
    <row r="197">
      <c r="A197" s="4">
        <f>IFERROR(__xludf.DUMMYFUNCTION("""COMPUTED_VALUE"""),1198803.0)</f>
        <v>1198803</v>
      </c>
      <c r="B197" s="4" t="str">
        <f>IFERROR(__xludf.DUMMYFUNCTION("""COMPUTED_VALUE"""),"P2 - High")</f>
        <v>P2 - High</v>
      </c>
      <c r="C197" s="5">
        <f>IFERROR(__xludf.DUMMYFUNCTION("""COMPUTED_VALUE"""),44676.34224537037)</f>
        <v>44676.34225</v>
      </c>
      <c r="D197" s="4" t="str">
        <f>IFERROR(__xludf.DUMMYFUNCTION("""COMPUTED_VALUE"""),"RESOLVED")</f>
        <v>RESOLVED</v>
      </c>
      <c r="E197" s="6">
        <f>IFERROR(__xludf.DUMMYFUNCTION("""COMPUTED_VALUE"""),44736.47056712963)</f>
        <v>44736.47057</v>
      </c>
      <c r="F197" s="4" t="str">
        <f>IFERROR(__xludf.DUMMYFUNCTION("""COMPUTED_VALUE""")," ---")</f>
        <v> ---</v>
      </c>
      <c r="G197" s="4" t="str">
        <f>IFERROR(__xludf.DUMMYFUNCTION("""COMPUTED_VALUE"""),"SUSE Linux Enterprise Server 15 SP4")</f>
        <v>SUSE Linux Enterprise Server 15 SP4</v>
      </c>
      <c r="H197" s="7" t="str">
        <f t="shared" si="3"/>
        <v>NO</v>
      </c>
      <c r="I197" s="7" t="str">
        <f t="shared" si="2"/>
        <v>NO</v>
      </c>
    </row>
    <row r="198">
      <c r="A198" s="4">
        <f>IFERROR(__xludf.DUMMYFUNCTION("""COMPUTED_VALUE"""),1198806.0)</f>
        <v>1198806</v>
      </c>
      <c r="B198" s="4" t="str">
        <f>IFERROR(__xludf.DUMMYFUNCTION("""COMPUTED_VALUE"""),"P2 - High")</f>
        <v>P2 - High</v>
      </c>
      <c r="C198" s="5">
        <f>IFERROR(__xludf.DUMMYFUNCTION("""COMPUTED_VALUE"""),44676.350902777776)</f>
        <v>44676.3509</v>
      </c>
      <c r="D198" s="4" t="str">
        <f>IFERROR(__xludf.DUMMYFUNCTION("""COMPUTED_VALUE"""),"RESOLVED")</f>
        <v>RESOLVED</v>
      </c>
      <c r="E198" s="6">
        <f>IFERROR(__xludf.DUMMYFUNCTION("""COMPUTED_VALUE"""),44736.470613425925)</f>
        <v>44736.47061</v>
      </c>
      <c r="F198" s="4" t="str">
        <f>IFERROR(__xludf.DUMMYFUNCTION("""COMPUTED_VALUE""")," ---")</f>
        <v> ---</v>
      </c>
      <c r="G198" s="4" t="str">
        <f>IFERROR(__xludf.DUMMYFUNCTION("""COMPUTED_VALUE"""),"SUSE Linux Enterprise Server 15 SP4")</f>
        <v>SUSE Linux Enterprise Server 15 SP4</v>
      </c>
      <c r="H198" s="7" t="str">
        <f t="shared" si="3"/>
        <v>NO</v>
      </c>
      <c r="I198" s="7" t="str">
        <f t="shared" si="2"/>
        <v>NO</v>
      </c>
    </row>
    <row r="199">
      <c r="A199" s="4">
        <f>IFERROR(__xludf.DUMMYFUNCTION("""COMPUTED_VALUE"""),1195341.0)</f>
        <v>1195341</v>
      </c>
      <c r="B199" s="4" t="str">
        <f>IFERROR(__xludf.DUMMYFUNCTION("""COMPUTED_VALUE"""),"P2 - High")</f>
        <v>P2 - High</v>
      </c>
      <c r="C199" s="5">
        <f>IFERROR(__xludf.DUMMYFUNCTION("""COMPUTED_VALUE"""),44592.50613425926)</f>
        <v>44592.50613</v>
      </c>
      <c r="D199" s="4" t="str">
        <f>IFERROR(__xludf.DUMMYFUNCTION("""COMPUTED_VALUE"""),"RESOLVED")</f>
        <v>RESOLVED</v>
      </c>
      <c r="E199" s="6">
        <f>IFERROR(__xludf.DUMMYFUNCTION("""COMPUTED_VALUE"""),44668.49789351852)</f>
        <v>44668.49789</v>
      </c>
      <c r="F199" s="4" t="str">
        <f>IFERROR(__xludf.DUMMYFUNCTION("""COMPUTED_VALUE""")," ---")</f>
        <v> ---</v>
      </c>
      <c r="G199" s="4" t="str">
        <f>IFERROR(__xludf.DUMMYFUNCTION("""COMPUTED_VALUE"""),"SUSE Linux Enterprise Server 15 SP4")</f>
        <v>SUSE Linux Enterprise Server 15 SP4</v>
      </c>
      <c r="H199" s="7" t="str">
        <f t="shared" si="3"/>
        <v>NO</v>
      </c>
      <c r="I199" s="7" t="str">
        <f t="shared" si="2"/>
        <v>YES</v>
      </c>
    </row>
    <row r="200">
      <c r="A200" s="4">
        <f>IFERROR(__xludf.DUMMYFUNCTION("""COMPUTED_VALUE"""),1195342.0)</f>
        <v>1195342</v>
      </c>
      <c r="B200" s="4" t="str">
        <f>IFERROR(__xludf.DUMMYFUNCTION("""COMPUTED_VALUE"""),"P2 - High")</f>
        <v>P2 - High</v>
      </c>
      <c r="C200" s="5">
        <f>IFERROR(__xludf.DUMMYFUNCTION("""COMPUTED_VALUE"""),44592.50619212963)</f>
        <v>44592.50619</v>
      </c>
      <c r="D200" s="4" t="str">
        <f>IFERROR(__xludf.DUMMYFUNCTION("""COMPUTED_VALUE"""),"RESOLVED")</f>
        <v>RESOLVED</v>
      </c>
      <c r="E200" s="6">
        <f>IFERROR(__xludf.DUMMYFUNCTION("""COMPUTED_VALUE"""),44668.497928240744)</f>
        <v>44668.49793</v>
      </c>
      <c r="F200" s="4" t="str">
        <f>IFERROR(__xludf.DUMMYFUNCTION("""COMPUTED_VALUE""")," ---")</f>
        <v> ---</v>
      </c>
      <c r="G200" s="4" t="str">
        <f>IFERROR(__xludf.DUMMYFUNCTION("""COMPUTED_VALUE"""),"SUSE Linux Enterprise Server 15 SP4")</f>
        <v>SUSE Linux Enterprise Server 15 SP4</v>
      </c>
      <c r="H200" s="7" t="str">
        <f t="shared" si="3"/>
        <v>NO</v>
      </c>
      <c r="I200" s="7" t="str">
        <f t="shared" si="2"/>
        <v>YES</v>
      </c>
    </row>
    <row r="201">
      <c r="A201" s="4">
        <f>IFERROR(__xludf.DUMMYFUNCTION("""COMPUTED_VALUE"""),1191618.0)</f>
        <v>1191618</v>
      </c>
      <c r="B201" s="4" t="str">
        <f>IFERROR(__xludf.DUMMYFUNCTION("""COMPUTED_VALUE"""),"P2 - High")</f>
        <v>P2 - High</v>
      </c>
      <c r="C201" s="5">
        <f>IFERROR(__xludf.DUMMYFUNCTION("""COMPUTED_VALUE"""),44482.5600462963)</f>
        <v>44482.56005</v>
      </c>
      <c r="D201" s="4" t="str">
        <f>IFERROR(__xludf.DUMMYFUNCTION("""COMPUTED_VALUE"""),"RESOLVED")</f>
        <v>RESOLVED</v>
      </c>
      <c r="E201" s="6">
        <f>IFERROR(__xludf.DUMMYFUNCTION("""COMPUTED_VALUE"""),44551.14193287037)</f>
        <v>44551.14193</v>
      </c>
      <c r="F201" s="4" t="str">
        <f>IFERROR(__xludf.DUMMYFUNCTION("""COMPUTED_VALUE""")," ---")</f>
        <v> ---</v>
      </c>
      <c r="G201" s="4" t="str">
        <f>IFERROR(__xludf.DUMMYFUNCTION("""COMPUTED_VALUE"""),"SUSE Linux Enterprise Server 15 SP4")</f>
        <v>SUSE Linux Enterprise Server 15 SP4</v>
      </c>
      <c r="H201" s="7" t="str">
        <f t="shared" si="3"/>
        <v>NO</v>
      </c>
      <c r="I201" s="7" t="str">
        <f t="shared" si="2"/>
        <v>NO</v>
      </c>
    </row>
    <row r="202">
      <c r="A202" s="4">
        <f>IFERROR(__xludf.DUMMYFUNCTION("""COMPUTED_VALUE"""),1196281.0)</f>
        <v>1196281</v>
      </c>
      <c r="B202" s="4" t="str">
        <f>IFERROR(__xludf.DUMMYFUNCTION("""COMPUTED_VALUE"""),"P2 - High")</f>
        <v>P2 - High</v>
      </c>
      <c r="C202" s="5">
        <f>IFERROR(__xludf.DUMMYFUNCTION("""COMPUTED_VALUE"""),44614.42859953704)</f>
        <v>44614.4286</v>
      </c>
      <c r="D202" s="4" t="str">
        <f>IFERROR(__xludf.DUMMYFUNCTION("""COMPUTED_VALUE"""),"RESOLVED")</f>
        <v>RESOLVED</v>
      </c>
      <c r="E202" s="6">
        <f>IFERROR(__xludf.DUMMYFUNCTION("""COMPUTED_VALUE"""),44736.63700231481)</f>
        <v>44736.637</v>
      </c>
      <c r="F202" s="4" t="str">
        <f>IFERROR(__xludf.DUMMYFUNCTION("""COMPUTED_VALUE""")," ---")</f>
        <v> ---</v>
      </c>
      <c r="G202" s="4" t="str">
        <f>IFERROR(__xludf.DUMMYFUNCTION("""COMPUTED_VALUE"""),"SUSE Linux Enterprise Server 15 SP4")</f>
        <v>SUSE Linux Enterprise Server 15 SP4</v>
      </c>
      <c r="H202" s="7" t="str">
        <f t="shared" si="3"/>
        <v>NO</v>
      </c>
      <c r="I202" s="7" t="str">
        <f t="shared" si="2"/>
        <v>NO</v>
      </c>
    </row>
    <row r="203">
      <c r="A203" s="4">
        <f>IFERROR(__xludf.DUMMYFUNCTION("""COMPUTED_VALUE"""),1190707.0)</f>
        <v>1190707</v>
      </c>
      <c r="B203" s="4" t="str">
        <f>IFERROR(__xludf.DUMMYFUNCTION("""COMPUTED_VALUE"""),"P2 - High")</f>
        <v>P2 - High</v>
      </c>
      <c r="C203" s="5">
        <f>IFERROR(__xludf.DUMMYFUNCTION("""COMPUTED_VALUE"""),44460.45829861111)</f>
        <v>44460.4583</v>
      </c>
      <c r="D203" s="4" t="str">
        <f>IFERROR(__xludf.DUMMYFUNCTION("""COMPUTED_VALUE"""),"RESOLVED")</f>
        <v>RESOLVED</v>
      </c>
      <c r="E203" s="6">
        <f>IFERROR(__xludf.DUMMYFUNCTION("""COMPUTED_VALUE"""),44622.500972222224)</f>
        <v>44622.50097</v>
      </c>
      <c r="F203" s="4" t="str">
        <f>IFERROR(__xludf.DUMMYFUNCTION("""COMPUTED_VALUE""")," ---")</f>
        <v> ---</v>
      </c>
      <c r="G203" s="4" t="str">
        <f>IFERROR(__xludf.DUMMYFUNCTION("""COMPUTED_VALUE"""),"SUSE Linux Enterprise Server 15 SP4")</f>
        <v>SUSE Linux Enterprise Server 15 SP4</v>
      </c>
      <c r="H203" s="7" t="str">
        <f t="shared" si="3"/>
        <v>NO</v>
      </c>
      <c r="I203" s="7" t="str">
        <f t="shared" si="2"/>
        <v>NO</v>
      </c>
    </row>
    <row r="204">
      <c r="A204" s="4">
        <f>IFERROR(__xludf.DUMMYFUNCTION("""COMPUTED_VALUE"""),1198826.0)</f>
        <v>1198826</v>
      </c>
      <c r="B204" s="4" t="str">
        <f>IFERROR(__xludf.DUMMYFUNCTION("""COMPUTED_VALUE"""),"P2 - High")</f>
        <v>P2 - High</v>
      </c>
      <c r="C204" s="5">
        <f>IFERROR(__xludf.DUMMYFUNCTION("""COMPUTED_VALUE"""),44676.535150462965)</f>
        <v>44676.53515</v>
      </c>
      <c r="D204" s="4" t="str">
        <f>IFERROR(__xludf.DUMMYFUNCTION("""COMPUTED_VALUE"""),"RESOLVED")</f>
        <v>RESOLVED</v>
      </c>
      <c r="E204" s="6">
        <f>IFERROR(__xludf.DUMMYFUNCTION("""COMPUTED_VALUE"""),44736.47070601852)</f>
        <v>44736.47071</v>
      </c>
      <c r="F204" s="4" t="str">
        <f>IFERROR(__xludf.DUMMYFUNCTION("""COMPUTED_VALUE""")," ---")</f>
        <v> ---</v>
      </c>
      <c r="G204" s="4" t="str">
        <f>IFERROR(__xludf.DUMMYFUNCTION("""COMPUTED_VALUE"""),"SUSE Linux Enterprise Server 15 SP4")</f>
        <v>SUSE Linux Enterprise Server 15 SP4</v>
      </c>
      <c r="H204" s="7" t="str">
        <f t="shared" si="3"/>
        <v>NO</v>
      </c>
      <c r="I204" s="7" t="str">
        <f t="shared" si="2"/>
        <v>NO</v>
      </c>
    </row>
    <row r="205">
      <c r="A205" s="4">
        <f>IFERROR(__xludf.DUMMYFUNCTION("""COMPUTED_VALUE"""),1192120.0)</f>
        <v>1192120</v>
      </c>
      <c r="B205" s="4" t="str">
        <f>IFERROR(__xludf.DUMMYFUNCTION("""COMPUTED_VALUE"""),"P2 - High")</f>
        <v>P2 - High</v>
      </c>
      <c r="C205" s="5">
        <f>IFERROR(__xludf.DUMMYFUNCTION("""COMPUTED_VALUE"""),44497.56287037037)</f>
        <v>44497.56287</v>
      </c>
      <c r="D205" s="4" t="str">
        <f>IFERROR(__xludf.DUMMYFUNCTION("""COMPUTED_VALUE"""),"RESOLVED")</f>
        <v>RESOLVED</v>
      </c>
      <c r="E205" s="6">
        <f>IFERROR(__xludf.DUMMYFUNCTION("""COMPUTED_VALUE"""),44668.49322916667)</f>
        <v>44668.49323</v>
      </c>
      <c r="F205" s="4" t="str">
        <f>IFERROR(__xludf.DUMMYFUNCTION("""COMPUTED_VALUE""")," ---")</f>
        <v> ---</v>
      </c>
      <c r="G205" s="4" t="str">
        <f>IFERROR(__xludf.DUMMYFUNCTION("""COMPUTED_VALUE"""),"SUSE Linux Enterprise Server 15 SP4")</f>
        <v>SUSE Linux Enterprise Server 15 SP4</v>
      </c>
      <c r="H205" s="7" t="str">
        <f t="shared" si="3"/>
        <v>NO</v>
      </c>
      <c r="I205" s="7" t="str">
        <f t="shared" si="2"/>
        <v>NO</v>
      </c>
    </row>
    <row r="206">
      <c r="A206" s="4">
        <f>IFERROR(__xludf.DUMMYFUNCTION("""COMPUTED_VALUE"""),1197720.0)</f>
        <v>1197720</v>
      </c>
      <c r="B206" s="4" t="str">
        <f>IFERROR(__xludf.DUMMYFUNCTION("""COMPUTED_VALUE"""),"P2 - High")</f>
        <v>P2 - High</v>
      </c>
      <c r="C206" s="5">
        <f>IFERROR(__xludf.DUMMYFUNCTION("""COMPUTED_VALUE"""),44650.529282407406)</f>
        <v>44650.52928</v>
      </c>
      <c r="D206" s="4" t="str">
        <f>IFERROR(__xludf.DUMMYFUNCTION("""COMPUTED_VALUE"""),"RESOLVED")</f>
        <v>RESOLVED</v>
      </c>
      <c r="E206" s="6">
        <f>IFERROR(__xludf.DUMMYFUNCTION("""COMPUTED_VALUE"""),44717.57371527778)</f>
        <v>44717.57372</v>
      </c>
      <c r="F206" s="4" t="str">
        <f>IFERROR(__xludf.DUMMYFUNCTION("""COMPUTED_VALUE""")," ---")</f>
        <v> ---</v>
      </c>
      <c r="G206" s="4" t="str">
        <f>IFERROR(__xludf.DUMMYFUNCTION("""COMPUTED_VALUE"""),"SUSE Linux Enterprise Real Time 15 SP4")</f>
        <v>SUSE Linux Enterprise Real Time 15 SP4</v>
      </c>
      <c r="H206" s="7" t="str">
        <f t="shared" si="3"/>
        <v>NO</v>
      </c>
      <c r="I206" s="7" t="str">
        <f t="shared" si="2"/>
        <v>NO</v>
      </c>
    </row>
    <row r="207">
      <c r="A207" s="4">
        <f>IFERROR(__xludf.DUMMYFUNCTION("""COMPUTED_VALUE"""),1197501.0)</f>
        <v>1197501</v>
      </c>
      <c r="B207" s="4" t="str">
        <f>IFERROR(__xludf.DUMMYFUNCTION("""COMPUTED_VALUE"""),"P2 - High")</f>
        <v>P2 - High</v>
      </c>
      <c r="C207" s="5">
        <f>IFERROR(__xludf.DUMMYFUNCTION("""COMPUTED_VALUE"""),44644.97435185185)</f>
        <v>44644.97435</v>
      </c>
      <c r="D207" s="4" t="str">
        <f>IFERROR(__xludf.DUMMYFUNCTION("""COMPUTED_VALUE"""),"RESOLVED")</f>
        <v>RESOLVED</v>
      </c>
      <c r="E207" s="6">
        <f>IFERROR(__xludf.DUMMYFUNCTION("""COMPUTED_VALUE"""),44736.468310185184)</f>
        <v>44736.46831</v>
      </c>
      <c r="F207" s="4" t="str">
        <f>IFERROR(__xludf.DUMMYFUNCTION("""COMPUTED_VALUE""")," ---")</f>
        <v> ---</v>
      </c>
      <c r="G207" s="4" t="str">
        <f>IFERROR(__xludf.DUMMYFUNCTION("""COMPUTED_VALUE"""),"SUSE Linux Enterprise Server 15 SP4")</f>
        <v>SUSE Linux Enterprise Server 15 SP4</v>
      </c>
      <c r="H207" s="7" t="str">
        <f t="shared" si="3"/>
        <v>NO</v>
      </c>
      <c r="I207" s="7" t="str">
        <f t="shared" si="2"/>
        <v>NO</v>
      </c>
    </row>
    <row r="208">
      <c r="A208" s="4">
        <f>IFERROR(__xludf.DUMMYFUNCTION("""COMPUTED_VALUE"""),1195655.0)</f>
        <v>1195655</v>
      </c>
      <c r="B208" s="4" t="str">
        <f>IFERROR(__xludf.DUMMYFUNCTION("""COMPUTED_VALUE"""),"P2 - High")</f>
        <v>P2 - High</v>
      </c>
      <c r="C208" s="5">
        <f>IFERROR(__xludf.DUMMYFUNCTION("""COMPUTED_VALUE"""),44600.187997685185)</f>
        <v>44600.188</v>
      </c>
      <c r="D208" s="4" t="str">
        <f>IFERROR(__xludf.DUMMYFUNCTION("""COMPUTED_VALUE"""),"RESOLVED")</f>
        <v>RESOLVED</v>
      </c>
      <c r="E208" s="6">
        <f>IFERROR(__xludf.DUMMYFUNCTION("""COMPUTED_VALUE"""),44668.49829861111)</f>
        <v>44668.4983</v>
      </c>
      <c r="F208" s="4" t="str">
        <f>IFERROR(__xludf.DUMMYFUNCTION("""COMPUTED_VALUE"""),"Yes")</f>
        <v>Yes</v>
      </c>
      <c r="G208" s="4" t="str">
        <f>IFERROR(__xludf.DUMMYFUNCTION("""COMPUTED_VALUE"""),"SUSE Linux Enterprise Server 15 SP4")</f>
        <v>SUSE Linux Enterprise Server 15 SP4</v>
      </c>
      <c r="H208" s="7" t="str">
        <f t="shared" si="3"/>
        <v>NO</v>
      </c>
      <c r="I208" s="7" t="str">
        <f t="shared" si="2"/>
        <v>NO</v>
      </c>
    </row>
    <row r="209">
      <c r="A209" s="4">
        <f>IFERROR(__xludf.DUMMYFUNCTION("""COMPUTED_VALUE"""),1195668.0)</f>
        <v>1195668</v>
      </c>
      <c r="B209" s="4" t="str">
        <f>IFERROR(__xludf.DUMMYFUNCTION("""COMPUTED_VALUE"""),"P2 - High")</f>
        <v>P2 - High</v>
      </c>
      <c r="C209" s="5">
        <f>IFERROR(__xludf.DUMMYFUNCTION("""COMPUTED_VALUE"""),44600.437997685185)</f>
        <v>44600.438</v>
      </c>
      <c r="D209" s="4" t="str">
        <f>IFERROR(__xludf.DUMMYFUNCTION("""COMPUTED_VALUE"""),"RESOLVED")</f>
        <v>RESOLVED</v>
      </c>
      <c r="E209" s="6">
        <f>IFERROR(__xludf.DUMMYFUNCTION("""COMPUTED_VALUE"""),44736.465995370374)</f>
        <v>44736.466</v>
      </c>
      <c r="F209" s="4" t="str">
        <f>IFERROR(__xludf.DUMMYFUNCTION("""COMPUTED_VALUE"""),"Yes")</f>
        <v>Yes</v>
      </c>
      <c r="G209" s="4" t="str">
        <f>IFERROR(__xludf.DUMMYFUNCTION("""COMPUTED_VALUE"""),"SUSE Linux Enterprise Server 15 SP4")</f>
        <v>SUSE Linux Enterprise Server 15 SP4</v>
      </c>
      <c r="H209" s="7" t="str">
        <f t="shared" si="3"/>
        <v>NO</v>
      </c>
      <c r="I209" s="7" t="str">
        <f t="shared" si="2"/>
        <v>NO</v>
      </c>
    </row>
    <row r="210">
      <c r="A210" s="4">
        <f>IFERROR(__xludf.DUMMYFUNCTION("""COMPUTED_VALUE"""),1196032.0)</f>
        <v>1196032</v>
      </c>
      <c r="B210" s="4" t="str">
        <f>IFERROR(__xludf.DUMMYFUNCTION("""COMPUTED_VALUE"""),"P2 - High")</f>
        <v>P2 - High</v>
      </c>
      <c r="C210" s="5">
        <f>IFERROR(__xludf.DUMMYFUNCTION("""COMPUTED_VALUE"""),44608.56290509259)</f>
        <v>44608.56291</v>
      </c>
      <c r="D210" s="4" t="str">
        <f>IFERROR(__xludf.DUMMYFUNCTION("""COMPUTED_VALUE"""),"RESOLVED")</f>
        <v>RESOLVED</v>
      </c>
      <c r="E210" s="6">
        <f>IFERROR(__xludf.DUMMYFUNCTION("""COMPUTED_VALUE"""),44623.39387731482)</f>
        <v>44623.39388</v>
      </c>
      <c r="F210" s="4" t="str">
        <f>IFERROR(__xludf.DUMMYFUNCTION("""COMPUTED_VALUE""")," ---")</f>
        <v> ---</v>
      </c>
      <c r="G210" s="4" t="str">
        <f>IFERROR(__xludf.DUMMYFUNCTION("""COMPUTED_VALUE"""),"SUSE Linux Enterprise Server 15 SP4")</f>
        <v>SUSE Linux Enterprise Server 15 SP4</v>
      </c>
      <c r="H210" s="7" t="str">
        <f t="shared" si="3"/>
        <v>NO</v>
      </c>
      <c r="I210" s="7" t="str">
        <f t="shared" si="2"/>
        <v>NO</v>
      </c>
    </row>
    <row r="211">
      <c r="A211" s="4">
        <f>IFERROR(__xludf.DUMMYFUNCTION("""COMPUTED_VALUE"""),1196400.0)</f>
        <v>1196400</v>
      </c>
      <c r="B211" s="4" t="str">
        <f>IFERROR(__xludf.DUMMYFUNCTION("""COMPUTED_VALUE"""),"P2 - High")</f>
        <v>P2 - High</v>
      </c>
      <c r="C211" s="5">
        <f>IFERROR(__xludf.DUMMYFUNCTION("""COMPUTED_VALUE"""),44616.23650462963)</f>
        <v>44616.2365</v>
      </c>
      <c r="D211" s="4" t="str">
        <f>IFERROR(__xludf.DUMMYFUNCTION("""COMPUTED_VALUE"""),"RESOLVED")</f>
        <v>RESOLVED</v>
      </c>
      <c r="E211" s="6">
        <f>IFERROR(__xludf.DUMMYFUNCTION("""COMPUTED_VALUE"""),44736.46685185185)</f>
        <v>44736.46685</v>
      </c>
      <c r="F211" s="4" t="str">
        <f>IFERROR(__xludf.DUMMYFUNCTION("""COMPUTED_VALUE""")," ---")</f>
        <v> ---</v>
      </c>
      <c r="G211" s="4" t="str">
        <f>IFERROR(__xludf.DUMMYFUNCTION("""COMPUTED_VALUE"""),"SUSE Linux Enterprise Server 15 SP4")</f>
        <v>SUSE Linux Enterprise Server 15 SP4</v>
      </c>
      <c r="H211" s="7" t="str">
        <f t="shared" si="3"/>
        <v>NO</v>
      </c>
      <c r="I211" s="7" t="str">
        <f t="shared" si="2"/>
        <v>NO</v>
      </c>
    </row>
    <row r="212">
      <c r="A212" s="4">
        <f>IFERROR(__xludf.DUMMYFUNCTION("""COMPUTED_VALUE"""),1196516.0)</f>
        <v>1196516</v>
      </c>
      <c r="B212" s="4" t="str">
        <f>IFERROR(__xludf.DUMMYFUNCTION("""COMPUTED_VALUE"""),"P2 - High")</f>
        <v>P2 - High</v>
      </c>
      <c r="C212" s="5">
        <f>IFERROR(__xludf.DUMMYFUNCTION("""COMPUTED_VALUE"""),44618.22258101852)</f>
        <v>44618.22258</v>
      </c>
      <c r="D212" s="4" t="str">
        <f>IFERROR(__xludf.DUMMYFUNCTION("""COMPUTED_VALUE"""),"RESOLVED")</f>
        <v>RESOLVED</v>
      </c>
      <c r="E212" s="6">
        <f>IFERROR(__xludf.DUMMYFUNCTION("""COMPUTED_VALUE"""),44631.39355324074)</f>
        <v>44631.39355</v>
      </c>
      <c r="F212" s="4" t="str">
        <f>IFERROR(__xludf.DUMMYFUNCTION("""COMPUTED_VALUE""")," ---")</f>
        <v> ---</v>
      </c>
      <c r="G212" s="4" t="str">
        <f>IFERROR(__xludf.DUMMYFUNCTION("""COMPUTED_VALUE"""),"SUSE Linux Enterprise Server 15 SP4")</f>
        <v>SUSE Linux Enterprise Server 15 SP4</v>
      </c>
      <c r="H212" s="7" t="str">
        <f t="shared" si="3"/>
        <v>NO</v>
      </c>
      <c r="I212" s="7" t="str">
        <f t="shared" si="2"/>
        <v>NO</v>
      </c>
    </row>
    <row r="213">
      <c r="A213" s="4">
        <f>IFERROR(__xludf.DUMMYFUNCTION("""COMPUTED_VALUE"""),1197302.0)</f>
        <v>1197302</v>
      </c>
      <c r="B213" s="4" t="str">
        <f>IFERROR(__xludf.DUMMYFUNCTION("""COMPUTED_VALUE"""),"P2 - High")</f>
        <v>P2 - High</v>
      </c>
      <c r="C213" s="5">
        <f>IFERROR(__xludf.DUMMYFUNCTION("""COMPUTED_VALUE"""),44638.78570601852)</f>
        <v>44638.78571</v>
      </c>
      <c r="D213" s="4" t="str">
        <f>IFERROR(__xludf.DUMMYFUNCTION("""COMPUTED_VALUE"""),"RESOLVED")</f>
        <v>RESOLVED</v>
      </c>
      <c r="E213" s="6">
        <f>IFERROR(__xludf.DUMMYFUNCTION("""COMPUTED_VALUE"""),44736.46797453704)</f>
        <v>44736.46797</v>
      </c>
      <c r="F213" s="4" t="str">
        <f>IFERROR(__xludf.DUMMYFUNCTION("""COMPUTED_VALUE""")," ---")</f>
        <v> ---</v>
      </c>
      <c r="G213" s="4" t="str">
        <f>IFERROR(__xludf.DUMMYFUNCTION("""COMPUTED_VALUE"""),"SUSE Linux Enterprise Server 15 SP4")</f>
        <v>SUSE Linux Enterprise Server 15 SP4</v>
      </c>
      <c r="H213" s="7" t="str">
        <f t="shared" si="3"/>
        <v>NO</v>
      </c>
      <c r="I213" s="7" t="str">
        <f t="shared" si="2"/>
        <v>NO</v>
      </c>
    </row>
    <row r="214">
      <c r="A214" s="4">
        <f>IFERROR(__xludf.DUMMYFUNCTION("""COMPUTED_VALUE"""),1195404.0)</f>
        <v>1195404</v>
      </c>
      <c r="B214" s="4" t="str">
        <f>IFERROR(__xludf.DUMMYFUNCTION("""COMPUTED_VALUE"""),"P2 - High")</f>
        <v>P2 - High</v>
      </c>
      <c r="C214" s="5">
        <f>IFERROR(__xludf.DUMMYFUNCTION("""COMPUTED_VALUE"""),44593.79206018519)</f>
        <v>44593.79206</v>
      </c>
      <c r="D214" s="4" t="str">
        <f>IFERROR(__xludf.DUMMYFUNCTION("""COMPUTED_VALUE"""),"RESOLVED")</f>
        <v>RESOLVED</v>
      </c>
      <c r="E214" s="6">
        <f>IFERROR(__xludf.DUMMYFUNCTION("""COMPUTED_VALUE"""),44713.556805555556)</f>
        <v>44713.55681</v>
      </c>
      <c r="F214" s="4" t="str">
        <f>IFERROR(__xludf.DUMMYFUNCTION("""COMPUTED_VALUE""")," ---")</f>
        <v> ---</v>
      </c>
      <c r="G214" s="4" t="str">
        <f>IFERROR(__xludf.DUMMYFUNCTION("""COMPUTED_VALUE"""),"SUSE Linux Enterprise Server 15 SP4")</f>
        <v>SUSE Linux Enterprise Server 15 SP4</v>
      </c>
      <c r="H214" s="7" t="str">
        <f t="shared" si="3"/>
        <v>NO</v>
      </c>
      <c r="I214" s="7" t="str">
        <f t="shared" si="2"/>
        <v>YES</v>
      </c>
    </row>
    <row r="215">
      <c r="A215" s="4">
        <f>IFERROR(__xludf.DUMMYFUNCTION("""COMPUTED_VALUE"""),1195752.0)</f>
        <v>1195752</v>
      </c>
      <c r="B215" s="4" t="str">
        <f>IFERROR(__xludf.DUMMYFUNCTION("""COMPUTED_VALUE"""),"P2 - High")</f>
        <v>P2 - High</v>
      </c>
      <c r="C215" s="5">
        <f>IFERROR(__xludf.DUMMYFUNCTION("""COMPUTED_VALUE"""),44602.00037037037)</f>
        <v>44602.00037</v>
      </c>
      <c r="D215" s="4" t="str">
        <f>IFERROR(__xludf.DUMMYFUNCTION("""COMPUTED_VALUE"""),"RESOLVED")</f>
        <v>RESOLVED</v>
      </c>
      <c r="E215" s="6">
        <f>IFERROR(__xludf.DUMMYFUNCTION("""COMPUTED_VALUE"""),44668.49837962963)</f>
        <v>44668.49838</v>
      </c>
      <c r="F215" s="4" t="str">
        <f>IFERROR(__xludf.DUMMYFUNCTION("""COMPUTED_VALUE"""),"Yes")</f>
        <v>Yes</v>
      </c>
      <c r="G215" s="4" t="str">
        <f>IFERROR(__xludf.DUMMYFUNCTION("""COMPUTED_VALUE"""),"SUSE Linux Enterprise Server 15 SP4")</f>
        <v>SUSE Linux Enterprise Server 15 SP4</v>
      </c>
      <c r="H215" s="7" t="str">
        <f t="shared" si="3"/>
        <v>NO</v>
      </c>
      <c r="I215" s="7" t="str">
        <f t="shared" si="2"/>
        <v>NO</v>
      </c>
    </row>
    <row r="216">
      <c r="A216" s="4">
        <f>IFERROR(__xludf.DUMMYFUNCTION("""COMPUTED_VALUE"""),1191738.0)</f>
        <v>1191738</v>
      </c>
      <c r="B216" s="4" t="str">
        <f>IFERROR(__xludf.DUMMYFUNCTION("""COMPUTED_VALUE"""),"P2 - High")</f>
        <v>P2 - High</v>
      </c>
      <c r="C216" s="5">
        <f>IFERROR(__xludf.DUMMYFUNCTION("""COMPUTED_VALUE"""),44487.39053240741)</f>
        <v>44487.39053</v>
      </c>
      <c r="D216" s="4" t="str">
        <f>IFERROR(__xludf.DUMMYFUNCTION("""COMPUTED_VALUE"""),"RESOLVED")</f>
        <v>RESOLVED</v>
      </c>
      <c r="E216" s="6">
        <f>IFERROR(__xludf.DUMMYFUNCTION("""COMPUTED_VALUE"""),44668.49306712963)</f>
        <v>44668.49307</v>
      </c>
      <c r="F216" s="4" t="str">
        <f>IFERROR(__xludf.DUMMYFUNCTION("""COMPUTED_VALUE""")," ---")</f>
        <v> ---</v>
      </c>
      <c r="G216" s="4" t="str">
        <f>IFERROR(__xludf.DUMMYFUNCTION("""COMPUTED_VALUE"""),"SUSE Linux Enterprise Server 15 SP4")</f>
        <v>SUSE Linux Enterprise Server 15 SP4</v>
      </c>
      <c r="H216" s="7" t="str">
        <f t="shared" si="3"/>
        <v>NO</v>
      </c>
      <c r="I216" s="7" t="str">
        <f t="shared" si="2"/>
        <v>NO</v>
      </c>
    </row>
    <row r="217">
      <c r="A217" s="4">
        <f>IFERROR(__xludf.DUMMYFUNCTION("""COMPUTED_VALUE"""),1197176.0)</f>
        <v>1197176</v>
      </c>
      <c r="B217" s="4" t="str">
        <f>IFERROR(__xludf.DUMMYFUNCTION("""COMPUTED_VALUE"""),"P2 - High")</f>
        <v>P2 - High</v>
      </c>
      <c r="C217" s="5">
        <f>IFERROR(__xludf.DUMMYFUNCTION("""COMPUTED_VALUE"""),44636.459131944444)</f>
        <v>44636.45913</v>
      </c>
      <c r="D217" s="4" t="str">
        <f>IFERROR(__xludf.DUMMYFUNCTION("""COMPUTED_VALUE"""),"RESOLVED")</f>
        <v>RESOLVED</v>
      </c>
      <c r="E217" s="6">
        <f>IFERROR(__xludf.DUMMYFUNCTION("""COMPUTED_VALUE"""),44673.336388888885)</f>
        <v>44673.33639</v>
      </c>
      <c r="F217" s="4" t="str">
        <f>IFERROR(__xludf.DUMMYFUNCTION("""COMPUTED_VALUE""")," ---")</f>
        <v> ---</v>
      </c>
      <c r="G217" s="4" t="str">
        <f>IFERROR(__xludf.DUMMYFUNCTION("""COMPUTED_VALUE"""),"SUSE Linux Enterprise Server 15 SP4")</f>
        <v>SUSE Linux Enterprise Server 15 SP4</v>
      </c>
      <c r="H217" s="7" t="str">
        <f t="shared" si="3"/>
        <v>NO</v>
      </c>
      <c r="I217" s="7" t="str">
        <f t="shared" si="2"/>
        <v>NO</v>
      </c>
    </row>
    <row r="218">
      <c r="A218" s="4">
        <f>IFERROR(__xludf.DUMMYFUNCTION("""COMPUTED_VALUE"""),1200205.0)</f>
        <v>1200205</v>
      </c>
      <c r="B218" s="4" t="str">
        <f>IFERROR(__xludf.DUMMYFUNCTION("""COMPUTED_VALUE"""),"P2 - High")</f>
        <v>P2 - High</v>
      </c>
      <c r="C218" s="5">
        <f>IFERROR(__xludf.DUMMYFUNCTION("""COMPUTED_VALUE"""),44715.571076388886)</f>
        <v>44715.57108</v>
      </c>
      <c r="D218" s="4" t="str">
        <f>IFERROR(__xludf.DUMMYFUNCTION("""COMPUTED_VALUE"""),"RESOLVED")</f>
        <v>RESOLVED</v>
      </c>
      <c r="E218" s="6">
        <f>IFERROR(__xludf.DUMMYFUNCTION("""COMPUTED_VALUE"""),44736.47263888889)</f>
        <v>44736.47264</v>
      </c>
      <c r="F218" s="4" t="str">
        <f>IFERROR(__xludf.DUMMYFUNCTION("""COMPUTED_VALUE""")," ---")</f>
        <v> ---</v>
      </c>
      <c r="G218" s="4" t="str">
        <f>IFERROR(__xludf.DUMMYFUNCTION("""COMPUTED_VALUE"""),"SUSE Linux Enterprise Server 15 SP4")</f>
        <v>SUSE Linux Enterprise Server 15 SP4</v>
      </c>
      <c r="H218" s="7" t="str">
        <f t="shared" si="3"/>
        <v>NO</v>
      </c>
      <c r="I218" s="7" t="str">
        <f t="shared" si="2"/>
        <v>NO</v>
      </c>
    </row>
    <row r="219">
      <c r="A219" s="4">
        <f>IFERROR(__xludf.DUMMYFUNCTION("""COMPUTED_VALUE"""),1200211.0)</f>
        <v>1200211</v>
      </c>
      <c r="B219" s="4" t="str">
        <f>IFERROR(__xludf.DUMMYFUNCTION("""COMPUTED_VALUE"""),"P2 - High")</f>
        <v>P2 - High</v>
      </c>
      <c r="C219" s="5">
        <f>IFERROR(__xludf.DUMMYFUNCTION("""COMPUTED_VALUE"""),44715.577893518515)</f>
        <v>44715.57789</v>
      </c>
      <c r="D219" s="4" t="str">
        <f>IFERROR(__xludf.DUMMYFUNCTION("""COMPUTED_VALUE"""),"RESOLVED")</f>
        <v>RESOLVED</v>
      </c>
      <c r="E219" s="6">
        <f>IFERROR(__xludf.DUMMYFUNCTION("""COMPUTED_VALUE"""),44736.47267361111)</f>
        <v>44736.47267</v>
      </c>
      <c r="F219" s="4" t="str">
        <f>IFERROR(__xludf.DUMMYFUNCTION("""COMPUTED_VALUE""")," ---")</f>
        <v> ---</v>
      </c>
      <c r="G219" s="4" t="str">
        <f>IFERROR(__xludf.DUMMYFUNCTION("""COMPUTED_VALUE"""),"SUSE Linux Enterprise Server 15 SP4")</f>
        <v>SUSE Linux Enterprise Server 15 SP4</v>
      </c>
      <c r="H219" s="7" t="str">
        <f t="shared" si="3"/>
        <v>NO</v>
      </c>
      <c r="I219" s="7" t="str">
        <f t="shared" si="2"/>
        <v>NO</v>
      </c>
    </row>
    <row r="220">
      <c r="A220" s="4">
        <f>IFERROR(__xludf.DUMMYFUNCTION("""COMPUTED_VALUE"""),1200315.0)</f>
        <v>1200315</v>
      </c>
      <c r="B220" s="4" t="str">
        <f>IFERROR(__xludf.DUMMYFUNCTION("""COMPUTED_VALUE"""),"P2 - High")</f>
        <v>P2 - High</v>
      </c>
      <c r="C220" s="5">
        <f>IFERROR(__xludf.DUMMYFUNCTION("""COMPUTED_VALUE"""),44720.27887731481)</f>
        <v>44720.27888</v>
      </c>
      <c r="D220" s="4" t="str">
        <f>IFERROR(__xludf.DUMMYFUNCTION("""COMPUTED_VALUE"""),"RESOLVED")</f>
        <v>RESOLVED</v>
      </c>
      <c r="E220" s="6">
        <f>IFERROR(__xludf.DUMMYFUNCTION("""COMPUTED_VALUE"""),44736.47280092593)</f>
        <v>44736.4728</v>
      </c>
      <c r="F220" s="4" t="str">
        <f>IFERROR(__xludf.DUMMYFUNCTION("""COMPUTED_VALUE""")," ---")</f>
        <v> ---</v>
      </c>
      <c r="G220" s="4" t="str">
        <f>IFERROR(__xludf.DUMMYFUNCTION("""COMPUTED_VALUE"""),"SUSE Linux Enterprise Server 15 SP4")</f>
        <v>SUSE Linux Enterprise Server 15 SP4</v>
      </c>
      <c r="H220" s="7" t="str">
        <f t="shared" si="3"/>
        <v>NO</v>
      </c>
      <c r="I220" s="7" t="str">
        <f t="shared" si="2"/>
        <v>NO</v>
      </c>
    </row>
    <row r="221">
      <c r="A221" s="4">
        <f>IFERROR(__xludf.DUMMYFUNCTION("""COMPUTED_VALUE"""),1194354.0)</f>
        <v>1194354</v>
      </c>
      <c r="B221" s="4" t="str">
        <f>IFERROR(__xludf.DUMMYFUNCTION("""COMPUTED_VALUE"""),"P2 - High")</f>
        <v>P2 - High</v>
      </c>
      <c r="C221" s="5">
        <f>IFERROR(__xludf.DUMMYFUNCTION("""COMPUTED_VALUE"""),44567.04525462963)</f>
        <v>44567.04525</v>
      </c>
      <c r="D221" s="4" t="str">
        <f>IFERROR(__xludf.DUMMYFUNCTION("""COMPUTED_VALUE"""),"RESOLVED")</f>
        <v>RESOLVED</v>
      </c>
      <c r="E221" s="6">
        <f>IFERROR(__xludf.DUMMYFUNCTION("""COMPUTED_VALUE"""),44589.51059027778)</f>
        <v>44589.51059</v>
      </c>
      <c r="F221" s="4" t="str">
        <f>IFERROR(__xludf.DUMMYFUNCTION("""COMPUTED_VALUE""")," ---")</f>
        <v> ---</v>
      </c>
      <c r="G221" s="4" t="str">
        <f>IFERROR(__xludf.DUMMYFUNCTION("""COMPUTED_VALUE"""),"SUSE Linux Enterprise Server 15 SP4")</f>
        <v>SUSE Linux Enterprise Server 15 SP4</v>
      </c>
      <c r="H221" s="7" t="str">
        <f t="shared" si="3"/>
        <v>NO</v>
      </c>
      <c r="I221" s="7" t="str">
        <f t="shared" si="2"/>
        <v>NO</v>
      </c>
    </row>
    <row r="222">
      <c r="A222" s="4">
        <f>IFERROR(__xludf.DUMMYFUNCTION("""COMPUTED_VALUE"""),1189752.0)</f>
        <v>1189752</v>
      </c>
      <c r="B222" s="4" t="str">
        <f>IFERROR(__xludf.DUMMYFUNCTION("""COMPUTED_VALUE"""),"P2 - High")</f>
        <v>P2 - High</v>
      </c>
      <c r="C222" s="5">
        <f>IFERROR(__xludf.DUMMYFUNCTION("""COMPUTED_VALUE"""),44432.58349537037)</f>
        <v>44432.5835</v>
      </c>
      <c r="D222" s="4" t="str">
        <f>IFERROR(__xludf.DUMMYFUNCTION("""COMPUTED_VALUE"""),"RESOLVED")</f>
        <v>RESOLVED</v>
      </c>
      <c r="E222" s="6">
        <f>IFERROR(__xludf.DUMMYFUNCTION("""COMPUTED_VALUE"""),44491.183530092596)</f>
        <v>44491.18353</v>
      </c>
      <c r="F222" s="4" t="str">
        <f>IFERROR(__xludf.DUMMYFUNCTION("""COMPUTED_VALUE""")," ---")</f>
        <v> ---</v>
      </c>
      <c r="G222" s="4" t="str">
        <f>IFERROR(__xludf.DUMMYFUNCTION("""COMPUTED_VALUE"""),"SUSE Linux Enterprise Server 15 SP4")</f>
        <v>SUSE Linux Enterprise Server 15 SP4</v>
      </c>
      <c r="H222" s="7" t="str">
        <f t="shared" si="3"/>
        <v>NO</v>
      </c>
      <c r="I222" s="7" t="str">
        <f t="shared" si="2"/>
        <v>NO</v>
      </c>
    </row>
    <row r="223">
      <c r="A223" s="4">
        <f>IFERROR(__xludf.DUMMYFUNCTION("""COMPUTED_VALUE"""),1190336.0)</f>
        <v>1190336</v>
      </c>
      <c r="B223" s="4" t="str">
        <f>IFERROR(__xludf.DUMMYFUNCTION("""COMPUTED_VALUE"""),"P2 - High")</f>
        <v>P2 - High</v>
      </c>
      <c r="C223" s="5">
        <f>IFERROR(__xludf.DUMMYFUNCTION("""COMPUTED_VALUE"""),44448.41645833333)</f>
        <v>44448.41646</v>
      </c>
      <c r="D223" s="4" t="str">
        <f>IFERROR(__xludf.DUMMYFUNCTION("""COMPUTED_VALUE"""),"RESOLVED")</f>
        <v>RESOLVED</v>
      </c>
      <c r="E223" s="6">
        <f>IFERROR(__xludf.DUMMYFUNCTION("""COMPUTED_VALUE"""),44736.46430555556)</f>
        <v>44736.46431</v>
      </c>
      <c r="F223" s="4" t="str">
        <f>IFERROR(__xludf.DUMMYFUNCTION("""COMPUTED_VALUE""")," ---")</f>
        <v> ---</v>
      </c>
      <c r="G223" s="4" t="str">
        <f>IFERROR(__xludf.DUMMYFUNCTION("""COMPUTED_VALUE"""),"SUSE Linux Enterprise Server 15 SP4")</f>
        <v>SUSE Linux Enterprise Server 15 SP4</v>
      </c>
      <c r="H223" s="7" t="str">
        <f t="shared" si="3"/>
        <v>NO</v>
      </c>
      <c r="I223" s="7" t="str">
        <f t="shared" si="2"/>
        <v>NO</v>
      </c>
    </row>
    <row r="224">
      <c r="A224" s="4">
        <f>IFERROR(__xludf.DUMMYFUNCTION("""COMPUTED_VALUE"""),1192795.0)</f>
        <v>1192795</v>
      </c>
      <c r="B224" s="4" t="str">
        <f>IFERROR(__xludf.DUMMYFUNCTION("""COMPUTED_VALUE"""),"P2 - High")</f>
        <v>P2 - High</v>
      </c>
      <c r="C224" s="5">
        <f>IFERROR(__xludf.DUMMYFUNCTION("""COMPUTED_VALUE"""),44517.672002314815)</f>
        <v>44517.672</v>
      </c>
      <c r="D224" s="4" t="str">
        <f>IFERROR(__xludf.DUMMYFUNCTION("""COMPUTED_VALUE"""),"RESOLVED")</f>
        <v>RESOLVED</v>
      </c>
      <c r="E224" s="6">
        <f>IFERROR(__xludf.DUMMYFUNCTION("""COMPUTED_VALUE"""),44517.6815625)</f>
        <v>44517.68156</v>
      </c>
      <c r="F224" s="4" t="str">
        <f>IFERROR(__xludf.DUMMYFUNCTION("""COMPUTED_VALUE""")," ---")</f>
        <v> ---</v>
      </c>
      <c r="G224" s="4" t="str">
        <f>IFERROR(__xludf.DUMMYFUNCTION("""COMPUTED_VALUE"""),"SUSE Linux Enterprise Server 15 SP4")</f>
        <v>SUSE Linux Enterprise Server 15 SP4</v>
      </c>
      <c r="H224" s="7" t="str">
        <f t="shared" si="3"/>
        <v>NO</v>
      </c>
      <c r="I224" s="7" t="str">
        <f t="shared" si="2"/>
        <v>NO</v>
      </c>
    </row>
    <row r="225">
      <c r="A225" s="4">
        <f>IFERROR(__xludf.DUMMYFUNCTION("""COMPUTED_VALUE"""),1200502.0)</f>
        <v>1200502</v>
      </c>
      <c r="B225" s="4" t="str">
        <f>IFERROR(__xludf.DUMMYFUNCTION("""COMPUTED_VALUE"""),"P2 - High")</f>
        <v>P2 - High</v>
      </c>
      <c r="C225" s="5">
        <f>IFERROR(__xludf.DUMMYFUNCTION("""COMPUTED_VALUE"""),44725.64356481482)</f>
        <v>44725.64356</v>
      </c>
      <c r="D225" s="4" t="str">
        <f>IFERROR(__xludf.DUMMYFUNCTION("""COMPUTED_VALUE"""),"RESOLVED")</f>
        <v>RESOLVED</v>
      </c>
      <c r="E225" s="6">
        <f>IFERROR(__xludf.DUMMYFUNCTION("""COMPUTED_VALUE"""),44736.56348379629)</f>
        <v>44736.56348</v>
      </c>
      <c r="F225" s="4" t="str">
        <f>IFERROR(__xludf.DUMMYFUNCTION("""COMPUTED_VALUE""")," ---")</f>
        <v> ---</v>
      </c>
      <c r="G225" s="4" t="str">
        <f>IFERROR(__xludf.DUMMYFUNCTION("""COMPUTED_VALUE"""),"SUSE Linux Enterprise Server 15 SP4")</f>
        <v>SUSE Linux Enterprise Server 15 SP4</v>
      </c>
      <c r="H225" s="7" t="str">
        <f t="shared" si="3"/>
        <v>NO</v>
      </c>
      <c r="I225" s="7" t="str">
        <f t="shared" si="2"/>
        <v>NO</v>
      </c>
    </row>
    <row r="226">
      <c r="A226" s="4">
        <f>IFERROR(__xludf.DUMMYFUNCTION("""COMPUTED_VALUE"""),1193593.0)</f>
        <v>1193593</v>
      </c>
      <c r="B226" s="4" t="str">
        <f>IFERROR(__xludf.DUMMYFUNCTION("""COMPUTED_VALUE"""),"P2 - High")</f>
        <v>P2 - High</v>
      </c>
      <c r="C226" s="5">
        <f>IFERROR(__xludf.DUMMYFUNCTION("""COMPUTED_VALUE"""),44539.84577546296)</f>
        <v>44539.84578</v>
      </c>
      <c r="D226" s="4" t="str">
        <f>IFERROR(__xludf.DUMMYFUNCTION("""COMPUTED_VALUE"""),"RESOLVED")</f>
        <v>RESOLVED</v>
      </c>
      <c r="E226" s="6">
        <f>IFERROR(__xludf.DUMMYFUNCTION("""COMPUTED_VALUE"""),44551.144733796296)</f>
        <v>44551.14473</v>
      </c>
      <c r="F226" s="4" t="str">
        <f>IFERROR(__xludf.DUMMYFUNCTION("""COMPUTED_VALUE""")," ---")</f>
        <v> ---</v>
      </c>
      <c r="G226" s="4" t="str">
        <f>IFERROR(__xludf.DUMMYFUNCTION("""COMPUTED_VALUE"""),"SUSE Linux Enterprise Server 15 SP4")</f>
        <v>SUSE Linux Enterprise Server 15 SP4</v>
      </c>
      <c r="H226" s="7" t="str">
        <f t="shared" si="3"/>
        <v>NO</v>
      </c>
      <c r="I226" s="7" t="str">
        <f t="shared" si="2"/>
        <v>NO</v>
      </c>
    </row>
    <row r="227">
      <c r="A227" s="4">
        <f>IFERROR(__xludf.DUMMYFUNCTION("""COMPUTED_VALUE"""),1195195.0)</f>
        <v>1195195</v>
      </c>
      <c r="B227" s="4" t="str">
        <f>IFERROR(__xludf.DUMMYFUNCTION("""COMPUTED_VALUE"""),"P2 - High")</f>
        <v>P2 - High</v>
      </c>
      <c r="C227" s="5">
        <f>IFERROR(__xludf.DUMMYFUNCTION("""COMPUTED_VALUE"""),44588.43875)</f>
        <v>44588.43875</v>
      </c>
      <c r="D227" s="4" t="str">
        <f>IFERROR(__xludf.DUMMYFUNCTION("""COMPUTED_VALUE"""),"RESOLVED")</f>
        <v>RESOLVED</v>
      </c>
      <c r="E227" s="6">
        <f>IFERROR(__xludf.DUMMYFUNCTION("""COMPUTED_VALUE"""),44668.49765046296)</f>
        <v>44668.49765</v>
      </c>
      <c r="F227" s="4" t="str">
        <f>IFERROR(__xludf.DUMMYFUNCTION("""COMPUTED_VALUE""")," ---")</f>
        <v> ---</v>
      </c>
      <c r="G227" s="4" t="str">
        <f>IFERROR(__xludf.DUMMYFUNCTION("""COMPUTED_VALUE"""),"SUSE Linux Enterprise Server 15 SP4")</f>
        <v>SUSE Linux Enterprise Server 15 SP4</v>
      </c>
      <c r="H227" s="7" t="str">
        <f t="shared" si="3"/>
        <v>NO</v>
      </c>
      <c r="I227" s="7" t="str">
        <f t="shared" si="2"/>
        <v>NO</v>
      </c>
    </row>
    <row r="228">
      <c r="A228" s="4">
        <f>IFERROR(__xludf.DUMMYFUNCTION("""COMPUTED_VALUE"""),1196591.0)</f>
        <v>1196591</v>
      </c>
      <c r="B228" s="4" t="str">
        <f>IFERROR(__xludf.DUMMYFUNCTION("""COMPUTED_VALUE"""),"P2 - High")</f>
        <v>P2 - High</v>
      </c>
      <c r="C228" s="5">
        <f>IFERROR(__xludf.DUMMYFUNCTION("""COMPUTED_VALUE"""),44621.418969907405)</f>
        <v>44621.41897</v>
      </c>
      <c r="D228" s="4" t="str">
        <f>IFERROR(__xludf.DUMMYFUNCTION("""COMPUTED_VALUE"""),"RESOLVED")</f>
        <v>RESOLVED</v>
      </c>
      <c r="E228" s="6">
        <f>IFERROR(__xludf.DUMMYFUNCTION("""COMPUTED_VALUE"""),44668.49914351852)</f>
        <v>44668.49914</v>
      </c>
      <c r="F228" s="4" t="str">
        <f>IFERROR(__xludf.DUMMYFUNCTION("""COMPUTED_VALUE""")," ---")</f>
        <v> ---</v>
      </c>
      <c r="G228" s="4" t="str">
        <f>IFERROR(__xludf.DUMMYFUNCTION("""COMPUTED_VALUE"""),"SUSE Linux Enterprise Server 15 SP4")</f>
        <v>SUSE Linux Enterprise Server 15 SP4</v>
      </c>
      <c r="H228" s="7" t="str">
        <f t="shared" si="3"/>
        <v>NO</v>
      </c>
      <c r="I228" s="7" t="str">
        <f t="shared" si="2"/>
        <v>NO</v>
      </c>
    </row>
    <row r="229">
      <c r="A229" s="4">
        <f>IFERROR(__xludf.DUMMYFUNCTION("""COMPUTED_VALUE"""),1197080.0)</f>
        <v>1197080</v>
      </c>
      <c r="B229" s="4" t="str">
        <f>IFERROR(__xludf.DUMMYFUNCTION("""COMPUTED_VALUE"""),"P2 - High")</f>
        <v>P2 - High</v>
      </c>
      <c r="C229" s="5">
        <f>IFERROR(__xludf.DUMMYFUNCTION("""COMPUTED_VALUE"""),44634.51436342593)</f>
        <v>44634.51436</v>
      </c>
      <c r="D229" s="4" t="str">
        <f>IFERROR(__xludf.DUMMYFUNCTION("""COMPUTED_VALUE"""),"RESOLVED")</f>
        <v>RESOLVED</v>
      </c>
      <c r="E229" s="6">
        <f>IFERROR(__xludf.DUMMYFUNCTION("""COMPUTED_VALUE"""),44645.382789351854)</f>
        <v>44645.38279</v>
      </c>
      <c r="F229" s="4" t="str">
        <f>IFERROR(__xludf.DUMMYFUNCTION("""COMPUTED_VALUE""")," ---")</f>
        <v> ---</v>
      </c>
      <c r="G229" s="4" t="str">
        <f>IFERROR(__xludf.DUMMYFUNCTION("""COMPUTED_VALUE"""),"PUBLIC SUSE Linux Enterprise Server 15 SP4")</f>
        <v>PUBLIC SUSE Linux Enterprise Server 15 SP4</v>
      </c>
      <c r="H229" s="7" t="str">
        <f t="shared" si="3"/>
        <v>NO</v>
      </c>
      <c r="I229" s="7" t="str">
        <f t="shared" si="2"/>
        <v>NO</v>
      </c>
    </row>
    <row r="230">
      <c r="A230" s="4">
        <f>IFERROR(__xludf.DUMMYFUNCTION("""COMPUTED_VALUE"""),1200571.0)</f>
        <v>1200571</v>
      </c>
      <c r="B230" s="4" t="str">
        <f>IFERROR(__xludf.DUMMYFUNCTION("""COMPUTED_VALUE"""),"P2 - High")</f>
        <v>P2 - High</v>
      </c>
      <c r="C230" s="5">
        <f>IFERROR(__xludf.DUMMYFUNCTION("""COMPUTED_VALUE"""),44727.587488425925)</f>
        <v>44727.58749</v>
      </c>
      <c r="D230" s="4" t="str">
        <f>IFERROR(__xludf.DUMMYFUNCTION("""COMPUTED_VALUE"""),"RESOLVED")</f>
        <v>RESOLVED</v>
      </c>
      <c r="E230" s="6">
        <f>IFERROR(__xludf.DUMMYFUNCTION("""COMPUTED_VALUE"""),44736.473078703704)</f>
        <v>44736.47308</v>
      </c>
      <c r="F230" s="4" t="str">
        <f>IFERROR(__xludf.DUMMYFUNCTION("""COMPUTED_VALUE""")," ---")</f>
        <v> ---</v>
      </c>
      <c r="G230" s="4" t="str">
        <f>IFERROR(__xludf.DUMMYFUNCTION("""COMPUTED_VALUE"""),"SUSE Linux Enterprise Server 15 SP4")</f>
        <v>SUSE Linux Enterprise Server 15 SP4</v>
      </c>
      <c r="H230" s="7" t="str">
        <f t="shared" si="3"/>
        <v>NO</v>
      </c>
      <c r="I230" s="7" t="str">
        <f t="shared" si="2"/>
        <v>NO</v>
      </c>
    </row>
    <row r="231">
      <c r="A231" s="4">
        <f>IFERROR(__xludf.DUMMYFUNCTION("""COMPUTED_VALUE"""),1197304.0)</f>
        <v>1197304</v>
      </c>
      <c r="B231" s="4" t="str">
        <f>IFERROR(__xludf.DUMMYFUNCTION("""COMPUTED_VALUE"""),"P2 - High")</f>
        <v>P2 - High</v>
      </c>
      <c r="C231" s="5">
        <f>IFERROR(__xludf.DUMMYFUNCTION("""COMPUTED_VALUE"""),44638.87027777778)</f>
        <v>44638.87028</v>
      </c>
      <c r="D231" s="4" t="str">
        <f>IFERROR(__xludf.DUMMYFUNCTION("""COMPUTED_VALUE"""),"RESOLVED")</f>
        <v>RESOLVED</v>
      </c>
      <c r="E231" s="6">
        <f>IFERROR(__xludf.DUMMYFUNCTION("""COMPUTED_VALUE"""),44736.46805555555)</f>
        <v>44736.46806</v>
      </c>
      <c r="F231" s="4" t="str">
        <f>IFERROR(__xludf.DUMMYFUNCTION("""COMPUTED_VALUE""")," ---")</f>
        <v> ---</v>
      </c>
      <c r="G231" s="4" t="str">
        <f>IFERROR(__xludf.DUMMYFUNCTION("""COMPUTED_VALUE"""),"SUSE Linux Enterprise Server 15 SP4")</f>
        <v>SUSE Linux Enterprise Server 15 SP4</v>
      </c>
      <c r="H231" s="7" t="str">
        <f t="shared" si="3"/>
        <v>NO</v>
      </c>
      <c r="I231" s="7" t="str">
        <f t="shared" si="2"/>
        <v>NO</v>
      </c>
    </row>
    <row r="232">
      <c r="A232" s="4">
        <f>IFERROR(__xludf.DUMMYFUNCTION("""COMPUTED_VALUE"""),1193490.0)</f>
        <v>1193490</v>
      </c>
      <c r="B232" s="4" t="str">
        <f>IFERROR(__xludf.DUMMYFUNCTION("""COMPUTED_VALUE"""),"P2 - High")</f>
        <v>P2 - High</v>
      </c>
      <c r="C232" s="5">
        <f>IFERROR(__xludf.DUMMYFUNCTION("""COMPUTED_VALUE"""),44537.67905092592)</f>
        <v>44537.67905</v>
      </c>
      <c r="D232" s="4" t="str">
        <f>IFERROR(__xludf.DUMMYFUNCTION("""COMPUTED_VALUE"""),"RESOLVED")</f>
        <v>RESOLVED</v>
      </c>
      <c r="E232" s="6">
        <f>IFERROR(__xludf.DUMMYFUNCTION("""COMPUTED_VALUE"""),44668.49501157407)</f>
        <v>44668.49501</v>
      </c>
      <c r="F232" s="4" t="str">
        <f>IFERROR(__xludf.DUMMYFUNCTION("""COMPUTED_VALUE""")," ---")</f>
        <v> ---</v>
      </c>
      <c r="G232" s="4" t="str">
        <f>IFERROR(__xludf.DUMMYFUNCTION("""COMPUTED_VALUE"""),"SUSE Linux Enterprise Server 15 SP4")</f>
        <v>SUSE Linux Enterprise Server 15 SP4</v>
      </c>
      <c r="H232" s="7" t="str">
        <f t="shared" si="3"/>
        <v>NO</v>
      </c>
      <c r="I232" s="7" t="str">
        <f t="shared" si="2"/>
        <v>NO</v>
      </c>
    </row>
    <row r="233">
      <c r="A233" s="4">
        <f>IFERROR(__xludf.DUMMYFUNCTION("""COMPUTED_VALUE"""),1192324.0)</f>
        <v>1192324</v>
      </c>
      <c r="B233" s="4" t="str">
        <f>IFERROR(__xludf.DUMMYFUNCTION("""COMPUTED_VALUE"""),"P2 - High")</f>
        <v>P2 - High</v>
      </c>
      <c r="C233" s="5">
        <f>IFERROR(__xludf.DUMMYFUNCTION("""COMPUTED_VALUE"""),44504.33155092593)</f>
        <v>44504.33155</v>
      </c>
      <c r="D233" s="4" t="str">
        <f>IFERROR(__xludf.DUMMYFUNCTION("""COMPUTED_VALUE"""),"VERIFIED")</f>
        <v>VERIFIED</v>
      </c>
      <c r="E233" s="6">
        <f>IFERROR(__xludf.DUMMYFUNCTION("""COMPUTED_VALUE"""),44736.606782407405)</f>
        <v>44736.60678</v>
      </c>
      <c r="F233" s="4" t="str">
        <f>IFERROR(__xludf.DUMMYFUNCTION("""COMPUTED_VALUE""")," ---")</f>
        <v> ---</v>
      </c>
      <c r="G233" s="4" t="str">
        <f>IFERROR(__xludf.DUMMYFUNCTION("""COMPUTED_VALUE"""),"SUSE Linux Enterprise Server 15 SP4")</f>
        <v>SUSE Linux Enterprise Server 15 SP4</v>
      </c>
      <c r="H233" s="7" t="str">
        <f t="shared" si="3"/>
        <v>NO</v>
      </c>
      <c r="I233" s="7" t="str">
        <f t="shared" si="2"/>
        <v>NO</v>
      </c>
    </row>
    <row r="234">
      <c r="A234" s="4">
        <f>IFERROR(__xludf.DUMMYFUNCTION("""COMPUTED_VALUE"""),1197016.0)</f>
        <v>1197016</v>
      </c>
      <c r="B234" s="4" t="str">
        <f>IFERROR(__xludf.DUMMYFUNCTION("""COMPUTED_VALUE"""),"P2 - High")</f>
        <v>P2 - High</v>
      </c>
      <c r="C234" s="5">
        <f>IFERROR(__xludf.DUMMYFUNCTION("""COMPUTED_VALUE"""),44631.506585648145)</f>
        <v>44631.50659</v>
      </c>
      <c r="D234" s="4" t="str">
        <f>IFERROR(__xludf.DUMMYFUNCTION("""COMPUTED_VALUE"""),"VERIFIED")</f>
        <v>VERIFIED</v>
      </c>
      <c r="E234" s="6">
        <f>IFERROR(__xludf.DUMMYFUNCTION("""COMPUTED_VALUE"""),44736.46761574074)</f>
        <v>44736.46762</v>
      </c>
      <c r="F234" s="4" t="str">
        <f>IFERROR(__xludf.DUMMYFUNCTION("""COMPUTED_VALUE""")," ---")</f>
        <v> ---</v>
      </c>
      <c r="G234" s="4" t="str">
        <f>IFERROR(__xludf.DUMMYFUNCTION("""COMPUTED_VALUE"""),"SUSE Linux Enterprise Server 15 SP4")</f>
        <v>SUSE Linux Enterprise Server 15 SP4</v>
      </c>
      <c r="H234" s="7" t="str">
        <f t="shared" si="3"/>
        <v>NO</v>
      </c>
      <c r="I234" s="7" t="str">
        <f t="shared" si="2"/>
        <v>NO</v>
      </c>
    </row>
    <row r="235">
      <c r="A235" s="4">
        <f>IFERROR(__xludf.DUMMYFUNCTION("""COMPUTED_VALUE"""),1193199.0)</f>
        <v>1193199</v>
      </c>
      <c r="B235" s="4" t="str">
        <f>IFERROR(__xludf.DUMMYFUNCTION("""COMPUTED_VALUE"""),"P2 - High")</f>
        <v>P2 - High</v>
      </c>
      <c r="C235" s="5">
        <f>IFERROR(__xludf.DUMMYFUNCTION("""COMPUTED_VALUE"""),44530.108090277776)</f>
        <v>44530.10809</v>
      </c>
      <c r="D235" s="4" t="str">
        <f>IFERROR(__xludf.DUMMYFUNCTION("""COMPUTED_VALUE"""),"VERIFIED")</f>
        <v>VERIFIED</v>
      </c>
      <c r="E235" s="6">
        <f>IFERROR(__xludf.DUMMYFUNCTION("""COMPUTED_VALUE"""),44707.348275462966)</f>
        <v>44707.34828</v>
      </c>
      <c r="F235" s="4" t="str">
        <f>IFERROR(__xludf.DUMMYFUNCTION("""COMPUTED_VALUE""")," ---")</f>
        <v> ---</v>
      </c>
      <c r="G235" s="4" t="str">
        <f>IFERROR(__xludf.DUMMYFUNCTION("""COMPUTED_VALUE"""),"SUSE Linux Enterprise Server 15 SP4")</f>
        <v>SUSE Linux Enterprise Server 15 SP4</v>
      </c>
      <c r="H235" s="7" t="str">
        <f t="shared" si="3"/>
        <v>NO</v>
      </c>
      <c r="I235" s="7" t="str">
        <f t="shared" si="2"/>
        <v>NO</v>
      </c>
    </row>
    <row r="236">
      <c r="A236" s="4">
        <f>IFERROR(__xludf.DUMMYFUNCTION("""COMPUTED_VALUE"""),1190778.0)</f>
        <v>1190778</v>
      </c>
      <c r="B236" s="4" t="str">
        <f>IFERROR(__xludf.DUMMYFUNCTION("""COMPUTED_VALUE"""),"P2 - High")</f>
        <v>P2 - High</v>
      </c>
      <c r="C236" s="5">
        <f>IFERROR(__xludf.DUMMYFUNCTION("""COMPUTED_VALUE"""),44461.3784375)</f>
        <v>44461.37844</v>
      </c>
      <c r="D236" s="4" t="str">
        <f>IFERROR(__xludf.DUMMYFUNCTION("""COMPUTED_VALUE"""),"VERIFIED")</f>
        <v>VERIFIED</v>
      </c>
      <c r="E236" s="6">
        <f>IFERROR(__xludf.DUMMYFUNCTION("""COMPUTED_VALUE"""),44478.034479166665)</f>
        <v>44478.03448</v>
      </c>
      <c r="F236" s="4" t="str">
        <f>IFERROR(__xludf.DUMMYFUNCTION("""COMPUTED_VALUE""")," ---")</f>
        <v> ---</v>
      </c>
      <c r="G236" s="4" t="str">
        <f>IFERROR(__xludf.DUMMYFUNCTION("""COMPUTED_VALUE"""),"SUSE Linux Enterprise Server 15 SP4")</f>
        <v>SUSE Linux Enterprise Server 15 SP4</v>
      </c>
      <c r="H236" s="7" t="str">
        <f t="shared" si="3"/>
        <v>NO</v>
      </c>
      <c r="I236" s="7" t="str">
        <f t="shared" si="2"/>
        <v>NO</v>
      </c>
    </row>
    <row r="237">
      <c r="A237" s="4">
        <f>IFERROR(__xludf.DUMMYFUNCTION("""COMPUTED_VALUE"""),1193210.0)</f>
        <v>1193210</v>
      </c>
      <c r="B237" s="4" t="str">
        <f>IFERROR(__xludf.DUMMYFUNCTION("""COMPUTED_VALUE"""),"P2 - High")</f>
        <v>P2 - High</v>
      </c>
      <c r="C237" s="5">
        <f>IFERROR(__xludf.DUMMYFUNCTION("""COMPUTED_VALUE"""),44530.30861111111)</f>
        <v>44530.30861</v>
      </c>
      <c r="D237" s="4" t="str">
        <f>IFERROR(__xludf.DUMMYFUNCTION("""COMPUTED_VALUE"""),"VERIFIED")</f>
        <v>VERIFIED</v>
      </c>
      <c r="E237" s="6">
        <f>IFERROR(__xludf.DUMMYFUNCTION("""COMPUTED_VALUE"""),44706.08734953704)</f>
        <v>44706.08735</v>
      </c>
      <c r="F237" s="4" t="str">
        <f>IFERROR(__xludf.DUMMYFUNCTION("""COMPUTED_VALUE""")," ---")</f>
        <v> ---</v>
      </c>
      <c r="G237" s="4" t="str">
        <f>IFERROR(__xludf.DUMMYFUNCTION("""COMPUTED_VALUE"""),"SUSE Linux Enterprise Server 15 SP4")</f>
        <v>SUSE Linux Enterprise Server 15 SP4</v>
      </c>
      <c r="H237" s="7" t="str">
        <f t="shared" si="3"/>
        <v>NO</v>
      </c>
      <c r="I237" s="7" t="str">
        <f t="shared" si="2"/>
        <v>NO</v>
      </c>
    </row>
    <row r="238">
      <c r="A238" s="4">
        <f>IFERROR(__xludf.DUMMYFUNCTION("""COMPUTED_VALUE"""),1193515.0)</f>
        <v>1193515</v>
      </c>
      <c r="B238" s="4" t="str">
        <f>IFERROR(__xludf.DUMMYFUNCTION("""COMPUTED_VALUE"""),"P2 - High")</f>
        <v>P2 - High</v>
      </c>
      <c r="C238" s="5">
        <f>IFERROR(__xludf.DUMMYFUNCTION("""COMPUTED_VALUE"""),44538.375069444446)</f>
        <v>44538.37507</v>
      </c>
      <c r="D238" s="4" t="str">
        <f>IFERROR(__xludf.DUMMYFUNCTION("""COMPUTED_VALUE"""),"VERIFIED")</f>
        <v>VERIFIED</v>
      </c>
      <c r="E238" s="6">
        <f>IFERROR(__xludf.DUMMYFUNCTION("""COMPUTED_VALUE"""),44546.41012731481)</f>
        <v>44546.41013</v>
      </c>
      <c r="F238" s="4" t="str">
        <f>IFERROR(__xludf.DUMMYFUNCTION("""COMPUTED_VALUE""")," ---")</f>
        <v> ---</v>
      </c>
      <c r="G238" s="4" t="str">
        <f>IFERROR(__xludf.DUMMYFUNCTION("""COMPUTED_VALUE"""),"SUSE Linux Enterprise Server 15 SP4")</f>
        <v>SUSE Linux Enterprise Server 15 SP4</v>
      </c>
      <c r="H238" s="7" t="str">
        <f t="shared" si="3"/>
        <v>NO</v>
      </c>
      <c r="I238" s="7" t="str">
        <f t="shared" si="2"/>
        <v>NO</v>
      </c>
    </row>
    <row r="239">
      <c r="A239" s="4">
        <f>IFERROR(__xludf.DUMMYFUNCTION("""COMPUTED_VALUE"""),1191540.0)</f>
        <v>1191540</v>
      </c>
      <c r="B239" s="4" t="str">
        <f>IFERROR(__xludf.DUMMYFUNCTION("""COMPUTED_VALUE"""),"P2 - High")</f>
        <v>P2 - High</v>
      </c>
      <c r="C239" s="5">
        <f>IFERROR(__xludf.DUMMYFUNCTION("""COMPUTED_VALUE"""),44480.46560185185)</f>
        <v>44480.4656</v>
      </c>
      <c r="D239" s="4" t="str">
        <f>IFERROR(__xludf.DUMMYFUNCTION("""COMPUTED_VALUE"""),"VERIFIED")</f>
        <v>VERIFIED</v>
      </c>
      <c r="E239" s="6">
        <f>IFERROR(__xludf.DUMMYFUNCTION("""COMPUTED_VALUE"""),44668.492997685185)</f>
        <v>44668.493</v>
      </c>
      <c r="F239" s="4" t="str">
        <f>IFERROR(__xludf.DUMMYFUNCTION("""COMPUTED_VALUE"""),"Yes")</f>
        <v>Yes</v>
      </c>
      <c r="G239" s="4" t="str">
        <f>IFERROR(__xludf.DUMMYFUNCTION("""COMPUTED_VALUE"""),"SUSE Linux Enterprise Server 15 SP4")</f>
        <v>SUSE Linux Enterprise Server 15 SP4</v>
      </c>
      <c r="H239" s="7" t="str">
        <f t="shared" si="3"/>
        <v>NO</v>
      </c>
      <c r="I239" s="7" t="str">
        <f t="shared" si="2"/>
        <v>NO</v>
      </c>
    </row>
    <row r="240">
      <c r="A240" s="4">
        <f>IFERROR(__xludf.DUMMYFUNCTION("""COMPUTED_VALUE"""),1198322.0)</f>
        <v>1198322</v>
      </c>
      <c r="B240" s="4" t="str">
        <f>IFERROR(__xludf.DUMMYFUNCTION("""COMPUTED_VALUE"""),"P2 - High")</f>
        <v>P2 - High</v>
      </c>
      <c r="C240" s="5">
        <f>IFERROR(__xludf.DUMMYFUNCTION("""COMPUTED_VALUE"""),44662.51918981481)</f>
        <v>44662.51919</v>
      </c>
      <c r="D240" s="4" t="str">
        <f>IFERROR(__xludf.DUMMYFUNCTION("""COMPUTED_VALUE"""),"VERIFIED")</f>
        <v>VERIFIED</v>
      </c>
      <c r="E240" s="6">
        <f>IFERROR(__xludf.DUMMYFUNCTION("""COMPUTED_VALUE"""),44673.25518518518)</f>
        <v>44673.25519</v>
      </c>
      <c r="F240" s="4" t="str">
        <f>IFERROR(__xludf.DUMMYFUNCTION("""COMPUTED_VALUE""")," ---")</f>
        <v> ---</v>
      </c>
      <c r="G240" s="4" t="str">
        <f>IFERROR(__xludf.DUMMYFUNCTION("""COMPUTED_VALUE"""),"SUSE Linux Enterprise Server 15 SP4")</f>
        <v>SUSE Linux Enterprise Server 15 SP4</v>
      </c>
      <c r="H240" s="7" t="str">
        <f t="shared" si="3"/>
        <v>NO</v>
      </c>
      <c r="I240" s="7" t="str">
        <f t="shared" si="2"/>
        <v>NO</v>
      </c>
    </row>
    <row r="241">
      <c r="A241" s="4">
        <f>IFERROR(__xludf.DUMMYFUNCTION("""COMPUTED_VALUE"""),1191740.0)</f>
        <v>1191740</v>
      </c>
      <c r="B241" s="4" t="str">
        <f>IFERROR(__xludf.DUMMYFUNCTION("""COMPUTED_VALUE"""),"P2 - High")</f>
        <v>P2 - High</v>
      </c>
      <c r="C241" s="5">
        <f>IFERROR(__xludf.DUMMYFUNCTION("""COMPUTED_VALUE"""),44487.39697916667)</f>
        <v>44487.39698</v>
      </c>
      <c r="D241" s="4" t="str">
        <f>IFERROR(__xludf.DUMMYFUNCTION("""COMPUTED_VALUE"""),"VERIFIED")</f>
        <v>VERIFIED</v>
      </c>
      <c r="E241" s="6">
        <f>IFERROR(__xludf.DUMMYFUNCTION("""COMPUTED_VALUE"""),44668.493113425924)</f>
        <v>44668.49311</v>
      </c>
      <c r="F241" s="4" t="str">
        <f>IFERROR(__xludf.DUMMYFUNCTION("""COMPUTED_VALUE""")," ---")</f>
        <v> ---</v>
      </c>
      <c r="G241" s="4" t="str">
        <f>IFERROR(__xludf.DUMMYFUNCTION("""COMPUTED_VALUE"""),"SUSE Linux Enterprise Server 15 SP4")</f>
        <v>SUSE Linux Enterprise Server 15 SP4</v>
      </c>
      <c r="H241" s="7" t="str">
        <f t="shared" si="3"/>
        <v>NO</v>
      </c>
      <c r="I241" s="7" t="str">
        <f t="shared" si="2"/>
        <v>NO</v>
      </c>
    </row>
    <row r="242">
      <c r="A242" s="4">
        <f>IFERROR(__xludf.DUMMYFUNCTION("""COMPUTED_VALUE"""),1193013.0)</f>
        <v>1193013</v>
      </c>
      <c r="B242" s="4" t="str">
        <f>IFERROR(__xludf.DUMMYFUNCTION("""COMPUTED_VALUE"""),"P2 - High")</f>
        <v>P2 - High</v>
      </c>
      <c r="C242" s="5">
        <f>IFERROR(__xludf.DUMMYFUNCTION("""COMPUTED_VALUE"""),44523.79673611111)</f>
        <v>44523.79674</v>
      </c>
      <c r="D242" s="4" t="str">
        <f>IFERROR(__xludf.DUMMYFUNCTION("""COMPUTED_VALUE"""),"VERIFIED")</f>
        <v>VERIFIED</v>
      </c>
      <c r="E242" s="6">
        <f>IFERROR(__xludf.DUMMYFUNCTION("""COMPUTED_VALUE"""),44687.37466435185)</f>
        <v>44687.37466</v>
      </c>
      <c r="F242" s="4" t="str">
        <f>IFERROR(__xludf.DUMMYFUNCTION("""COMPUTED_VALUE"""),"Yes")</f>
        <v>Yes</v>
      </c>
      <c r="G242" s="4" t="str">
        <f>IFERROR(__xludf.DUMMYFUNCTION("""COMPUTED_VALUE"""),"SUSE Linux Enterprise Server 15 SP4")</f>
        <v>SUSE Linux Enterprise Server 15 SP4</v>
      </c>
      <c r="H242" s="7" t="str">
        <f t="shared" si="3"/>
        <v>NO</v>
      </c>
      <c r="I242" s="7" t="str">
        <f t="shared" si="2"/>
        <v>NO</v>
      </c>
    </row>
    <row r="243">
      <c r="A243" s="4">
        <f>IFERROR(__xludf.DUMMYFUNCTION("""COMPUTED_VALUE"""),1193244.0)</f>
        <v>1193244</v>
      </c>
      <c r="B243" s="4" t="str">
        <f>IFERROR(__xludf.DUMMYFUNCTION("""COMPUTED_VALUE"""),"P2 - High")</f>
        <v>P2 - High</v>
      </c>
      <c r="C243" s="5">
        <f>IFERROR(__xludf.DUMMYFUNCTION("""COMPUTED_VALUE"""),44530.570625)</f>
        <v>44530.57063</v>
      </c>
      <c r="D243" s="4" t="str">
        <f>IFERROR(__xludf.DUMMYFUNCTION("""COMPUTED_VALUE"""),"VERIFIED")</f>
        <v>VERIFIED</v>
      </c>
      <c r="E243" s="6">
        <f>IFERROR(__xludf.DUMMYFUNCTION("""COMPUTED_VALUE"""),44668.49466435185)</f>
        <v>44668.49466</v>
      </c>
      <c r="F243" s="4" t="str">
        <f>IFERROR(__xludf.DUMMYFUNCTION("""COMPUTED_VALUE""")," ---")</f>
        <v> ---</v>
      </c>
      <c r="G243" s="4" t="str">
        <f>IFERROR(__xludf.DUMMYFUNCTION("""COMPUTED_VALUE"""),"SUSE Linux Enterprise Server 15 SP4")</f>
        <v>SUSE Linux Enterprise Server 15 SP4</v>
      </c>
      <c r="H243" s="7" t="str">
        <f t="shared" si="3"/>
        <v>NO</v>
      </c>
      <c r="I243" s="7" t="str">
        <f t="shared" si="2"/>
        <v>NO</v>
      </c>
    </row>
    <row r="244">
      <c r="A244" s="4">
        <f>IFERROR(__xludf.DUMMYFUNCTION("""COMPUTED_VALUE"""),1194966.0)</f>
        <v>1194966</v>
      </c>
      <c r="B244" s="4" t="str">
        <f>IFERROR(__xludf.DUMMYFUNCTION("""COMPUTED_VALUE"""),"P2 - High")</f>
        <v>P2 - High</v>
      </c>
      <c r="C244" s="5">
        <f>IFERROR(__xludf.DUMMYFUNCTION("""COMPUTED_VALUE"""),44581.57013888889)</f>
        <v>44581.57014</v>
      </c>
      <c r="D244" s="4" t="str">
        <f>IFERROR(__xludf.DUMMYFUNCTION("""COMPUTED_VALUE"""),"VERIFIED")</f>
        <v>VERIFIED</v>
      </c>
      <c r="E244" s="6">
        <f>IFERROR(__xludf.DUMMYFUNCTION("""COMPUTED_VALUE"""),44668.497407407405)</f>
        <v>44668.49741</v>
      </c>
      <c r="F244" s="4" t="str">
        <f>IFERROR(__xludf.DUMMYFUNCTION("""COMPUTED_VALUE""")," ---")</f>
        <v> ---</v>
      </c>
      <c r="G244" s="4" t="str">
        <f>IFERROR(__xludf.DUMMYFUNCTION("""COMPUTED_VALUE"""),"SUSE Linux Enterprise Server 15 SP4")</f>
        <v>SUSE Linux Enterprise Server 15 SP4</v>
      </c>
      <c r="H244" s="7" t="str">
        <f t="shared" si="3"/>
        <v>NO</v>
      </c>
      <c r="I244" s="7" t="str">
        <f t="shared" si="2"/>
        <v>NO</v>
      </c>
    </row>
    <row r="245">
      <c r="A245" s="4">
        <f>IFERROR(__xludf.DUMMYFUNCTION("""COMPUTED_VALUE"""),1195082.0)</f>
        <v>1195082</v>
      </c>
      <c r="B245" s="4" t="str">
        <f>IFERROR(__xludf.DUMMYFUNCTION("""COMPUTED_VALUE"""),"P2 - High")</f>
        <v>P2 - High</v>
      </c>
      <c r="C245" s="5">
        <f>IFERROR(__xludf.DUMMYFUNCTION("""COMPUTED_VALUE"""),44586.2715625)</f>
        <v>44586.27156</v>
      </c>
      <c r="D245" s="4" t="str">
        <f>IFERROR(__xludf.DUMMYFUNCTION("""COMPUTED_VALUE"""),"VERIFIED")</f>
        <v>VERIFIED</v>
      </c>
      <c r="E245" s="6">
        <f>IFERROR(__xludf.DUMMYFUNCTION("""COMPUTED_VALUE"""),44668.49752314815)</f>
        <v>44668.49752</v>
      </c>
      <c r="F245" s="4" t="str">
        <f>IFERROR(__xludf.DUMMYFUNCTION("""COMPUTED_VALUE""")," ---")</f>
        <v> ---</v>
      </c>
      <c r="G245" s="4" t="str">
        <f>IFERROR(__xludf.DUMMYFUNCTION("""COMPUTED_VALUE"""),"SUSE Linux Enterprise Server 15 SP4")</f>
        <v>SUSE Linux Enterprise Server 15 SP4</v>
      </c>
      <c r="H245" s="7" t="str">
        <f t="shared" si="3"/>
        <v>NO</v>
      </c>
      <c r="I245" s="7" t="str">
        <f t="shared" si="2"/>
        <v>NO</v>
      </c>
    </row>
    <row r="246">
      <c r="A246" s="4">
        <f>IFERROR(__xludf.DUMMYFUNCTION("""COMPUTED_VALUE"""),1195376.0)</f>
        <v>1195376</v>
      </c>
      <c r="B246" s="4" t="str">
        <f>IFERROR(__xludf.DUMMYFUNCTION("""COMPUTED_VALUE"""),"P2 - High")</f>
        <v>P2 - High</v>
      </c>
      <c r="C246" s="5">
        <f>IFERROR(__xludf.DUMMYFUNCTION("""COMPUTED_VALUE"""),44593.39644675926)</f>
        <v>44593.39645</v>
      </c>
      <c r="D246" s="4" t="str">
        <f>IFERROR(__xludf.DUMMYFUNCTION("""COMPUTED_VALUE"""),"VERIFIED")</f>
        <v>VERIFIED</v>
      </c>
      <c r="E246" s="6">
        <f>IFERROR(__xludf.DUMMYFUNCTION("""COMPUTED_VALUE"""),44668.498090277775)</f>
        <v>44668.49809</v>
      </c>
      <c r="F246" s="4" t="str">
        <f>IFERROR(__xludf.DUMMYFUNCTION("""COMPUTED_VALUE""")," ---")</f>
        <v> ---</v>
      </c>
      <c r="G246" s="4" t="str">
        <f>IFERROR(__xludf.DUMMYFUNCTION("""COMPUTED_VALUE"""),"SUSE Linux Enterprise Server 15 SP4")</f>
        <v>SUSE Linux Enterprise Server 15 SP4</v>
      </c>
      <c r="H246" s="7" t="str">
        <f t="shared" si="3"/>
        <v>NO</v>
      </c>
      <c r="I246" s="7" t="str">
        <f t="shared" si="2"/>
        <v>YES</v>
      </c>
    </row>
    <row r="247">
      <c r="A247" s="4">
        <f>IFERROR(__xludf.DUMMYFUNCTION("""COMPUTED_VALUE"""),1195639.0)</f>
        <v>1195639</v>
      </c>
      <c r="B247" s="4" t="str">
        <f>IFERROR(__xludf.DUMMYFUNCTION("""COMPUTED_VALUE"""),"P2 - High")</f>
        <v>P2 - High</v>
      </c>
      <c r="C247" s="5">
        <f>IFERROR(__xludf.DUMMYFUNCTION("""COMPUTED_VALUE"""),44599.681550925925)</f>
        <v>44599.68155</v>
      </c>
      <c r="D247" s="4" t="str">
        <f>IFERROR(__xludf.DUMMYFUNCTION("""COMPUTED_VALUE"""),"VERIFIED")</f>
        <v>VERIFIED</v>
      </c>
      <c r="E247" s="6">
        <f>IFERROR(__xludf.DUMMYFUNCTION("""COMPUTED_VALUE"""),44668.498252314814)</f>
        <v>44668.49825</v>
      </c>
      <c r="F247" s="4" t="str">
        <f>IFERROR(__xludf.DUMMYFUNCTION("""COMPUTED_VALUE""")," ---")</f>
        <v> ---</v>
      </c>
      <c r="G247" s="4" t="str">
        <f>IFERROR(__xludf.DUMMYFUNCTION("""COMPUTED_VALUE"""),"SUSE Linux Enterprise Server 15 SP4")</f>
        <v>SUSE Linux Enterprise Server 15 SP4</v>
      </c>
      <c r="H247" s="7" t="str">
        <f t="shared" si="3"/>
        <v>NO</v>
      </c>
      <c r="I247" s="7" t="str">
        <f t="shared" si="2"/>
        <v>NO</v>
      </c>
    </row>
    <row r="248">
      <c r="A248" s="4">
        <f>IFERROR(__xludf.DUMMYFUNCTION("""COMPUTED_VALUE"""),1195927.0)</f>
        <v>1195927</v>
      </c>
      <c r="B248" s="4" t="str">
        <f>IFERROR(__xludf.DUMMYFUNCTION("""COMPUTED_VALUE"""),"P2 - High")</f>
        <v>P2 - High</v>
      </c>
      <c r="C248" s="5">
        <f>IFERROR(__xludf.DUMMYFUNCTION("""COMPUTED_VALUE"""),44606.86853009259)</f>
        <v>44606.86853</v>
      </c>
      <c r="D248" s="4" t="str">
        <f>IFERROR(__xludf.DUMMYFUNCTION("""COMPUTED_VALUE"""),"VERIFIED")</f>
        <v>VERIFIED</v>
      </c>
      <c r="E248" s="6">
        <f>IFERROR(__xludf.DUMMYFUNCTION("""COMPUTED_VALUE"""),44668.49855324074)</f>
        <v>44668.49855</v>
      </c>
      <c r="F248" s="4" t="str">
        <f>IFERROR(__xludf.DUMMYFUNCTION("""COMPUTED_VALUE""")," ---")</f>
        <v> ---</v>
      </c>
      <c r="G248" s="4" t="str">
        <f>IFERROR(__xludf.DUMMYFUNCTION("""COMPUTED_VALUE"""),"SUSE Linux Enterprise Server 15 SP4")</f>
        <v>SUSE Linux Enterprise Server 15 SP4</v>
      </c>
      <c r="H248" s="7" t="str">
        <f t="shared" si="3"/>
        <v>NO</v>
      </c>
      <c r="I248" s="7" t="str">
        <f t="shared" si="2"/>
        <v>NO</v>
      </c>
    </row>
    <row r="249">
      <c r="A249" s="4">
        <f>IFERROR(__xludf.DUMMYFUNCTION("""COMPUTED_VALUE"""),1194286.0)</f>
        <v>1194286</v>
      </c>
      <c r="B249" s="4" t="str">
        <f>IFERROR(__xludf.DUMMYFUNCTION("""COMPUTED_VALUE"""),"P3 - Medium")</f>
        <v>P3 - Medium</v>
      </c>
      <c r="C249" s="5">
        <f>IFERROR(__xludf.DUMMYFUNCTION("""COMPUTED_VALUE"""),44565.42219907408)</f>
        <v>44565.4222</v>
      </c>
      <c r="D249" s="4" t="str">
        <f>IFERROR(__xludf.DUMMYFUNCTION("""COMPUTED_VALUE"""),"NEW")</f>
        <v>NEW</v>
      </c>
      <c r="E249" s="6">
        <f>IFERROR(__xludf.DUMMYFUNCTION("""COMPUTED_VALUE"""),44691.0390625)</f>
        <v>44691.03906</v>
      </c>
      <c r="F249" s="4" t="str">
        <f>IFERROR(__xludf.DUMMYFUNCTION("""COMPUTED_VALUE""")," ---")</f>
        <v> ---</v>
      </c>
      <c r="G249" s="4" t="str">
        <f>IFERROR(__xludf.DUMMYFUNCTION("""COMPUTED_VALUE"""),"SUSE Linux Enterprise Server 15 SP4")</f>
        <v>SUSE Linux Enterprise Server 15 SP4</v>
      </c>
      <c r="H249" s="7" t="str">
        <f t="shared" si="3"/>
        <v>YES</v>
      </c>
      <c r="I249" s="7" t="str">
        <f t="shared" si="2"/>
        <v>NO</v>
      </c>
    </row>
    <row r="250">
      <c r="A250" s="4">
        <f>IFERROR(__xludf.DUMMYFUNCTION("""COMPUTED_VALUE"""),1190497.0)</f>
        <v>1190497</v>
      </c>
      <c r="B250" s="4" t="str">
        <f>IFERROR(__xludf.DUMMYFUNCTION("""COMPUTED_VALUE"""),"P3 - Medium")</f>
        <v>P3 - Medium</v>
      </c>
      <c r="C250" s="5">
        <f>IFERROR(__xludf.DUMMYFUNCTION("""COMPUTED_VALUE"""),44453.80788194444)</f>
        <v>44453.80788</v>
      </c>
      <c r="D250" s="4" t="str">
        <f>IFERROR(__xludf.DUMMYFUNCTION("""COMPUTED_VALUE"""),"NEW")</f>
        <v>NEW</v>
      </c>
      <c r="E250" s="6">
        <f>IFERROR(__xludf.DUMMYFUNCTION("""COMPUTED_VALUE"""),44736.46435185185)</f>
        <v>44736.46435</v>
      </c>
      <c r="F250" s="4" t="str">
        <f>IFERROR(__xludf.DUMMYFUNCTION("""COMPUTED_VALUE""")," ---")</f>
        <v> ---</v>
      </c>
      <c r="G250" s="4" t="str">
        <f>IFERROR(__xludf.DUMMYFUNCTION("""COMPUTED_VALUE"""),"SUSE Linux Enterprise Server 15 SP4")</f>
        <v>SUSE Linux Enterprise Server 15 SP4</v>
      </c>
      <c r="H250" s="7" t="str">
        <f t="shared" si="3"/>
        <v>NO</v>
      </c>
      <c r="I250" s="7" t="str">
        <f t="shared" si="2"/>
        <v>NO</v>
      </c>
    </row>
    <row r="251">
      <c r="A251" s="4">
        <f>IFERROR(__xludf.DUMMYFUNCTION("""COMPUTED_VALUE"""),1194889.0)</f>
        <v>1194889</v>
      </c>
      <c r="B251" s="4" t="str">
        <f>IFERROR(__xludf.DUMMYFUNCTION("""COMPUTED_VALUE"""),"P3 - Medium")</f>
        <v>P3 - Medium</v>
      </c>
      <c r="C251" s="5">
        <f>IFERROR(__xludf.DUMMYFUNCTION("""COMPUTED_VALUE"""),44580.51697916666)</f>
        <v>44580.51698</v>
      </c>
      <c r="D251" s="4" t="str">
        <f>IFERROR(__xludf.DUMMYFUNCTION("""COMPUTED_VALUE"""),"NEW")</f>
        <v>NEW</v>
      </c>
      <c r="E251" s="6">
        <f>IFERROR(__xludf.DUMMYFUNCTION("""COMPUTED_VALUE"""),44668.49732638889)</f>
        <v>44668.49733</v>
      </c>
      <c r="F251" s="4" t="str">
        <f>IFERROR(__xludf.DUMMYFUNCTION("""COMPUTED_VALUE""")," ---")</f>
        <v> ---</v>
      </c>
      <c r="G251" s="4" t="str">
        <f>IFERROR(__xludf.DUMMYFUNCTION("""COMPUTED_VALUE"""),"SUSE Linux Enterprise Server 15 SP4")</f>
        <v>SUSE Linux Enterprise Server 15 SP4</v>
      </c>
      <c r="H251" s="7" t="str">
        <f t="shared" si="3"/>
        <v>NO</v>
      </c>
      <c r="I251" s="7" t="str">
        <f t="shared" si="2"/>
        <v>NO</v>
      </c>
    </row>
    <row r="252">
      <c r="A252" s="4">
        <f>IFERROR(__xludf.DUMMYFUNCTION("""COMPUTED_VALUE"""),1193205.0)</f>
        <v>1193205</v>
      </c>
      <c r="B252" s="4" t="str">
        <f>IFERROR(__xludf.DUMMYFUNCTION("""COMPUTED_VALUE"""),"P3 - Medium")</f>
        <v>P3 - Medium</v>
      </c>
      <c r="C252" s="5">
        <f>IFERROR(__xludf.DUMMYFUNCTION("""COMPUTED_VALUE"""),44530.24890046296)</f>
        <v>44530.2489</v>
      </c>
      <c r="D252" s="4" t="str">
        <f>IFERROR(__xludf.DUMMYFUNCTION("""COMPUTED_VALUE"""),"NEW")</f>
        <v>NEW</v>
      </c>
      <c r="E252" s="6">
        <f>IFERROR(__xludf.DUMMYFUNCTION("""COMPUTED_VALUE"""),44615.44119212963)</f>
        <v>44615.44119</v>
      </c>
      <c r="F252" s="4" t="str">
        <f>IFERROR(__xludf.DUMMYFUNCTION("""COMPUTED_VALUE""")," ---")</f>
        <v> ---</v>
      </c>
      <c r="G252" s="4" t="str">
        <f>IFERROR(__xludf.DUMMYFUNCTION("""COMPUTED_VALUE"""),"SUSE Linux Enterprise Server 15 SP4")</f>
        <v>SUSE Linux Enterprise Server 15 SP4</v>
      </c>
      <c r="H252" s="7" t="str">
        <f t="shared" si="3"/>
        <v>NO</v>
      </c>
      <c r="I252" s="7" t="str">
        <f t="shared" si="2"/>
        <v>NO</v>
      </c>
    </row>
    <row r="253">
      <c r="A253" s="4">
        <f>IFERROR(__xludf.DUMMYFUNCTION("""COMPUTED_VALUE"""),1193207.0)</f>
        <v>1193207</v>
      </c>
      <c r="B253" s="4" t="str">
        <f>IFERROR(__xludf.DUMMYFUNCTION("""COMPUTED_VALUE"""),"P3 - Medium")</f>
        <v>P3 - Medium</v>
      </c>
      <c r="C253" s="5">
        <f>IFERROR(__xludf.DUMMYFUNCTION("""COMPUTED_VALUE"""),44530.26231481481)</f>
        <v>44530.26231</v>
      </c>
      <c r="D253" s="4" t="str">
        <f>IFERROR(__xludf.DUMMYFUNCTION("""COMPUTED_VALUE"""),"NEW")</f>
        <v>NEW</v>
      </c>
      <c r="E253" s="6">
        <f>IFERROR(__xludf.DUMMYFUNCTION("""COMPUTED_VALUE"""),44665.242060185185)</f>
        <v>44665.24206</v>
      </c>
      <c r="F253" s="4" t="str">
        <f>IFERROR(__xludf.DUMMYFUNCTION("""COMPUTED_VALUE""")," ---")</f>
        <v> ---</v>
      </c>
      <c r="G253" s="4" t="str">
        <f>IFERROR(__xludf.DUMMYFUNCTION("""COMPUTED_VALUE"""),"SUSE Linux Enterprise Server 15 SP4")</f>
        <v>SUSE Linux Enterprise Server 15 SP4</v>
      </c>
      <c r="H253" s="7" t="str">
        <f t="shared" si="3"/>
        <v>NO</v>
      </c>
      <c r="I253" s="7" t="str">
        <f t="shared" si="2"/>
        <v>NO</v>
      </c>
    </row>
    <row r="254">
      <c r="A254" s="4">
        <f>IFERROR(__xludf.DUMMYFUNCTION("""COMPUTED_VALUE"""),1192162.0)</f>
        <v>1192162</v>
      </c>
      <c r="B254" s="4" t="str">
        <f>IFERROR(__xludf.DUMMYFUNCTION("""COMPUTED_VALUE"""),"P3 - Medium")</f>
        <v>P3 - Medium</v>
      </c>
      <c r="C254" s="5">
        <f>IFERROR(__xludf.DUMMYFUNCTION("""COMPUTED_VALUE"""),44498.54552083334)</f>
        <v>44498.54552</v>
      </c>
      <c r="D254" s="4" t="str">
        <f>IFERROR(__xludf.DUMMYFUNCTION("""COMPUTED_VALUE"""),"NEW")</f>
        <v>NEW</v>
      </c>
      <c r="E254" s="6">
        <f>IFERROR(__xludf.DUMMYFUNCTION("""COMPUTED_VALUE"""),44649.48670138889)</f>
        <v>44649.4867</v>
      </c>
      <c r="F254" s="4" t="str">
        <f>IFERROR(__xludf.DUMMYFUNCTION("""COMPUTED_VALUE"""),"Yes")</f>
        <v>Yes</v>
      </c>
      <c r="G254" s="4" t="str">
        <f>IFERROR(__xludf.DUMMYFUNCTION("""COMPUTED_VALUE"""),"SUSE Linux Enterprise Server 15 SP4")</f>
        <v>SUSE Linux Enterprise Server 15 SP4</v>
      </c>
      <c r="H254" s="7" t="str">
        <f t="shared" si="3"/>
        <v>NO</v>
      </c>
      <c r="I254" s="7" t="str">
        <f t="shared" si="2"/>
        <v>NO</v>
      </c>
    </row>
    <row r="255">
      <c r="A255" s="4">
        <f>IFERROR(__xludf.DUMMYFUNCTION("""COMPUTED_VALUE"""),1192892.0)</f>
        <v>1192892</v>
      </c>
      <c r="B255" s="4" t="str">
        <f>IFERROR(__xludf.DUMMYFUNCTION("""COMPUTED_VALUE"""),"P3 - Medium")</f>
        <v>P3 - Medium</v>
      </c>
      <c r="C255" s="5">
        <f>IFERROR(__xludf.DUMMYFUNCTION("""COMPUTED_VALUE"""),44519.61372685185)</f>
        <v>44519.61373</v>
      </c>
      <c r="D255" s="4" t="str">
        <f>IFERROR(__xludf.DUMMYFUNCTION("""COMPUTED_VALUE"""),"NEW")</f>
        <v>NEW</v>
      </c>
      <c r="E255" s="6">
        <f>IFERROR(__xludf.DUMMYFUNCTION("""COMPUTED_VALUE"""),44650.57145833333)</f>
        <v>44650.57146</v>
      </c>
      <c r="F255" s="4" t="str">
        <f>IFERROR(__xludf.DUMMYFUNCTION("""COMPUTED_VALUE""")," ---")</f>
        <v> ---</v>
      </c>
      <c r="G255" s="4" t="str">
        <f>IFERROR(__xludf.DUMMYFUNCTION("""COMPUTED_VALUE"""),"SUSE Linux Enterprise Server 15 SP4")</f>
        <v>SUSE Linux Enterprise Server 15 SP4</v>
      </c>
      <c r="H255" s="7" t="str">
        <f t="shared" si="3"/>
        <v>NO</v>
      </c>
      <c r="I255" s="7" t="str">
        <f t="shared" si="2"/>
        <v>NO</v>
      </c>
    </row>
    <row r="256">
      <c r="A256" s="4">
        <f>IFERROR(__xludf.DUMMYFUNCTION("""COMPUTED_VALUE"""),1194393.0)</f>
        <v>1194393</v>
      </c>
      <c r="B256" s="4" t="str">
        <f>IFERROR(__xludf.DUMMYFUNCTION("""COMPUTED_VALUE"""),"P3 - Medium")</f>
        <v>P3 - Medium</v>
      </c>
      <c r="C256" s="5">
        <f>IFERROR(__xludf.DUMMYFUNCTION("""COMPUTED_VALUE"""),44568.48064814815)</f>
        <v>44568.48065</v>
      </c>
      <c r="D256" s="4" t="str">
        <f>IFERROR(__xludf.DUMMYFUNCTION("""COMPUTED_VALUE"""),"NEW")</f>
        <v>NEW</v>
      </c>
      <c r="E256" s="6">
        <f>IFERROR(__xludf.DUMMYFUNCTION("""COMPUTED_VALUE"""),44574.149733796294)</f>
        <v>44574.14973</v>
      </c>
      <c r="F256" s="4" t="str">
        <f>IFERROR(__xludf.DUMMYFUNCTION("""COMPUTED_VALUE""")," ---")</f>
        <v> ---</v>
      </c>
      <c r="G256" s="4" t="str">
        <f>IFERROR(__xludf.DUMMYFUNCTION("""COMPUTED_VALUE"""),"SUSE Linux Enterprise Server 15 SP4")</f>
        <v>SUSE Linux Enterprise Server 15 SP4</v>
      </c>
      <c r="H256" s="7" t="str">
        <f t="shared" si="3"/>
        <v>NO</v>
      </c>
      <c r="I256" s="7" t="str">
        <f t="shared" si="2"/>
        <v>NO</v>
      </c>
    </row>
    <row r="257">
      <c r="A257" s="4">
        <f>IFERROR(__xludf.DUMMYFUNCTION("""COMPUTED_VALUE"""),1194795.0)</f>
        <v>1194795</v>
      </c>
      <c r="B257" s="4" t="str">
        <f>IFERROR(__xludf.DUMMYFUNCTION("""COMPUTED_VALUE"""),"P3 - Medium")</f>
        <v>P3 - Medium</v>
      </c>
      <c r="C257" s="5">
        <f>IFERROR(__xludf.DUMMYFUNCTION("""COMPUTED_VALUE"""),44578.68019675926)</f>
        <v>44578.6802</v>
      </c>
      <c r="D257" s="4" t="str">
        <f>IFERROR(__xludf.DUMMYFUNCTION("""COMPUTED_VALUE"""),"NEW")</f>
        <v>NEW</v>
      </c>
      <c r="E257" s="6">
        <f>IFERROR(__xludf.DUMMYFUNCTION("""COMPUTED_VALUE"""),44664.31414351852)</f>
        <v>44664.31414</v>
      </c>
      <c r="F257" s="4" t="str">
        <f>IFERROR(__xludf.DUMMYFUNCTION("""COMPUTED_VALUE""")," ---")</f>
        <v> ---</v>
      </c>
      <c r="G257" s="4" t="str">
        <f>IFERROR(__xludf.DUMMYFUNCTION("""COMPUTED_VALUE"""),"SUSE Linux Enterprise Server 15 SP4")</f>
        <v>SUSE Linux Enterprise Server 15 SP4</v>
      </c>
      <c r="H257" s="7" t="str">
        <f t="shared" si="3"/>
        <v>NO</v>
      </c>
      <c r="I257" s="7" t="str">
        <f t="shared" si="2"/>
        <v>NO</v>
      </c>
    </row>
    <row r="258">
      <c r="A258" s="4">
        <f>IFERROR(__xludf.DUMMYFUNCTION("""COMPUTED_VALUE"""),1198499.0)</f>
        <v>1198499</v>
      </c>
      <c r="B258" s="4" t="str">
        <f>IFERROR(__xludf.DUMMYFUNCTION("""COMPUTED_VALUE"""),"P3 - Medium")</f>
        <v>P3 - Medium</v>
      </c>
      <c r="C258" s="5">
        <f>IFERROR(__xludf.DUMMYFUNCTION("""COMPUTED_VALUE"""),44665.6403125)</f>
        <v>44665.64031</v>
      </c>
      <c r="D258" s="4" t="str">
        <f>IFERROR(__xludf.DUMMYFUNCTION("""COMPUTED_VALUE"""),"NEW")</f>
        <v>NEW</v>
      </c>
      <c r="E258" s="6">
        <f>IFERROR(__xludf.DUMMYFUNCTION("""COMPUTED_VALUE"""),44687.003333333334)</f>
        <v>44687.00333</v>
      </c>
      <c r="F258" s="4" t="str">
        <f>IFERROR(__xludf.DUMMYFUNCTION("""COMPUTED_VALUE"""),"Yes")</f>
        <v>Yes</v>
      </c>
      <c r="G258" s="4" t="str">
        <f>IFERROR(__xludf.DUMMYFUNCTION("""COMPUTED_VALUE"""),"PUBLIC SUSE Linux Enterprise Server 15 SP4")</f>
        <v>PUBLIC SUSE Linux Enterprise Server 15 SP4</v>
      </c>
      <c r="H258" s="7" t="str">
        <f t="shared" si="3"/>
        <v>NO</v>
      </c>
      <c r="I258" s="7" t="str">
        <f t="shared" si="2"/>
        <v>NO</v>
      </c>
    </row>
    <row r="259">
      <c r="A259" s="4">
        <f>IFERROR(__xludf.DUMMYFUNCTION("""COMPUTED_VALUE"""),1199171.0)</f>
        <v>1199171</v>
      </c>
      <c r="B259" s="4" t="str">
        <f>IFERROR(__xludf.DUMMYFUNCTION("""COMPUTED_VALUE"""),"P3 - Medium")</f>
        <v>P3 - Medium</v>
      </c>
      <c r="C259" s="5">
        <f>IFERROR(__xludf.DUMMYFUNCTION("""COMPUTED_VALUE"""),44684.94274305556)</f>
        <v>44684.94274</v>
      </c>
      <c r="D259" s="4" t="str">
        <f>IFERROR(__xludf.DUMMYFUNCTION("""COMPUTED_VALUE"""),"NEW")</f>
        <v>NEW</v>
      </c>
      <c r="E259" s="6">
        <f>IFERROR(__xludf.DUMMYFUNCTION("""COMPUTED_VALUE"""),44736.405856481484)</f>
        <v>44736.40586</v>
      </c>
      <c r="F259" s="4" t="str">
        <f>IFERROR(__xludf.DUMMYFUNCTION("""COMPUTED_VALUE""")," ---")</f>
        <v> ---</v>
      </c>
      <c r="G259" s="4" t="str">
        <f>IFERROR(__xludf.DUMMYFUNCTION("""COMPUTED_VALUE"""),"SUSE Linux Enterprise Server 15 SP4")</f>
        <v>SUSE Linux Enterprise Server 15 SP4</v>
      </c>
      <c r="H259" s="7" t="str">
        <f t="shared" si="3"/>
        <v>NO</v>
      </c>
      <c r="I259" s="7" t="str">
        <f t="shared" si="2"/>
        <v>NO</v>
      </c>
    </row>
    <row r="260">
      <c r="A260" s="4">
        <f>IFERROR(__xludf.DUMMYFUNCTION("""COMPUTED_VALUE"""),1199556.0)</f>
        <v>1199556</v>
      </c>
      <c r="B260" s="4" t="str">
        <f>IFERROR(__xludf.DUMMYFUNCTION("""COMPUTED_VALUE"""),"P3 - Medium")</f>
        <v>P3 - Medium</v>
      </c>
      <c r="C260" s="5">
        <f>IFERROR(__xludf.DUMMYFUNCTION("""COMPUTED_VALUE"""),44697.29690972222)</f>
        <v>44697.29691</v>
      </c>
      <c r="D260" s="4" t="str">
        <f>IFERROR(__xludf.DUMMYFUNCTION("""COMPUTED_VALUE"""),"NEW")</f>
        <v>NEW</v>
      </c>
      <c r="E260" s="6">
        <f>IFERROR(__xludf.DUMMYFUNCTION("""COMPUTED_VALUE"""),44698.536307870374)</f>
        <v>44698.53631</v>
      </c>
      <c r="F260" s="4" t="str">
        <f>IFERROR(__xludf.DUMMYFUNCTION("""COMPUTED_VALUE"""),"No")</f>
        <v>No</v>
      </c>
      <c r="G260" s="4" t="str">
        <f>IFERROR(__xludf.DUMMYFUNCTION("""COMPUTED_VALUE"""),"PUBLIC SUSE Linux Enterprise Server 15 SP4")</f>
        <v>PUBLIC SUSE Linux Enterprise Server 15 SP4</v>
      </c>
      <c r="H260" s="7" t="str">
        <f t="shared" si="3"/>
        <v>NO</v>
      </c>
      <c r="I260" s="7" t="str">
        <f t="shared" si="2"/>
        <v>NO</v>
      </c>
    </row>
    <row r="261">
      <c r="A261" s="4">
        <f>IFERROR(__xludf.DUMMYFUNCTION("""COMPUTED_VALUE"""),1194869.0)</f>
        <v>1194869</v>
      </c>
      <c r="B261" s="4" t="str">
        <f>IFERROR(__xludf.DUMMYFUNCTION("""COMPUTED_VALUE"""),"P3 - Medium")</f>
        <v>P3 - Medium</v>
      </c>
      <c r="C261" s="5">
        <f>IFERROR(__xludf.DUMMYFUNCTION("""COMPUTED_VALUE"""),44580.39680555555)</f>
        <v>44580.39681</v>
      </c>
      <c r="D261" s="4" t="str">
        <f>IFERROR(__xludf.DUMMYFUNCTION("""COMPUTED_VALUE"""),"NEW")</f>
        <v>NEW</v>
      </c>
      <c r="E261" s="6">
        <f>IFERROR(__xludf.DUMMYFUNCTION("""COMPUTED_VALUE"""),44736.46565972222)</f>
        <v>44736.46566</v>
      </c>
      <c r="F261" s="4" t="str">
        <f>IFERROR(__xludf.DUMMYFUNCTION("""COMPUTED_VALUE""")," ---")</f>
        <v> ---</v>
      </c>
      <c r="G261" s="4" t="str">
        <f>IFERROR(__xludf.DUMMYFUNCTION("""COMPUTED_VALUE"""),"SUSE Linux Enterprise Server 15 SP4")</f>
        <v>SUSE Linux Enterprise Server 15 SP4</v>
      </c>
      <c r="H261" s="7" t="str">
        <f t="shared" si="3"/>
        <v>NO</v>
      </c>
      <c r="I261" s="7" t="str">
        <f t="shared" si="2"/>
        <v>NO</v>
      </c>
    </row>
    <row r="262">
      <c r="A262" s="4">
        <f>IFERROR(__xludf.DUMMYFUNCTION("""COMPUTED_VALUE"""),1192211.0)</f>
        <v>1192211</v>
      </c>
      <c r="B262" s="4" t="str">
        <f>IFERROR(__xludf.DUMMYFUNCTION("""COMPUTED_VALUE"""),"P3 - Medium")</f>
        <v>P3 - Medium</v>
      </c>
      <c r="C262" s="5">
        <f>IFERROR(__xludf.DUMMYFUNCTION("""COMPUTED_VALUE"""),44501.5462962963)</f>
        <v>44501.5463</v>
      </c>
      <c r="D262" s="4" t="str">
        <f>IFERROR(__xludf.DUMMYFUNCTION("""COMPUTED_VALUE"""),"NEW")</f>
        <v>NEW</v>
      </c>
      <c r="E262" s="6">
        <f>IFERROR(__xludf.DUMMYFUNCTION("""COMPUTED_VALUE"""),44725.001805555556)</f>
        <v>44725.00181</v>
      </c>
      <c r="F262" s="4" t="str">
        <f>IFERROR(__xludf.DUMMYFUNCTION("""COMPUTED_VALUE"""),"Yes")</f>
        <v>Yes</v>
      </c>
      <c r="G262" s="4" t="str">
        <f>IFERROR(__xludf.DUMMYFUNCTION("""COMPUTED_VALUE"""),"SUSE Linux Enterprise Server 15 SP4")</f>
        <v>SUSE Linux Enterprise Server 15 SP4</v>
      </c>
      <c r="H262" s="7" t="str">
        <f t="shared" si="3"/>
        <v>NO</v>
      </c>
      <c r="I262" s="7" t="str">
        <f t="shared" si="2"/>
        <v>NO</v>
      </c>
    </row>
    <row r="263">
      <c r="A263" s="4">
        <f>IFERROR(__xludf.DUMMYFUNCTION("""COMPUTED_VALUE"""),1199356.0)</f>
        <v>1199356</v>
      </c>
      <c r="B263" s="4" t="str">
        <f>IFERROR(__xludf.DUMMYFUNCTION("""COMPUTED_VALUE"""),"P3 - Medium")</f>
        <v>P3 - Medium</v>
      </c>
      <c r="C263" s="5">
        <f>IFERROR(__xludf.DUMMYFUNCTION("""COMPUTED_VALUE"""),44690.656064814815)</f>
        <v>44690.65606</v>
      </c>
      <c r="D263" s="4" t="str">
        <f>IFERROR(__xludf.DUMMYFUNCTION("""COMPUTED_VALUE"""),"NEW")</f>
        <v>NEW</v>
      </c>
      <c r="E263" s="6">
        <f>IFERROR(__xludf.DUMMYFUNCTION("""COMPUTED_VALUE"""),44736.92689814815)</f>
        <v>44736.9269</v>
      </c>
      <c r="F263" s="4" t="str">
        <f>IFERROR(__xludf.DUMMYFUNCTION("""COMPUTED_VALUE""")," ---")</f>
        <v> ---</v>
      </c>
      <c r="G263" s="4" t="str">
        <f>IFERROR(__xludf.DUMMYFUNCTION("""COMPUTED_VALUE"""),"SUSE Linux Enterprise Server 15 SP4")</f>
        <v>SUSE Linux Enterprise Server 15 SP4</v>
      </c>
      <c r="H263" s="7" t="str">
        <f t="shared" si="3"/>
        <v>NO</v>
      </c>
      <c r="I263" s="7" t="str">
        <f t="shared" si="2"/>
        <v>NO</v>
      </c>
    </row>
    <row r="264">
      <c r="A264" s="4">
        <f>IFERROR(__xludf.DUMMYFUNCTION("""COMPUTED_VALUE"""),1196607.0)</f>
        <v>1196607</v>
      </c>
      <c r="B264" s="4" t="str">
        <f>IFERROR(__xludf.DUMMYFUNCTION("""COMPUTED_VALUE"""),"P3 - Medium")</f>
        <v>P3 - Medium</v>
      </c>
      <c r="C264" s="5">
        <f>IFERROR(__xludf.DUMMYFUNCTION("""COMPUTED_VALUE"""),44621.539826388886)</f>
        <v>44621.53983</v>
      </c>
      <c r="D264" s="4" t="str">
        <f>IFERROR(__xludf.DUMMYFUNCTION("""COMPUTED_VALUE"""),"NEW")</f>
        <v>NEW</v>
      </c>
      <c r="E264" s="6">
        <f>IFERROR(__xludf.DUMMYFUNCTION("""COMPUTED_VALUE"""),44624.74524305556)</f>
        <v>44624.74524</v>
      </c>
      <c r="F264" s="4" t="str">
        <f>IFERROR(__xludf.DUMMYFUNCTION("""COMPUTED_VALUE""")," ---")</f>
        <v> ---</v>
      </c>
      <c r="G264" s="4" t="str">
        <f>IFERROR(__xludf.DUMMYFUNCTION("""COMPUTED_VALUE"""),"SUSE Linux Enterprise Server 15 SP4")</f>
        <v>SUSE Linux Enterprise Server 15 SP4</v>
      </c>
      <c r="H264" s="7" t="str">
        <f t="shared" si="3"/>
        <v>NO</v>
      </c>
      <c r="I264" s="7" t="str">
        <f t="shared" si="2"/>
        <v>NO</v>
      </c>
    </row>
    <row r="265">
      <c r="A265" s="4">
        <f>IFERROR(__xludf.DUMMYFUNCTION("""COMPUTED_VALUE"""),1198323.0)</f>
        <v>1198323</v>
      </c>
      <c r="B265" s="4" t="str">
        <f>IFERROR(__xludf.DUMMYFUNCTION("""COMPUTED_VALUE"""),"P3 - Medium")</f>
        <v>P3 - Medium</v>
      </c>
      <c r="C265" s="5">
        <f>IFERROR(__xludf.DUMMYFUNCTION("""COMPUTED_VALUE"""),44662.527604166666)</f>
        <v>44662.5276</v>
      </c>
      <c r="D265" s="4" t="str">
        <f>IFERROR(__xludf.DUMMYFUNCTION("""COMPUTED_VALUE"""),"CONFIRMED")</f>
        <v>CONFIRMED</v>
      </c>
      <c r="E265" s="6">
        <f>IFERROR(__xludf.DUMMYFUNCTION("""COMPUTED_VALUE"""),44665.45653935185)</f>
        <v>44665.45654</v>
      </c>
      <c r="F265" s="4" t="str">
        <f>IFERROR(__xludf.DUMMYFUNCTION("""COMPUTED_VALUE""")," ---")</f>
        <v> ---</v>
      </c>
      <c r="G265" s="4" t="str">
        <f>IFERROR(__xludf.DUMMYFUNCTION("""COMPUTED_VALUE"""),"SUSE Linux Enterprise Server 15 SP4")</f>
        <v>SUSE Linux Enterprise Server 15 SP4</v>
      </c>
      <c r="H265" s="7" t="str">
        <f t="shared" si="3"/>
        <v>NO</v>
      </c>
      <c r="I265" s="7" t="str">
        <f t="shared" si="2"/>
        <v>NO</v>
      </c>
    </row>
    <row r="266">
      <c r="A266" s="4">
        <f>IFERROR(__xludf.DUMMYFUNCTION("""COMPUTED_VALUE"""),1193203.0)</f>
        <v>1193203</v>
      </c>
      <c r="B266" s="4" t="str">
        <f>IFERROR(__xludf.DUMMYFUNCTION("""COMPUTED_VALUE"""),"P3 - Medium")</f>
        <v>P3 - Medium</v>
      </c>
      <c r="C266" s="5">
        <f>IFERROR(__xludf.DUMMYFUNCTION("""COMPUTED_VALUE"""),44530.243113425924)</f>
        <v>44530.24311</v>
      </c>
      <c r="D266" s="4" t="str">
        <f>IFERROR(__xludf.DUMMYFUNCTION("""COMPUTED_VALUE"""),"CONFIRMED")</f>
        <v>CONFIRMED</v>
      </c>
      <c r="E266" s="6">
        <f>IFERROR(__xludf.DUMMYFUNCTION("""COMPUTED_VALUE"""),44712.597083333334)</f>
        <v>44712.59708</v>
      </c>
      <c r="F266" s="4" t="str">
        <f>IFERROR(__xludf.DUMMYFUNCTION("""COMPUTED_VALUE""")," ---")</f>
        <v> ---</v>
      </c>
      <c r="G266" s="4" t="str">
        <f>IFERROR(__xludf.DUMMYFUNCTION("""COMPUTED_VALUE"""),"SUSE Linux Enterprise Server 15 SP4")</f>
        <v>SUSE Linux Enterprise Server 15 SP4</v>
      </c>
      <c r="H266" s="7" t="str">
        <f t="shared" si="3"/>
        <v>NO</v>
      </c>
      <c r="I266" s="7" t="str">
        <f t="shared" si="2"/>
        <v>NO</v>
      </c>
    </row>
    <row r="267">
      <c r="A267" s="4">
        <f>IFERROR(__xludf.DUMMYFUNCTION("""COMPUTED_VALUE"""),1192826.0)</f>
        <v>1192826</v>
      </c>
      <c r="B267" s="4" t="str">
        <f>IFERROR(__xludf.DUMMYFUNCTION("""COMPUTED_VALUE"""),"P3 - Medium")</f>
        <v>P3 - Medium</v>
      </c>
      <c r="C267" s="5">
        <f>IFERROR(__xludf.DUMMYFUNCTION("""COMPUTED_VALUE"""),44518.458078703705)</f>
        <v>44518.45808</v>
      </c>
      <c r="D267" s="4" t="str">
        <f>IFERROR(__xludf.DUMMYFUNCTION("""COMPUTED_VALUE"""),"CONFIRMED")</f>
        <v>CONFIRMED</v>
      </c>
      <c r="E267" s="6">
        <f>IFERROR(__xludf.DUMMYFUNCTION("""COMPUTED_VALUE"""),44664.58930555556)</f>
        <v>44664.58931</v>
      </c>
      <c r="F267" s="4" t="str">
        <f>IFERROR(__xludf.DUMMYFUNCTION("""COMPUTED_VALUE""")," ---")</f>
        <v> ---</v>
      </c>
      <c r="G267" s="4" t="str">
        <f>IFERROR(__xludf.DUMMYFUNCTION("""COMPUTED_VALUE"""),"SUSE Linux Enterprise Server 15 SP4")</f>
        <v>SUSE Linux Enterprise Server 15 SP4</v>
      </c>
      <c r="H267" s="7" t="str">
        <f t="shared" si="3"/>
        <v>NO</v>
      </c>
      <c r="I267" s="7" t="str">
        <f t="shared" si="2"/>
        <v>NO</v>
      </c>
    </row>
    <row r="268">
      <c r="A268" s="4">
        <f>IFERROR(__xludf.DUMMYFUNCTION("""COMPUTED_VALUE"""),1195809.0)</f>
        <v>1195809</v>
      </c>
      <c r="B268" s="4" t="str">
        <f>IFERROR(__xludf.DUMMYFUNCTION("""COMPUTED_VALUE"""),"P3 - Medium")</f>
        <v>P3 - Medium</v>
      </c>
      <c r="C268" s="5">
        <f>IFERROR(__xludf.DUMMYFUNCTION("""COMPUTED_VALUE"""),44602.87563657408)</f>
        <v>44602.87564</v>
      </c>
      <c r="D268" s="4" t="str">
        <f>IFERROR(__xludf.DUMMYFUNCTION("""COMPUTED_VALUE"""),"CONFIRMED")</f>
        <v>CONFIRMED</v>
      </c>
      <c r="E268" s="6">
        <f>IFERROR(__xludf.DUMMYFUNCTION("""COMPUTED_VALUE"""),44603.02594907407)</f>
        <v>44603.02595</v>
      </c>
      <c r="F268" s="4" t="str">
        <f>IFERROR(__xludf.DUMMYFUNCTION("""COMPUTED_VALUE""")," ---")</f>
        <v> ---</v>
      </c>
      <c r="G268" s="4" t="str">
        <f>IFERROR(__xludf.DUMMYFUNCTION("""COMPUTED_VALUE"""),"SUSE Linux Enterprise Server 15 SP4")</f>
        <v>SUSE Linux Enterprise Server 15 SP4</v>
      </c>
      <c r="H268" s="7" t="str">
        <f t="shared" si="3"/>
        <v>NO</v>
      </c>
      <c r="I268" s="7" t="str">
        <f t="shared" si="2"/>
        <v>NO</v>
      </c>
    </row>
    <row r="269">
      <c r="A269" s="4">
        <f>IFERROR(__xludf.DUMMYFUNCTION("""COMPUTED_VALUE"""),1196636.0)</f>
        <v>1196636</v>
      </c>
      <c r="B269" s="4" t="str">
        <f>IFERROR(__xludf.DUMMYFUNCTION("""COMPUTED_VALUE"""),"P3 - Medium")</f>
        <v>P3 - Medium</v>
      </c>
      <c r="C269" s="5">
        <f>IFERROR(__xludf.DUMMYFUNCTION("""COMPUTED_VALUE"""),44622.40765046296)</f>
        <v>44622.40765</v>
      </c>
      <c r="D269" s="4" t="str">
        <f>IFERROR(__xludf.DUMMYFUNCTION("""COMPUTED_VALUE"""),"CONFIRMED")</f>
        <v>CONFIRMED</v>
      </c>
      <c r="E269" s="6">
        <f>IFERROR(__xludf.DUMMYFUNCTION("""COMPUTED_VALUE"""),44636.67690972222)</f>
        <v>44636.67691</v>
      </c>
      <c r="F269" s="4" t="str">
        <f>IFERROR(__xludf.DUMMYFUNCTION("""COMPUTED_VALUE""")," ---")</f>
        <v> ---</v>
      </c>
      <c r="G269" s="4" t="str">
        <f>IFERROR(__xludf.DUMMYFUNCTION("""COMPUTED_VALUE"""),"SUSE Linux Enterprise Server 15 SP4")</f>
        <v>SUSE Linux Enterprise Server 15 SP4</v>
      </c>
      <c r="H269" s="7" t="str">
        <f t="shared" si="3"/>
        <v>NO</v>
      </c>
      <c r="I269" s="7" t="str">
        <f t="shared" si="2"/>
        <v>NO</v>
      </c>
    </row>
    <row r="270">
      <c r="A270" s="4">
        <f>IFERROR(__xludf.DUMMYFUNCTION("""COMPUTED_VALUE"""),1194904.0)</f>
        <v>1194904</v>
      </c>
      <c r="B270" s="4" t="str">
        <f>IFERROR(__xludf.DUMMYFUNCTION("""COMPUTED_VALUE"""),"P3 - Medium")</f>
        <v>P3 - Medium</v>
      </c>
      <c r="C270" s="5">
        <f>IFERROR(__xludf.DUMMYFUNCTION("""COMPUTED_VALUE"""),44580.75178240741)</f>
        <v>44580.75178</v>
      </c>
      <c r="D270" s="4" t="str">
        <f>IFERROR(__xludf.DUMMYFUNCTION("""COMPUTED_VALUE"""),"CONFIRMED")</f>
        <v>CONFIRMED</v>
      </c>
      <c r="E270" s="6">
        <f>IFERROR(__xludf.DUMMYFUNCTION("""COMPUTED_VALUE"""),44644.49565972222)</f>
        <v>44644.49566</v>
      </c>
      <c r="F270" s="4" t="str">
        <f>IFERROR(__xludf.DUMMYFUNCTION("""COMPUTED_VALUE""")," ---")</f>
        <v> ---</v>
      </c>
      <c r="G270" s="4" t="str">
        <f>IFERROR(__xludf.DUMMYFUNCTION("""COMPUTED_VALUE"""),"SUSE Linux Enterprise Server 15 SP4")</f>
        <v>SUSE Linux Enterprise Server 15 SP4</v>
      </c>
      <c r="H270" s="7" t="str">
        <f t="shared" si="3"/>
        <v>NO</v>
      </c>
      <c r="I270" s="7" t="str">
        <f t="shared" si="2"/>
        <v>NO</v>
      </c>
    </row>
    <row r="271">
      <c r="A271" s="4">
        <f>IFERROR(__xludf.DUMMYFUNCTION("""COMPUTED_VALUE"""),1196417.0)</f>
        <v>1196417</v>
      </c>
      <c r="B271" s="4" t="str">
        <f>IFERROR(__xludf.DUMMYFUNCTION("""COMPUTED_VALUE"""),"P3 - Medium")</f>
        <v>P3 - Medium</v>
      </c>
      <c r="C271" s="5">
        <f>IFERROR(__xludf.DUMMYFUNCTION("""COMPUTED_VALUE"""),44616.39509259259)</f>
        <v>44616.39509</v>
      </c>
      <c r="D271" s="4" t="str">
        <f>IFERROR(__xludf.DUMMYFUNCTION("""COMPUTED_VALUE"""),"IN_PROGRESS")</f>
        <v>IN_PROGRESS</v>
      </c>
      <c r="E271" s="6">
        <f>IFERROR(__xludf.DUMMYFUNCTION("""COMPUTED_VALUE"""),44628.756261574075)</f>
        <v>44628.75626</v>
      </c>
      <c r="F271" s="4" t="str">
        <f>IFERROR(__xludf.DUMMYFUNCTION("""COMPUTED_VALUE""")," ---")</f>
        <v> ---</v>
      </c>
      <c r="G271" s="4" t="str">
        <f>IFERROR(__xludf.DUMMYFUNCTION("""COMPUTED_VALUE"""),"SUSE Linux Enterprise Server 15 SP4")</f>
        <v>SUSE Linux Enterprise Server 15 SP4</v>
      </c>
      <c r="H271" s="7" t="str">
        <f t="shared" si="3"/>
        <v>NO</v>
      </c>
      <c r="I271" s="7" t="str">
        <f t="shared" si="2"/>
        <v>NO</v>
      </c>
    </row>
    <row r="272">
      <c r="A272" s="4">
        <f>IFERROR(__xludf.DUMMYFUNCTION("""COMPUTED_VALUE"""),1196248.0)</f>
        <v>1196248</v>
      </c>
      <c r="B272" s="4" t="str">
        <f>IFERROR(__xludf.DUMMYFUNCTION("""COMPUTED_VALUE"""),"P3 - Medium")</f>
        <v>P3 - Medium</v>
      </c>
      <c r="C272" s="5">
        <f>IFERROR(__xludf.DUMMYFUNCTION("""COMPUTED_VALUE"""),44613.56984953704)</f>
        <v>44613.56985</v>
      </c>
      <c r="D272" s="4" t="str">
        <f>IFERROR(__xludf.DUMMYFUNCTION("""COMPUTED_VALUE"""),"IN_PROGRESS")</f>
        <v>IN_PROGRESS</v>
      </c>
      <c r="E272" s="6">
        <f>IFERROR(__xludf.DUMMYFUNCTION("""COMPUTED_VALUE"""),44668.49883101852)</f>
        <v>44668.49883</v>
      </c>
      <c r="F272" s="4" t="str">
        <f>IFERROR(__xludf.DUMMYFUNCTION("""COMPUTED_VALUE""")," ---")</f>
        <v> ---</v>
      </c>
      <c r="G272" s="4" t="str">
        <f>IFERROR(__xludf.DUMMYFUNCTION("""COMPUTED_VALUE"""),"SUSE Linux Enterprise Server 15 SP4")</f>
        <v>SUSE Linux Enterprise Server 15 SP4</v>
      </c>
      <c r="H272" s="7" t="str">
        <f t="shared" si="3"/>
        <v>NO</v>
      </c>
      <c r="I272" s="7" t="str">
        <f t="shared" si="2"/>
        <v>NO</v>
      </c>
    </row>
    <row r="273">
      <c r="A273" s="4">
        <f>IFERROR(__xludf.DUMMYFUNCTION("""COMPUTED_VALUE"""),1195352.0)</f>
        <v>1195352</v>
      </c>
      <c r="B273" s="4" t="str">
        <f>IFERROR(__xludf.DUMMYFUNCTION("""COMPUTED_VALUE"""),"P3 - Medium")</f>
        <v>P3 - Medium</v>
      </c>
      <c r="C273" s="5">
        <f>IFERROR(__xludf.DUMMYFUNCTION("""COMPUTED_VALUE"""),44592.643854166665)</f>
        <v>44592.64385</v>
      </c>
      <c r="D273" s="4" t="str">
        <f>IFERROR(__xludf.DUMMYFUNCTION("""COMPUTED_VALUE"""),"IN_PROGRESS")</f>
        <v>IN_PROGRESS</v>
      </c>
      <c r="E273" s="6">
        <f>IFERROR(__xludf.DUMMYFUNCTION("""COMPUTED_VALUE"""),44672.438414351855)</f>
        <v>44672.43841</v>
      </c>
      <c r="F273" s="4" t="str">
        <f>IFERROR(__xludf.DUMMYFUNCTION("""COMPUTED_VALUE""")," ---")</f>
        <v> ---</v>
      </c>
      <c r="G273" s="4" t="str">
        <f>IFERROR(__xludf.DUMMYFUNCTION("""COMPUTED_VALUE"""),"SUSE Linux Enterprise Server 15 SP4")</f>
        <v>SUSE Linux Enterprise Server 15 SP4</v>
      </c>
      <c r="H273" s="7" t="str">
        <f t="shared" si="3"/>
        <v>NO</v>
      </c>
      <c r="I273" s="7" t="str">
        <f t="shared" si="2"/>
        <v>YES</v>
      </c>
    </row>
    <row r="274">
      <c r="A274" s="4">
        <f>IFERROR(__xludf.DUMMYFUNCTION("""COMPUTED_VALUE"""),1190786.0)</f>
        <v>1190786</v>
      </c>
      <c r="B274" s="4" t="str">
        <f>IFERROR(__xludf.DUMMYFUNCTION("""COMPUTED_VALUE"""),"P3 - Medium")</f>
        <v>P3 - Medium</v>
      </c>
      <c r="C274" s="5">
        <f>IFERROR(__xludf.DUMMYFUNCTION("""COMPUTED_VALUE"""),44461.52675925926)</f>
        <v>44461.52676</v>
      </c>
      <c r="D274" s="4" t="str">
        <f>IFERROR(__xludf.DUMMYFUNCTION("""COMPUTED_VALUE"""),"IN_PROGRESS")</f>
        <v>IN_PROGRESS</v>
      </c>
      <c r="E274" s="6">
        <f>IFERROR(__xludf.DUMMYFUNCTION("""COMPUTED_VALUE"""),44736.464421296296)</f>
        <v>44736.46442</v>
      </c>
      <c r="F274" s="4" t="str">
        <f>IFERROR(__xludf.DUMMYFUNCTION("""COMPUTED_VALUE""")," ---")</f>
        <v> ---</v>
      </c>
      <c r="G274" s="4" t="str">
        <f>IFERROR(__xludf.DUMMYFUNCTION("""COMPUTED_VALUE"""),"SUSE Linux Enterprise Server 15 SP4")</f>
        <v>SUSE Linux Enterprise Server 15 SP4</v>
      </c>
      <c r="H274" s="7" t="str">
        <f t="shared" si="3"/>
        <v>NO</v>
      </c>
      <c r="I274" s="7" t="str">
        <f t="shared" si="2"/>
        <v>NO</v>
      </c>
    </row>
    <row r="275">
      <c r="A275" s="4">
        <f>IFERROR(__xludf.DUMMYFUNCTION("""COMPUTED_VALUE"""),1195357.0)</f>
        <v>1195357</v>
      </c>
      <c r="B275" s="4" t="str">
        <f>IFERROR(__xludf.DUMMYFUNCTION("""COMPUTED_VALUE"""),"P3 - Medium")</f>
        <v>P3 - Medium</v>
      </c>
      <c r="C275" s="5">
        <f>IFERROR(__xludf.DUMMYFUNCTION("""COMPUTED_VALUE"""),44592.68079861111)</f>
        <v>44592.6808</v>
      </c>
      <c r="D275" s="4" t="str">
        <f>IFERROR(__xludf.DUMMYFUNCTION("""COMPUTED_VALUE"""),"IN_PROGRESS")</f>
        <v>IN_PROGRESS</v>
      </c>
      <c r="E275" s="6">
        <f>IFERROR(__xludf.DUMMYFUNCTION("""COMPUTED_VALUE"""),44668.49804398148)</f>
        <v>44668.49804</v>
      </c>
      <c r="F275" s="4" t="str">
        <f>IFERROR(__xludf.DUMMYFUNCTION("""COMPUTED_VALUE""")," ---")</f>
        <v> ---</v>
      </c>
      <c r="G275" s="4" t="str">
        <f>IFERROR(__xludf.DUMMYFUNCTION("""COMPUTED_VALUE"""),"SUSE Linux Enterprise Server 15 SP4")</f>
        <v>SUSE Linux Enterprise Server 15 SP4</v>
      </c>
      <c r="H275" s="7" t="str">
        <f t="shared" si="3"/>
        <v>NO</v>
      </c>
      <c r="I275" s="7" t="str">
        <f t="shared" si="2"/>
        <v>YES</v>
      </c>
    </row>
    <row r="276">
      <c r="A276" s="4">
        <f>IFERROR(__xludf.DUMMYFUNCTION("""COMPUTED_VALUE"""),1189584.0)</f>
        <v>1189584</v>
      </c>
      <c r="B276" s="4" t="str">
        <f>IFERROR(__xludf.DUMMYFUNCTION("""COMPUTED_VALUE"""),"P3 - Medium")</f>
        <v>P3 - Medium</v>
      </c>
      <c r="C276" s="5">
        <f>IFERROR(__xludf.DUMMYFUNCTION("""COMPUTED_VALUE"""),44426.591828703706)</f>
        <v>44426.59183</v>
      </c>
      <c r="D276" s="4" t="str">
        <f>IFERROR(__xludf.DUMMYFUNCTION("""COMPUTED_VALUE"""),"RESOLVED")</f>
        <v>RESOLVED</v>
      </c>
      <c r="E276" s="6">
        <f>IFERROR(__xludf.DUMMYFUNCTION("""COMPUTED_VALUE"""),44668.49091435185)</f>
        <v>44668.49091</v>
      </c>
      <c r="F276" s="4" t="str">
        <f>IFERROR(__xludf.DUMMYFUNCTION("""COMPUTED_VALUE""")," ---")</f>
        <v> ---</v>
      </c>
      <c r="G276" s="4" t="str">
        <f>IFERROR(__xludf.DUMMYFUNCTION("""COMPUTED_VALUE"""),"SUSE Linux Enterprise Server 15 SP4")</f>
        <v>SUSE Linux Enterprise Server 15 SP4</v>
      </c>
      <c r="H276" s="7" t="str">
        <f t="shared" si="3"/>
        <v>NO</v>
      </c>
      <c r="I276" s="7" t="str">
        <f t="shared" si="2"/>
        <v>NO</v>
      </c>
    </row>
    <row r="277">
      <c r="A277" s="4">
        <f>IFERROR(__xludf.DUMMYFUNCTION("""COMPUTED_VALUE"""),1190569.0)</f>
        <v>1190569</v>
      </c>
      <c r="B277" s="4" t="str">
        <f>IFERROR(__xludf.DUMMYFUNCTION("""COMPUTED_VALUE"""),"P3 - Medium")</f>
        <v>P3 - Medium</v>
      </c>
      <c r="C277" s="5">
        <f>IFERROR(__xludf.DUMMYFUNCTION("""COMPUTED_VALUE"""),44455.524375)</f>
        <v>44455.52438</v>
      </c>
      <c r="D277" s="4" t="str">
        <f>IFERROR(__xludf.DUMMYFUNCTION("""COMPUTED_VALUE"""),"RESOLVED")</f>
        <v>RESOLVED</v>
      </c>
      <c r="E277" s="6">
        <f>IFERROR(__xludf.DUMMYFUNCTION("""COMPUTED_VALUE"""),44668.49233796296)</f>
        <v>44668.49234</v>
      </c>
      <c r="F277" s="4" t="str">
        <f>IFERROR(__xludf.DUMMYFUNCTION("""COMPUTED_VALUE""")," ---")</f>
        <v> ---</v>
      </c>
      <c r="G277" s="4" t="str">
        <f>IFERROR(__xludf.DUMMYFUNCTION("""COMPUTED_VALUE"""),"SUSE Linux Enterprise Server 15 SP4")</f>
        <v>SUSE Linux Enterprise Server 15 SP4</v>
      </c>
      <c r="H277" s="7" t="str">
        <f t="shared" si="3"/>
        <v>NO</v>
      </c>
      <c r="I277" s="7" t="str">
        <f t="shared" si="2"/>
        <v>NO</v>
      </c>
    </row>
    <row r="278">
      <c r="A278" s="4">
        <f>IFERROR(__xludf.DUMMYFUNCTION("""COMPUTED_VALUE"""),1190576.0)</f>
        <v>1190576</v>
      </c>
      <c r="B278" s="4" t="str">
        <f>IFERROR(__xludf.DUMMYFUNCTION("""COMPUTED_VALUE"""),"P3 - Medium")</f>
        <v>P3 - Medium</v>
      </c>
      <c r="C278" s="5">
        <f>IFERROR(__xludf.DUMMYFUNCTION("""COMPUTED_VALUE"""),44455.602847222224)</f>
        <v>44455.60285</v>
      </c>
      <c r="D278" s="4" t="str">
        <f>IFERROR(__xludf.DUMMYFUNCTION("""COMPUTED_VALUE"""),"RESOLVED")</f>
        <v>RESOLVED</v>
      </c>
      <c r="E278" s="6">
        <f>IFERROR(__xludf.DUMMYFUNCTION("""COMPUTED_VALUE"""),44487.68607638889)</f>
        <v>44487.68608</v>
      </c>
      <c r="F278" s="4" t="str">
        <f>IFERROR(__xludf.DUMMYFUNCTION("""COMPUTED_VALUE""")," ---")</f>
        <v> ---</v>
      </c>
      <c r="G278" s="4" t="str">
        <f>IFERROR(__xludf.DUMMYFUNCTION("""COMPUTED_VALUE"""),"SUSE Linux Enterprise Server 15 SP4")</f>
        <v>SUSE Linux Enterprise Server 15 SP4</v>
      </c>
      <c r="H278" s="7" t="str">
        <f t="shared" si="3"/>
        <v>NO</v>
      </c>
      <c r="I278" s="7" t="str">
        <f t="shared" si="2"/>
        <v>NO</v>
      </c>
    </row>
    <row r="279">
      <c r="A279" s="4">
        <f>IFERROR(__xludf.DUMMYFUNCTION("""COMPUTED_VALUE"""),1191649.0)</f>
        <v>1191649</v>
      </c>
      <c r="B279" s="4" t="str">
        <f>IFERROR(__xludf.DUMMYFUNCTION("""COMPUTED_VALUE"""),"P3 - Medium")</f>
        <v>P3 - Medium</v>
      </c>
      <c r="C279" s="5">
        <f>IFERROR(__xludf.DUMMYFUNCTION("""COMPUTED_VALUE"""),44483.39685185185)</f>
        <v>44483.39685</v>
      </c>
      <c r="D279" s="4" t="str">
        <f>IFERROR(__xludf.DUMMYFUNCTION("""COMPUTED_VALUE"""),"RESOLVED")</f>
        <v>RESOLVED</v>
      </c>
      <c r="E279" s="6">
        <f>IFERROR(__xludf.DUMMYFUNCTION("""COMPUTED_VALUE"""),44668.49303240741)</f>
        <v>44668.49303</v>
      </c>
      <c r="F279" s="4" t="str">
        <f>IFERROR(__xludf.DUMMYFUNCTION("""COMPUTED_VALUE""")," ---")</f>
        <v> ---</v>
      </c>
      <c r="G279" s="4" t="str">
        <f>IFERROR(__xludf.DUMMYFUNCTION("""COMPUTED_VALUE"""),"SUSE Linux Enterprise Server 15 SP4")</f>
        <v>SUSE Linux Enterprise Server 15 SP4</v>
      </c>
      <c r="H279" s="7" t="str">
        <f t="shared" si="3"/>
        <v>NO</v>
      </c>
      <c r="I279" s="7" t="str">
        <f t="shared" si="2"/>
        <v>NO</v>
      </c>
    </row>
    <row r="280">
      <c r="A280" s="4">
        <f>IFERROR(__xludf.DUMMYFUNCTION("""COMPUTED_VALUE"""),1192890.0)</f>
        <v>1192890</v>
      </c>
      <c r="B280" s="4" t="str">
        <f>IFERROR(__xludf.DUMMYFUNCTION("""COMPUTED_VALUE"""),"P3 - Medium")</f>
        <v>P3 - Medium</v>
      </c>
      <c r="C280" s="5">
        <f>IFERROR(__xludf.DUMMYFUNCTION("""COMPUTED_VALUE"""),44519.60706018518)</f>
        <v>44519.60706</v>
      </c>
      <c r="D280" s="4" t="str">
        <f>IFERROR(__xludf.DUMMYFUNCTION("""COMPUTED_VALUE"""),"RESOLVED")</f>
        <v>RESOLVED</v>
      </c>
      <c r="E280" s="6">
        <f>IFERROR(__xludf.DUMMYFUNCTION("""COMPUTED_VALUE"""),44608.57685185185)</f>
        <v>44608.57685</v>
      </c>
      <c r="F280" s="4" t="str">
        <f>IFERROR(__xludf.DUMMYFUNCTION("""COMPUTED_VALUE""")," ---")</f>
        <v> ---</v>
      </c>
      <c r="G280" s="4" t="str">
        <f>IFERROR(__xludf.DUMMYFUNCTION("""COMPUTED_VALUE"""),"SUSE Linux Enterprise Server 15 SP4")</f>
        <v>SUSE Linux Enterprise Server 15 SP4</v>
      </c>
      <c r="H280" s="7" t="str">
        <f t="shared" si="3"/>
        <v>NO</v>
      </c>
      <c r="I280" s="7" t="str">
        <f t="shared" si="2"/>
        <v>NO</v>
      </c>
    </row>
    <row r="281">
      <c r="A281" s="4">
        <f>IFERROR(__xludf.DUMMYFUNCTION("""COMPUTED_VALUE"""),1194266.0)</f>
        <v>1194266</v>
      </c>
      <c r="B281" s="4" t="str">
        <f>IFERROR(__xludf.DUMMYFUNCTION("""COMPUTED_VALUE"""),"P3 - Medium")</f>
        <v>P3 - Medium</v>
      </c>
      <c r="C281" s="5">
        <f>IFERROR(__xludf.DUMMYFUNCTION("""COMPUTED_VALUE"""),44564.7559375)</f>
        <v>44564.75594</v>
      </c>
      <c r="D281" s="4" t="str">
        <f>IFERROR(__xludf.DUMMYFUNCTION("""COMPUTED_VALUE"""),"RESOLVED")</f>
        <v>RESOLVED</v>
      </c>
      <c r="E281" s="6">
        <f>IFERROR(__xludf.DUMMYFUNCTION("""COMPUTED_VALUE"""),44621.855775462966)</f>
        <v>44621.85578</v>
      </c>
      <c r="F281" s="4" t="str">
        <f>IFERROR(__xludf.DUMMYFUNCTION("""COMPUTED_VALUE""")," ---")</f>
        <v> ---</v>
      </c>
      <c r="G281" s="4" t="str">
        <f>IFERROR(__xludf.DUMMYFUNCTION("""COMPUTED_VALUE"""),"SUSE Linux Enterprise Server 15 SP4")</f>
        <v>SUSE Linux Enterprise Server 15 SP4</v>
      </c>
      <c r="H281" s="7" t="str">
        <f t="shared" si="3"/>
        <v>YES</v>
      </c>
      <c r="I281" s="7" t="str">
        <f t="shared" si="2"/>
        <v>NO</v>
      </c>
    </row>
    <row r="282">
      <c r="A282" s="4">
        <f>IFERROR(__xludf.DUMMYFUNCTION("""COMPUTED_VALUE"""),1197661.0)</f>
        <v>1197661</v>
      </c>
      <c r="B282" s="4" t="str">
        <f>IFERROR(__xludf.DUMMYFUNCTION("""COMPUTED_VALUE"""),"P3 - Medium")</f>
        <v>P3 - Medium</v>
      </c>
      <c r="C282" s="5">
        <f>IFERROR(__xludf.DUMMYFUNCTION("""COMPUTED_VALUE"""),44649.70431712963)</f>
        <v>44649.70432</v>
      </c>
      <c r="D282" s="4" t="str">
        <f>IFERROR(__xludf.DUMMYFUNCTION("""COMPUTED_VALUE"""),"RESOLVED")</f>
        <v>RESOLVED</v>
      </c>
      <c r="E282" s="6">
        <f>IFERROR(__xludf.DUMMYFUNCTION("""COMPUTED_VALUE"""),44736.46839120371)</f>
        <v>44736.46839</v>
      </c>
      <c r="F282" s="4" t="str">
        <f>IFERROR(__xludf.DUMMYFUNCTION("""COMPUTED_VALUE""")," ---")</f>
        <v> ---</v>
      </c>
      <c r="G282" s="4" t="str">
        <f>IFERROR(__xludf.DUMMYFUNCTION("""COMPUTED_VALUE"""),"SUSE Linux Enterprise Server 15 SP4")</f>
        <v>SUSE Linux Enterprise Server 15 SP4</v>
      </c>
      <c r="H282" s="7" t="str">
        <f t="shared" si="3"/>
        <v>NO</v>
      </c>
      <c r="I282" s="7" t="str">
        <f t="shared" si="2"/>
        <v>NO</v>
      </c>
    </row>
    <row r="283">
      <c r="A283" s="4">
        <f>IFERROR(__xludf.DUMMYFUNCTION("""COMPUTED_VALUE"""),1197675.0)</f>
        <v>1197675</v>
      </c>
      <c r="B283" s="4" t="str">
        <f>IFERROR(__xludf.DUMMYFUNCTION("""COMPUTED_VALUE"""),"P3 - Medium")</f>
        <v>P3 - Medium</v>
      </c>
      <c r="C283" s="5">
        <f>IFERROR(__xludf.DUMMYFUNCTION("""COMPUTED_VALUE"""),44650.278495370374)</f>
        <v>44650.2785</v>
      </c>
      <c r="D283" s="4" t="str">
        <f>IFERROR(__xludf.DUMMYFUNCTION("""COMPUTED_VALUE"""),"RESOLVED")</f>
        <v>RESOLVED</v>
      </c>
      <c r="E283" s="6">
        <f>IFERROR(__xludf.DUMMYFUNCTION("""COMPUTED_VALUE"""),44736.68258101852)</f>
        <v>44736.68258</v>
      </c>
      <c r="F283" s="4" t="str">
        <f>IFERROR(__xludf.DUMMYFUNCTION("""COMPUTED_VALUE""")," ---")</f>
        <v> ---</v>
      </c>
      <c r="G283" s="4" t="str">
        <f>IFERROR(__xludf.DUMMYFUNCTION("""COMPUTED_VALUE"""),"SUSE Linux Enterprise Server 15 SP4")</f>
        <v>SUSE Linux Enterprise Server 15 SP4</v>
      </c>
      <c r="H283" s="7" t="str">
        <f t="shared" si="3"/>
        <v>NO</v>
      </c>
      <c r="I283" s="7" t="str">
        <f t="shared" si="2"/>
        <v>NO</v>
      </c>
    </row>
    <row r="284">
      <c r="A284" s="4">
        <f>IFERROR(__xludf.DUMMYFUNCTION("""COMPUTED_VALUE"""),1190759.0)</f>
        <v>1190759</v>
      </c>
      <c r="B284" s="4" t="str">
        <f>IFERROR(__xludf.DUMMYFUNCTION("""COMPUTED_VALUE"""),"P3 - Medium")</f>
        <v>P3 - Medium</v>
      </c>
      <c r="C284" s="5">
        <f>IFERROR(__xludf.DUMMYFUNCTION("""COMPUTED_VALUE"""),44461.10121527778)</f>
        <v>44461.10122</v>
      </c>
      <c r="D284" s="4" t="str">
        <f>IFERROR(__xludf.DUMMYFUNCTION("""COMPUTED_VALUE"""),"RESOLVED")</f>
        <v>RESOLVED</v>
      </c>
      <c r="E284" s="6">
        <f>IFERROR(__xludf.DUMMYFUNCTION("""COMPUTED_VALUE"""),44668.4924537037)</f>
        <v>44668.49245</v>
      </c>
      <c r="F284" s="4" t="str">
        <f>IFERROR(__xludf.DUMMYFUNCTION("""COMPUTED_VALUE""")," ---")</f>
        <v> ---</v>
      </c>
      <c r="G284" s="4" t="str">
        <f>IFERROR(__xludf.DUMMYFUNCTION("""COMPUTED_VALUE"""),"SUSE Linux Enterprise Server 15 SP4")</f>
        <v>SUSE Linux Enterprise Server 15 SP4</v>
      </c>
      <c r="H284" s="7" t="str">
        <f t="shared" si="3"/>
        <v>NO</v>
      </c>
      <c r="I284" s="7" t="str">
        <f t="shared" si="2"/>
        <v>NO</v>
      </c>
    </row>
    <row r="285">
      <c r="A285" s="4">
        <f>IFERROR(__xludf.DUMMYFUNCTION("""COMPUTED_VALUE"""),1195936.0)</f>
        <v>1195936</v>
      </c>
      <c r="B285" s="4" t="str">
        <f>IFERROR(__xludf.DUMMYFUNCTION("""COMPUTED_VALUE"""),"P3 - Medium")</f>
        <v>P3 - Medium</v>
      </c>
      <c r="C285" s="5">
        <f>IFERROR(__xludf.DUMMYFUNCTION("""COMPUTED_VALUE"""),44607.177569444444)</f>
        <v>44607.17757</v>
      </c>
      <c r="D285" s="4" t="str">
        <f>IFERROR(__xludf.DUMMYFUNCTION("""COMPUTED_VALUE"""),"RESOLVED")</f>
        <v>RESOLVED</v>
      </c>
      <c r="E285" s="6">
        <f>IFERROR(__xludf.DUMMYFUNCTION("""COMPUTED_VALUE"""),44627.58211805556)</f>
        <v>44627.58212</v>
      </c>
      <c r="F285" s="4" t="str">
        <f>IFERROR(__xludf.DUMMYFUNCTION("""COMPUTED_VALUE""")," ---")</f>
        <v> ---</v>
      </c>
      <c r="G285" s="4" t="str">
        <f>IFERROR(__xludf.DUMMYFUNCTION("""COMPUTED_VALUE"""),"SUSE Linux Enterprise Server 15 SP4")</f>
        <v>SUSE Linux Enterprise Server 15 SP4</v>
      </c>
      <c r="H285" s="7" t="str">
        <f t="shared" si="3"/>
        <v>NO</v>
      </c>
      <c r="I285" s="7" t="str">
        <f t="shared" si="2"/>
        <v>NO</v>
      </c>
    </row>
    <row r="286">
      <c r="A286" s="4">
        <f>IFERROR(__xludf.DUMMYFUNCTION("""COMPUTED_VALUE"""),1193202.0)</f>
        <v>1193202</v>
      </c>
      <c r="B286" s="4" t="str">
        <f>IFERROR(__xludf.DUMMYFUNCTION("""COMPUTED_VALUE"""),"P3 - Medium")</f>
        <v>P3 - Medium</v>
      </c>
      <c r="C286" s="5">
        <f>IFERROR(__xludf.DUMMYFUNCTION("""COMPUTED_VALUE"""),44530.239895833336)</f>
        <v>44530.2399</v>
      </c>
      <c r="D286" s="4" t="str">
        <f>IFERROR(__xludf.DUMMYFUNCTION("""COMPUTED_VALUE"""),"RESOLVED")</f>
        <v>RESOLVED</v>
      </c>
      <c r="E286" s="6">
        <f>IFERROR(__xludf.DUMMYFUNCTION("""COMPUTED_VALUE"""),44601.39263888889)</f>
        <v>44601.39264</v>
      </c>
      <c r="F286" s="4" t="str">
        <f>IFERROR(__xludf.DUMMYFUNCTION("""COMPUTED_VALUE""")," ---")</f>
        <v> ---</v>
      </c>
      <c r="G286" s="4" t="str">
        <f>IFERROR(__xludf.DUMMYFUNCTION("""COMPUTED_VALUE"""),"SUSE Linux Enterprise Server 15 SP4")</f>
        <v>SUSE Linux Enterprise Server 15 SP4</v>
      </c>
      <c r="H286" s="7" t="str">
        <f t="shared" si="3"/>
        <v>NO</v>
      </c>
      <c r="I286" s="7" t="str">
        <f t="shared" si="2"/>
        <v>NO</v>
      </c>
    </row>
    <row r="287">
      <c r="A287" s="4">
        <f>IFERROR(__xludf.DUMMYFUNCTION("""COMPUTED_VALUE"""),1193206.0)</f>
        <v>1193206</v>
      </c>
      <c r="B287" s="4" t="str">
        <f>IFERROR(__xludf.DUMMYFUNCTION("""COMPUTED_VALUE"""),"P3 - Medium")</f>
        <v>P3 - Medium</v>
      </c>
      <c r="C287" s="5">
        <f>IFERROR(__xludf.DUMMYFUNCTION("""COMPUTED_VALUE"""),44530.256886574076)</f>
        <v>44530.25689</v>
      </c>
      <c r="D287" s="4" t="str">
        <f>IFERROR(__xludf.DUMMYFUNCTION("""COMPUTED_VALUE"""),"RESOLVED")</f>
        <v>RESOLVED</v>
      </c>
      <c r="E287" s="6">
        <f>IFERROR(__xludf.DUMMYFUNCTION("""COMPUTED_VALUE"""),44629.0190625)</f>
        <v>44629.01906</v>
      </c>
      <c r="F287" s="4" t="str">
        <f>IFERROR(__xludf.DUMMYFUNCTION("""COMPUTED_VALUE""")," ---")</f>
        <v> ---</v>
      </c>
      <c r="G287" s="4" t="str">
        <f>IFERROR(__xludf.DUMMYFUNCTION("""COMPUTED_VALUE"""),"SUSE Linux Enterprise Server 15 SP4")</f>
        <v>SUSE Linux Enterprise Server 15 SP4</v>
      </c>
      <c r="H287" s="7" t="str">
        <f t="shared" si="3"/>
        <v>NO</v>
      </c>
      <c r="I287" s="7" t="str">
        <f t="shared" si="2"/>
        <v>NO</v>
      </c>
    </row>
    <row r="288">
      <c r="A288" s="4">
        <f>IFERROR(__xludf.DUMMYFUNCTION("""COMPUTED_VALUE"""),1195104.0)</f>
        <v>1195104</v>
      </c>
      <c r="B288" s="4" t="str">
        <f>IFERROR(__xludf.DUMMYFUNCTION("""COMPUTED_VALUE"""),"P3 - Medium")</f>
        <v>P3 - Medium</v>
      </c>
      <c r="C288" s="5">
        <f>IFERROR(__xludf.DUMMYFUNCTION("""COMPUTED_VALUE"""),44586.68884259259)</f>
        <v>44586.68884</v>
      </c>
      <c r="D288" s="4" t="str">
        <f>IFERROR(__xludf.DUMMYFUNCTION("""COMPUTED_VALUE"""),"RESOLVED")</f>
        <v>RESOLVED</v>
      </c>
      <c r="E288" s="6">
        <f>IFERROR(__xludf.DUMMYFUNCTION("""COMPUTED_VALUE"""),44629.018900462965)</f>
        <v>44629.0189</v>
      </c>
      <c r="F288" s="4" t="str">
        <f>IFERROR(__xludf.DUMMYFUNCTION("""COMPUTED_VALUE""")," ---")</f>
        <v> ---</v>
      </c>
      <c r="G288" s="4" t="str">
        <f>IFERROR(__xludf.DUMMYFUNCTION("""COMPUTED_VALUE"""),"SUSE Linux Enterprise Server 15 SP4")</f>
        <v>SUSE Linux Enterprise Server 15 SP4</v>
      </c>
      <c r="H288" s="7" t="str">
        <f t="shared" si="3"/>
        <v>NO</v>
      </c>
      <c r="I288" s="7" t="str">
        <f t="shared" si="2"/>
        <v>NO</v>
      </c>
    </row>
    <row r="289">
      <c r="A289" s="4">
        <f>IFERROR(__xludf.DUMMYFUNCTION("""COMPUTED_VALUE"""),1193320.0)</f>
        <v>1193320</v>
      </c>
      <c r="B289" s="4" t="str">
        <f>IFERROR(__xludf.DUMMYFUNCTION("""COMPUTED_VALUE"""),"P3 - Medium")</f>
        <v>P3 - Medium</v>
      </c>
      <c r="C289" s="5">
        <f>IFERROR(__xludf.DUMMYFUNCTION("""COMPUTED_VALUE"""),44532.48336805555)</f>
        <v>44532.48337</v>
      </c>
      <c r="D289" s="4" t="str">
        <f>IFERROR(__xludf.DUMMYFUNCTION("""COMPUTED_VALUE"""),"RESOLVED")</f>
        <v>RESOLVED</v>
      </c>
      <c r="E289" s="6">
        <f>IFERROR(__xludf.DUMMYFUNCTION("""COMPUTED_VALUE"""),44707.37196759259)</f>
        <v>44707.37197</v>
      </c>
      <c r="F289" s="4" t="str">
        <f>IFERROR(__xludf.DUMMYFUNCTION("""COMPUTED_VALUE""")," ---")</f>
        <v> ---</v>
      </c>
      <c r="G289" s="4" t="str">
        <f>IFERROR(__xludf.DUMMYFUNCTION("""COMPUTED_VALUE"""),"SUSE Linux Enterprise Server 15 SP4")</f>
        <v>SUSE Linux Enterprise Server 15 SP4</v>
      </c>
      <c r="H289" s="7" t="str">
        <f t="shared" si="3"/>
        <v>NO</v>
      </c>
      <c r="I289" s="7" t="str">
        <f t="shared" si="2"/>
        <v>NO</v>
      </c>
    </row>
    <row r="290">
      <c r="A290" s="4">
        <f>IFERROR(__xludf.DUMMYFUNCTION("""COMPUTED_VALUE"""),1193329.0)</f>
        <v>1193329</v>
      </c>
      <c r="B290" s="4" t="str">
        <f>IFERROR(__xludf.DUMMYFUNCTION("""COMPUTED_VALUE"""),"P3 - Medium")</f>
        <v>P3 - Medium</v>
      </c>
      <c r="C290" s="5">
        <f>IFERROR(__xludf.DUMMYFUNCTION("""COMPUTED_VALUE"""),44532.610081018516)</f>
        <v>44532.61008</v>
      </c>
      <c r="D290" s="4" t="str">
        <f>IFERROR(__xludf.DUMMYFUNCTION("""COMPUTED_VALUE"""),"RESOLVED")</f>
        <v>RESOLVED</v>
      </c>
      <c r="E290" s="6">
        <f>IFERROR(__xludf.DUMMYFUNCTION("""COMPUTED_VALUE"""),44668.494791666664)</f>
        <v>44668.49479</v>
      </c>
      <c r="F290" s="4" t="str">
        <f>IFERROR(__xludf.DUMMYFUNCTION("""COMPUTED_VALUE""")," ---")</f>
        <v> ---</v>
      </c>
      <c r="G290" s="4" t="str">
        <f>IFERROR(__xludf.DUMMYFUNCTION("""COMPUTED_VALUE"""),"SUSE Linux Enterprise Server 15 SP4")</f>
        <v>SUSE Linux Enterprise Server 15 SP4</v>
      </c>
      <c r="H290" s="7" t="str">
        <f t="shared" si="3"/>
        <v>NO</v>
      </c>
      <c r="I290" s="7" t="str">
        <f t="shared" si="2"/>
        <v>NO</v>
      </c>
    </row>
    <row r="291">
      <c r="A291" s="4">
        <f>IFERROR(__xludf.DUMMYFUNCTION("""COMPUTED_VALUE"""),1194346.0)</f>
        <v>1194346</v>
      </c>
      <c r="B291" s="4" t="str">
        <f>IFERROR(__xludf.DUMMYFUNCTION("""COMPUTED_VALUE"""),"P3 - Medium")</f>
        <v>P3 - Medium</v>
      </c>
      <c r="C291" s="5">
        <f>IFERROR(__xludf.DUMMYFUNCTION("""COMPUTED_VALUE"""),44566.62461805555)</f>
        <v>44566.62462</v>
      </c>
      <c r="D291" s="4" t="str">
        <f>IFERROR(__xludf.DUMMYFUNCTION("""COMPUTED_VALUE"""),"RESOLVED")</f>
        <v>RESOLVED</v>
      </c>
      <c r="E291" s="6">
        <f>IFERROR(__xludf.DUMMYFUNCTION("""COMPUTED_VALUE"""),44668.49601851852)</f>
        <v>44668.49602</v>
      </c>
      <c r="F291" s="4" t="str">
        <f>IFERROR(__xludf.DUMMYFUNCTION("""COMPUTED_VALUE""")," ---")</f>
        <v> ---</v>
      </c>
      <c r="G291" s="4" t="str">
        <f>IFERROR(__xludf.DUMMYFUNCTION("""COMPUTED_VALUE"""),"SUSE Linux Enterprise Server 15 SP4")</f>
        <v>SUSE Linux Enterprise Server 15 SP4</v>
      </c>
      <c r="H291" s="7" t="str">
        <f t="shared" si="3"/>
        <v>YES</v>
      </c>
      <c r="I291" s="7" t="str">
        <f t="shared" si="2"/>
        <v>NO</v>
      </c>
    </row>
    <row r="292">
      <c r="A292" s="4">
        <f>IFERROR(__xludf.DUMMYFUNCTION("""COMPUTED_VALUE"""),1189074.0)</f>
        <v>1189074</v>
      </c>
      <c r="B292" s="4" t="str">
        <f>IFERROR(__xludf.DUMMYFUNCTION("""COMPUTED_VALUE"""),"P3 - Medium")</f>
        <v>P3 - Medium</v>
      </c>
      <c r="C292" s="5">
        <f>IFERROR(__xludf.DUMMYFUNCTION("""COMPUTED_VALUE"""),44412.57929398148)</f>
        <v>44412.57929</v>
      </c>
      <c r="D292" s="4" t="str">
        <f>IFERROR(__xludf.DUMMYFUNCTION("""COMPUTED_VALUE"""),"RESOLVED")</f>
        <v>RESOLVED</v>
      </c>
      <c r="E292" s="6">
        <f>IFERROR(__xludf.DUMMYFUNCTION("""COMPUTED_VALUE"""),44668.490798611114)</f>
        <v>44668.4908</v>
      </c>
      <c r="F292" s="4" t="str">
        <f>IFERROR(__xludf.DUMMYFUNCTION("""COMPUTED_VALUE""")," ---")</f>
        <v> ---</v>
      </c>
      <c r="G292" s="4" t="str">
        <f>IFERROR(__xludf.DUMMYFUNCTION("""COMPUTED_VALUE"""),"SUSE Linux Enterprise Server 15 SP4")</f>
        <v>SUSE Linux Enterprise Server 15 SP4</v>
      </c>
      <c r="H292" s="7" t="str">
        <f t="shared" si="3"/>
        <v>NO</v>
      </c>
      <c r="I292" s="7" t="str">
        <f t="shared" si="2"/>
        <v>NO</v>
      </c>
    </row>
    <row r="293">
      <c r="A293" s="4">
        <f>IFERROR(__xludf.DUMMYFUNCTION("""COMPUTED_VALUE"""),1189671.0)</f>
        <v>1189671</v>
      </c>
      <c r="B293" s="4" t="str">
        <f>IFERROR(__xludf.DUMMYFUNCTION("""COMPUTED_VALUE"""),"P3 - Medium")</f>
        <v>P3 - Medium</v>
      </c>
      <c r="C293" s="5">
        <f>IFERROR(__xludf.DUMMYFUNCTION("""COMPUTED_VALUE"""),44428.76231481481)</f>
        <v>44428.76231</v>
      </c>
      <c r="D293" s="4" t="str">
        <f>IFERROR(__xludf.DUMMYFUNCTION("""COMPUTED_VALUE"""),"RESOLVED")</f>
        <v>RESOLVED</v>
      </c>
      <c r="E293" s="6">
        <f>IFERROR(__xludf.DUMMYFUNCTION("""COMPUTED_VALUE"""),44668.490949074076)</f>
        <v>44668.49095</v>
      </c>
      <c r="F293" s="4" t="str">
        <f>IFERROR(__xludf.DUMMYFUNCTION("""COMPUTED_VALUE""")," ---")</f>
        <v> ---</v>
      </c>
      <c r="G293" s="4" t="str">
        <f>IFERROR(__xludf.DUMMYFUNCTION("""COMPUTED_VALUE"""),"SUSE Linux Enterprise Server 15 SP4")</f>
        <v>SUSE Linux Enterprise Server 15 SP4</v>
      </c>
      <c r="H293" s="7" t="str">
        <f t="shared" si="3"/>
        <v>NO</v>
      </c>
      <c r="I293" s="7" t="str">
        <f t="shared" si="2"/>
        <v>NO</v>
      </c>
    </row>
    <row r="294">
      <c r="A294" s="4">
        <f>IFERROR(__xludf.DUMMYFUNCTION("""COMPUTED_VALUE"""),1189685.0)</f>
        <v>1189685</v>
      </c>
      <c r="B294" s="4" t="str">
        <f>IFERROR(__xludf.DUMMYFUNCTION("""COMPUTED_VALUE"""),"P3 - Medium")</f>
        <v>P3 - Medium</v>
      </c>
      <c r="C294" s="5">
        <f>IFERROR(__xludf.DUMMYFUNCTION("""COMPUTED_VALUE"""),44429.55662037037)</f>
        <v>44429.55662</v>
      </c>
      <c r="D294" s="4" t="str">
        <f>IFERROR(__xludf.DUMMYFUNCTION("""COMPUTED_VALUE"""),"RESOLVED")</f>
        <v>RESOLVED</v>
      </c>
      <c r="E294" s="6">
        <f>IFERROR(__xludf.DUMMYFUNCTION("""COMPUTED_VALUE"""),44668.4909837963)</f>
        <v>44668.49098</v>
      </c>
      <c r="F294" s="4" t="str">
        <f>IFERROR(__xludf.DUMMYFUNCTION("""COMPUTED_VALUE""")," ---")</f>
        <v> ---</v>
      </c>
      <c r="G294" s="4" t="str">
        <f>IFERROR(__xludf.DUMMYFUNCTION("""COMPUTED_VALUE"""),"SUSE Linux Enterprise Server 15 SP4")</f>
        <v>SUSE Linux Enterprise Server 15 SP4</v>
      </c>
      <c r="H294" s="7" t="str">
        <f t="shared" si="3"/>
        <v>NO</v>
      </c>
      <c r="I294" s="7" t="str">
        <f t="shared" si="2"/>
        <v>NO</v>
      </c>
    </row>
    <row r="295">
      <c r="A295" s="4">
        <f>IFERROR(__xludf.DUMMYFUNCTION("""COMPUTED_VALUE"""),1189689.0)</f>
        <v>1189689</v>
      </c>
      <c r="B295" s="4" t="str">
        <f>IFERROR(__xludf.DUMMYFUNCTION("""COMPUTED_VALUE"""),"P3 - Medium")</f>
        <v>P3 - Medium</v>
      </c>
      <c r="C295" s="5">
        <f>IFERROR(__xludf.DUMMYFUNCTION("""COMPUTED_VALUE"""),44430.062060185184)</f>
        <v>44430.06206</v>
      </c>
      <c r="D295" s="4" t="str">
        <f>IFERROR(__xludf.DUMMYFUNCTION("""COMPUTED_VALUE"""),"RESOLVED")</f>
        <v>RESOLVED</v>
      </c>
      <c r="E295" s="6">
        <f>IFERROR(__xludf.DUMMYFUNCTION("""COMPUTED_VALUE"""),44668.49103009259)</f>
        <v>44668.49103</v>
      </c>
      <c r="F295" s="4" t="str">
        <f>IFERROR(__xludf.DUMMYFUNCTION("""COMPUTED_VALUE""")," ---")</f>
        <v> ---</v>
      </c>
      <c r="G295" s="4" t="str">
        <f>IFERROR(__xludf.DUMMYFUNCTION("""COMPUTED_VALUE"""),"SUSE Linux Enterprise Server 15 SP4")</f>
        <v>SUSE Linux Enterprise Server 15 SP4</v>
      </c>
      <c r="H295" s="7" t="str">
        <f t="shared" si="3"/>
        <v>NO</v>
      </c>
      <c r="I295" s="7" t="str">
        <f t="shared" si="2"/>
        <v>NO</v>
      </c>
    </row>
    <row r="296">
      <c r="A296" s="4">
        <f>IFERROR(__xludf.DUMMYFUNCTION("""COMPUTED_VALUE"""),1189690.0)</f>
        <v>1189690</v>
      </c>
      <c r="B296" s="4" t="str">
        <f>IFERROR(__xludf.DUMMYFUNCTION("""COMPUTED_VALUE"""),"P3 - Medium")</f>
        <v>P3 - Medium</v>
      </c>
      <c r="C296" s="5">
        <f>IFERROR(__xludf.DUMMYFUNCTION("""COMPUTED_VALUE"""),44430.06486111111)</f>
        <v>44430.06486</v>
      </c>
      <c r="D296" s="4" t="str">
        <f>IFERROR(__xludf.DUMMYFUNCTION("""COMPUTED_VALUE"""),"RESOLVED")</f>
        <v>RESOLVED</v>
      </c>
      <c r="E296" s="6">
        <f>IFERROR(__xludf.DUMMYFUNCTION("""COMPUTED_VALUE"""),44668.491064814814)</f>
        <v>44668.49106</v>
      </c>
      <c r="F296" s="4" t="str">
        <f>IFERROR(__xludf.DUMMYFUNCTION("""COMPUTED_VALUE""")," ---")</f>
        <v> ---</v>
      </c>
      <c r="G296" s="4" t="str">
        <f>IFERROR(__xludf.DUMMYFUNCTION("""COMPUTED_VALUE"""),"SUSE Linux Enterprise Server 15 SP4")</f>
        <v>SUSE Linux Enterprise Server 15 SP4</v>
      </c>
      <c r="H296" s="7" t="str">
        <f t="shared" si="3"/>
        <v>NO</v>
      </c>
      <c r="I296" s="7" t="str">
        <f t="shared" si="2"/>
        <v>NO</v>
      </c>
    </row>
    <row r="297">
      <c r="A297" s="4">
        <f>IFERROR(__xludf.DUMMYFUNCTION("""COMPUTED_VALUE"""),1189693.0)</f>
        <v>1189693</v>
      </c>
      <c r="B297" s="4" t="str">
        <f>IFERROR(__xludf.DUMMYFUNCTION("""COMPUTED_VALUE"""),"P3 - Medium")</f>
        <v>P3 - Medium</v>
      </c>
      <c r="C297" s="5">
        <f>IFERROR(__xludf.DUMMYFUNCTION("""COMPUTED_VALUE"""),44430.09070601852)</f>
        <v>44430.09071</v>
      </c>
      <c r="D297" s="4" t="str">
        <f>IFERROR(__xludf.DUMMYFUNCTION("""COMPUTED_VALUE"""),"RESOLVED")</f>
        <v>RESOLVED</v>
      </c>
      <c r="E297" s="6">
        <f>IFERROR(__xludf.DUMMYFUNCTION("""COMPUTED_VALUE"""),44668.49109953704)</f>
        <v>44668.4911</v>
      </c>
      <c r="F297" s="4" t="str">
        <f>IFERROR(__xludf.DUMMYFUNCTION("""COMPUTED_VALUE""")," ---")</f>
        <v> ---</v>
      </c>
      <c r="G297" s="4" t="str">
        <f>IFERROR(__xludf.DUMMYFUNCTION("""COMPUTED_VALUE"""),"SUSE Linux Enterprise Server 15 SP4")</f>
        <v>SUSE Linux Enterprise Server 15 SP4</v>
      </c>
      <c r="H297" s="7" t="str">
        <f t="shared" si="3"/>
        <v>NO</v>
      </c>
      <c r="I297" s="7" t="str">
        <f t="shared" si="2"/>
        <v>NO</v>
      </c>
    </row>
    <row r="298">
      <c r="A298" s="4">
        <f>IFERROR(__xludf.DUMMYFUNCTION("""COMPUTED_VALUE"""),1189694.0)</f>
        <v>1189694</v>
      </c>
      <c r="B298" s="4" t="str">
        <f>IFERROR(__xludf.DUMMYFUNCTION("""COMPUTED_VALUE"""),"P3 - Medium")</f>
        <v>P3 - Medium</v>
      </c>
      <c r="C298" s="5">
        <f>IFERROR(__xludf.DUMMYFUNCTION("""COMPUTED_VALUE"""),44430.096504629626)</f>
        <v>44430.0965</v>
      </c>
      <c r="D298" s="4" t="str">
        <f>IFERROR(__xludf.DUMMYFUNCTION("""COMPUTED_VALUE"""),"RESOLVED")</f>
        <v>RESOLVED</v>
      </c>
      <c r="E298" s="6">
        <f>IFERROR(__xludf.DUMMYFUNCTION("""COMPUTED_VALUE"""),44668.49113425926)</f>
        <v>44668.49113</v>
      </c>
      <c r="F298" s="4" t="str">
        <f>IFERROR(__xludf.DUMMYFUNCTION("""COMPUTED_VALUE""")," ---")</f>
        <v> ---</v>
      </c>
      <c r="G298" s="4" t="str">
        <f>IFERROR(__xludf.DUMMYFUNCTION("""COMPUTED_VALUE"""),"SUSE Linux Enterprise Server 15 SP4")</f>
        <v>SUSE Linux Enterprise Server 15 SP4</v>
      </c>
      <c r="H298" s="7" t="str">
        <f t="shared" si="3"/>
        <v>NO</v>
      </c>
      <c r="I298" s="7" t="str">
        <f t="shared" si="2"/>
        <v>NO</v>
      </c>
    </row>
    <row r="299">
      <c r="A299" s="4">
        <f>IFERROR(__xludf.DUMMYFUNCTION("""COMPUTED_VALUE"""),1189695.0)</f>
        <v>1189695</v>
      </c>
      <c r="B299" s="4" t="str">
        <f>IFERROR(__xludf.DUMMYFUNCTION("""COMPUTED_VALUE"""),"P3 - Medium")</f>
        <v>P3 - Medium</v>
      </c>
      <c r="C299" s="5">
        <f>IFERROR(__xludf.DUMMYFUNCTION("""COMPUTED_VALUE"""),44430.10188657408)</f>
        <v>44430.10189</v>
      </c>
      <c r="D299" s="4" t="str">
        <f>IFERROR(__xludf.DUMMYFUNCTION("""COMPUTED_VALUE"""),"RESOLVED")</f>
        <v>RESOLVED</v>
      </c>
      <c r="E299" s="6">
        <f>IFERROR(__xludf.DUMMYFUNCTION("""COMPUTED_VALUE"""),44668.49116898148)</f>
        <v>44668.49117</v>
      </c>
      <c r="F299" s="4" t="str">
        <f>IFERROR(__xludf.DUMMYFUNCTION("""COMPUTED_VALUE""")," ---")</f>
        <v> ---</v>
      </c>
      <c r="G299" s="4" t="str">
        <f>IFERROR(__xludf.DUMMYFUNCTION("""COMPUTED_VALUE"""),"SUSE Linux Enterprise Server 15 SP4")</f>
        <v>SUSE Linux Enterprise Server 15 SP4</v>
      </c>
      <c r="H299" s="7" t="str">
        <f t="shared" si="3"/>
        <v>NO</v>
      </c>
      <c r="I299" s="7" t="str">
        <f t="shared" si="2"/>
        <v>NO</v>
      </c>
    </row>
    <row r="300">
      <c r="A300" s="4">
        <f>IFERROR(__xludf.DUMMYFUNCTION("""COMPUTED_VALUE"""),1192547.0)</f>
        <v>1192547</v>
      </c>
      <c r="B300" s="4" t="str">
        <f>IFERROR(__xludf.DUMMYFUNCTION("""COMPUTED_VALUE"""),"P3 - Medium")</f>
        <v>P3 - Medium</v>
      </c>
      <c r="C300" s="5">
        <f>IFERROR(__xludf.DUMMYFUNCTION("""COMPUTED_VALUE"""),44510.535578703704)</f>
        <v>44510.53558</v>
      </c>
      <c r="D300" s="4" t="str">
        <f>IFERROR(__xludf.DUMMYFUNCTION("""COMPUTED_VALUE"""),"RESOLVED")</f>
        <v>RESOLVED</v>
      </c>
      <c r="E300" s="6">
        <f>IFERROR(__xludf.DUMMYFUNCTION("""COMPUTED_VALUE"""),44668.49361111111)</f>
        <v>44668.49361</v>
      </c>
      <c r="F300" s="4" t="str">
        <f>IFERROR(__xludf.DUMMYFUNCTION("""COMPUTED_VALUE""")," ---")</f>
        <v> ---</v>
      </c>
      <c r="G300" s="4" t="str">
        <f>IFERROR(__xludf.DUMMYFUNCTION("""COMPUTED_VALUE"""),"SUSE Linux Enterprise Server 15 SP4")</f>
        <v>SUSE Linux Enterprise Server 15 SP4</v>
      </c>
      <c r="H300" s="7" t="str">
        <f t="shared" si="3"/>
        <v>NO</v>
      </c>
      <c r="I300" s="7" t="str">
        <f t="shared" si="2"/>
        <v>NO</v>
      </c>
    </row>
    <row r="301">
      <c r="A301" s="4">
        <f>IFERROR(__xludf.DUMMYFUNCTION("""COMPUTED_VALUE"""),1192724.0)</f>
        <v>1192724</v>
      </c>
      <c r="B301" s="4" t="str">
        <f>IFERROR(__xludf.DUMMYFUNCTION("""COMPUTED_VALUE"""),"P3 - Medium")</f>
        <v>P3 - Medium</v>
      </c>
      <c r="C301" s="5">
        <f>IFERROR(__xludf.DUMMYFUNCTION("""COMPUTED_VALUE"""),44515.829513888886)</f>
        <v>44515.82951</v>
      </c>
      <c r="D301" s="4" t="str">
        <f>IFERROR(__xludf.DUMMYFUNCTION("""COMPUTED_VALUE"""),"RESOLVED")</f>
        <v>RESOLVED</v>
      </c>
      <c r="E301" s="6">
        <f>IFERROR(__xludf.DUMMYFUNCTION("""COMPUTED_VALUE"""),44668.493842592594)</f>
        <v>44668.49384</v>
      </c>
      <c r="F301" s="4" t="str">
        <f>IFERROR(__xludf.DUMMYFUNCTION("""COMPUTED_VALUE""")," ---")</f>
        <v> ---</v>
      </c>
      <c r="G301" s="4" t="str">
        <f>IFERROR(__xludf.DUMMYFUNCTION("""COMPUTED_VALUE"""),"SUSE Linux Enterprise Server 15 SP4")</f>
        <v>SUSE Linux Enterprise Server 15 SP4</v>
      </c>
      <c r="H301" s="7" t="str">
        <f t="shared" si="3"/>
        <v>NO</v>
      </c>
      <c r="I301" s="7" t="str">
        <f t="shared" si="2"/>
        <v>NO</v>
      </c>
    </row>
    <row r="302">
      <c r="A302" s="4">
        <f>IFERROR(__xludf.DUMMYFUNCTION("""COMPUTED_VALUE"""),1189076.0)</f>
        <v>1189076</v>
      </c>
      <c r="B302" s="4" t="str">
        <f>IFERROR(__xludf.DUMMYFUNCTION("""COMPUTED_VALUE"""),"P3 - Medium")</f>
        <v>P3 - Medium</v>
      </c>
      <c r="C302" s="5">
        <f>IFERROR(__xludf.DUMMYFUNCTION("""COMPUTED_VALUE"""),44412.58703703704)</f>
        <v>44412.58704</v>
      </c>
      <c r="D302" s="4" t="str">
        <f>IFERROR(__xludf.DUMMYFUNCTION("""COMPUTED_VALUE"""),"RESOLVED")</f>
        <v>RESOLVED</v>
      </c>
      <c r="E302" s="6">
        <f>IFERROR(__xludf.DUMMYFUNCTION("""COMPUTED_VALUE"""),44668.49083333334)</f>
        <v>44668.49083</v>
      </c>
      <c r="F302" s="4" t="str">
        <f>IFERROR(__xludf.DUMMYFUNCTION("""COMPUTED_VALUE""")," ---")</f>
        <v> ---</v>
      </c>
      <c r="G302" s="4" t="str">
        <f>IFERROR(__xludf.DUMMYFUNCTION("""COMPUTED_VALUE"""),"SUSE Linux Enterprise Server 15 SP4")</f>
        <v>SUSE Linux Enterprise Server 15 SP4</v>
      </c>
      <c r="H302" s="7" t="str">
        <f t="shared" si="3"/>
        <v>NO</v>
      </c>
      <c r="I302" s="7" t="str">
        <f t="shared" si="2"/>
        <v>NO</v>
      </c>
    </row>
    <row r="303">
      <c r="A303" s="4">
        <f>IFERROR(__xludf.DUMMYFUNCTION("""COMPUTED_VALUE"""),1191536.0)</f>
        <v>1191536</v>
      </c>
      <c r="B303" s="4" t="str">
        <f>IFERROR(__xludf.DUMMYFUNCTION("""COMPUTED_VALUE"""),"P3 - Medium")</f>
        <v>P3 - Medium</v>
      </c>
      <c r="C303" s="5">
        <f>IFERROR(__xludf.DUMMYFUNCTION("""COMPUTED_VALUE"""),44480.41805555556)</f>
        <v>44480.41806</v>
      </c>
      <c r="D303" s="4" t="str">
        <f>IFERROR(__xludf.DUMMYFUNCTION("""COMPUTED_VALUE"""),"RESOLVED")</f>
        <v>RESOLVED</v>
      </c>
      <c r="E303" s="6">
        <f>IFERROR(__xludf.DUMMYFUNCTION("""COMPUTED_VALUE"""),44585.51230324074)</f>
        <v>44585.5123</v>
      </c>
      <c r="F303" s="4" t="str">
        <f>IFERROR(__xludf.DUMMYFUNCTION("""COMPUTED_VALUE"""),"Yes")</f>
        <v>Yes</v>
      </c>
      <c r="G303" s="4" t="str">
        <f>IFERROR(__xludf.DUMMYFUNCTION("""COMPUTED_VALUE"""),"SUSE Linux Enterprise Server 15 SP4")</f>
        <v>SUSE Linux Enterprise Server 15 SP4</v>
      </c>
      <c r="H303" s="7" t="str">
        <f t="shared" si="3"/>
        <v>NO</v>
      </c>
      <c r="I303" s="7" t="str">
        <f t="shared" si="2"/>
        <v>NO</v>
      </c>
    </row>
    <row r="304">
      <c r="A304" s="4">
        <f>IFERROR(__xludf.DUMMYFUNCTION("""COMPUTED_VALUE"""),1193302.0)</f>
        <v>1193302</v>
      </c>
      <c r="B304" s="4" t="str">
        <f>IFERROR(__xludf.DUMMYFUNCTION("""COMPUTED_VALUE"""),"P3 - Medium")</f>
        <v>P3 - Medium</v>
      </c>
      <c r="C304" s="5">
        <f>IFERROR(__xludf.DUMMYFUNCTION("""COMPUTED_VALUE"""),44531.88618055556)</f>
        <v>44531.88618</v>
      </c>
      <c r="D304" s="4" t="str">
        <f>IFERROR(__xludf.DUMMYFUNCTION("""COMPUTED_VALUE"""),"RESOLVED")</f>
        <v>RESOLVED</v>
      </c>
      <c r="E304" s="6">
        <f>IFERROR(__xludf.DUMMYFUNCTION("""COMPUTED_VALUE"""),44668.49475694444)</f>
        <v>44668.49476</v>
      </c>
      <c r="F304" s="4" t="str">
        <f>IFERROR(__xludf.DUMMYFUNCTION("""COMPUTED_VALUE""")," ---")</f>
        <v> ---</v>
      </c>
      <c r="G304" s="4" t="str">
        <f>IFERROR(__xludf.DUMMYFUNCTION("""COMPUTED_VALUE"""),"SUSE Linux Enterprise Server 15 SP4")</f>
        <v>SUSE Linux Enterprise Server 15 SP4</v>
      </c>
      <c r="H304" s="7" t="str">
        <f t="shared" si="3"/>
        <v>NO</v>
      </c>
      <c r="I304" s="7" t="str">
        <f t="shared" si="2"/>
        <v>NO</v>
      </c>
    </row>
    <row r="305">
      <c r="A305" s="4">
        <f>IFERROR(__xludf.DUMMYFUNCTION("""COMPUTED_VALUE"""),1194659.0)</f>
        <v>1194659</v>
      </c>
      <c r="B305" s="4" t="str">
        <f>IFERROR(__xludf.DUMMYFUNCTION("""COMPUTED_VALUE"""),"P3 - Medium")</f>
        <v>P3 - Medium</v>
      </c>
      <c r="C305" s="5">
        <f>IFERROR(__xludf.DUMMYFUNCTION("""COMPUTED_VALUE"""),44574.724965277775)</f>
        <v>44574.72497</v>
      </c>
      <c r="D305" s="4" t="str">
        <f>IFERROR(__xludf.DUMMYFUNCTION("""COMPUTED_VALUE"""),"RESOLVED")</f>
        <v>RESOLVED</v>
      </c>
      <c r="E305" s="6">
        <f>IFERROR(__xludf.DUMMYFUNCTION("""COMPUTED_VALUE"""),44668.49673611111)</f>
        <v>44668.49674</v>
      </c>
      <c r="F305" s="4" t="str">
        <f>IFERROR(__xludf.DUMMYFUNCTION("""COMPUTED_VALUE""")," ---")</f>
        <v> ---</v>
      </c>
      <c r="G305" s="4" t="str">
        <f>IFERROR(__xludf.DUMMYFUNCTION("""COMPUTED_VALUE"""),"PUBLIC SUSE Linux Enterprise Server 15 SP4")</f>
        <v>PUBLIC SUSE Linux Enterprise Server 15 SP4</v>
      </c>
      <c r="H305" s="7" t="str">
        <f t="shared" si="3"/>
        <v>NO</v>
      </c>
      <c r="I305" s="7" t="str">
        <f t="shared" si="2"/>
        <v>NO</v>
      </c>
    </row>
    <row r="306">
      <c r="A306" s="4">
        <f>IFERROR(__xludf.DUMMYFUNCTION("""COMPUTED_VALUE"""),1195413.0)</f>
        <v>1195413</v>
      </c>
      <c r="B306" s="4" t="str">
        <f>IFERROR(__xludf.DUMMYFUNCTION("""COMPUTED_VALUE"""),"P3 - Medium")</f>
        <v>P3 - Medium</v>
      </c>
      <c r="C306" s="5">
        <f>IFERROR(__xludf.DUMMYFUNCTION("""COMPUTED_VALUE"""),44594.29219907407)</f>
        <v>44594.2922</v>
      </c>
      <c r="D306" s="4" t="str">
        <f>IFERROR(__xludf.DUMMYFUNCTION("""COMPUTED_VALUE"""),"RESOLVED")</f>
        <v>RESOLVED</v>
      </c>
      <c r="E306" s="6">
        <f>IFERROR(__xludf.DUMMYFUNCTION("""COMPUTED_VALUE"""),44636.16061342593)</f>
        <v>44636.16061</v>
      </c>
      <c r="F306" s="4" t="str">
        <f>IFERROR(__xludf.DUMMYFUNCTION("""COMPUTED_VALUE""")," ---")</f>
        <v> ---</v>
      </c>
      <c r="G306" s="4" t="str">
        <f>IFERROR(__xludf.DUMMYFUNCTION("""COMPUTED_VALUE"""),"SUSE Linux Enterprise Server 15 SP4")</f>
        <v>SUSE Linux Enterprise Server 15 SP4</v>
      </c>
      <c r="H306" s="7" t="str">
        <f t="shared" si="3"/>
        <v>NO</v>
      </c>
      <c r="I306" s="7" t="str">
        <f t="shared" si="2"/>
        <v>YES</v>
      </c>
    </row>
    <row r="307">
      <c r="A307" s="4">
        <f>IFERROR(__xludf.DUMMYFUNCTION("""COMPUTED_VALUE"""),1196263.0)</f>
        <v>1196263</v>
      </c>
      <c r="B307" s="4" t="str">
        <f>IFERROR(__xludf.DUMMYFUNCTION("""COMPUTED_VALUE"""),"P3 - Medium")</f>
        <v>P3 - Medium</v>
      </c>
      <c r="C307" s="5">
        <f>IFERROR(__xludf.DUMMYFUNCTION("""COMPUTED_VALUE"""),44613.743726851855)</f>
        <v>44613.74373</v>
      </c>
      <c r="D307" s="4" t="str">
        <f>IFERROR(__xludf.DUMMYFUNCTION("""COMPUTED_VALUE"""),"RESOLVED")</f>
        <v>RESOLVED</v>
      </c>
      <c r="E307" s="6">
        <f>IFERROR(__xludf.DUMMYFUNCTION("""COMPUTED_VALUE"""),44642.409467592595)</f>
        <v>44642.40947</v>
      </c>
      <c r="F307" s="4" t="str">
        <f>IFERROR(__xludf.DUMMYFUNCTION("""COMPUTED_VALUE""")," ---")</f>
        <v> ---</v>
      </c>
      <c r="G307" s="4" t="str">
        <f>IFERROR(__xludf.DUMMYFUNCTION("""COMPUTED_VALUE"""),"SUSE Linux Enterprise Server 15 SP4")</f>
        <v>SUSE Linux Enterprise Server 15 SP4</v>
      </c>
      <c r="H307" s="7" t="str">
        <f t="shared" si="3"/>
        <v>NO</v>
      </c>
      <c r="I307" s="7" t="str">
        <f t="shared" si="2"/>
        <v>NO</v>
      </c>
    </row>
    <row r="308">
      <c r="A308" s="4">
        <f>IFERROR(__xludf.DUMMYFUNCTION("""COMPUTED_VALUE"""),1197064.0)</f>
        <v>1197064</v>
      </c>
      <c r="B308" s="4" t="str">
        <f>IFERROR(__xludf.DUMMYFUNCTION("""COMPUTED_VALUE"""),"P3 - Medium")</f>
        <v>P3 - Medium</v>
      </c>
      <c r="C308" s="5">
        <f>IFERROR(__xludf.DUMMYFUNCTION("""COMPUTED_VALUE"""),44634.37024305556)</f>
        <v>44634.37024</v>
      </c>
      <c r="D308" s="4" t="str">
        <f>IFERROR(__xludf.DUMMYFUNCTION("""COMPUTED_VALUE"""),"RESOLVED")</f>
        <v>RESOLVED</v>
      </c>
      <c r="E308" s="6">
        <f>IFERROR(__xludf.DUMMYFUNCTION("""COMPUTED_VALUE"""),44643.6421412037)</f>
        <v>44643.64214</v>
      </c>
      <c r="F308" s="4" t="str">
        <f>IFERROR(__xludf.DUMMYFUNCTION("""COMPUTED_VALUE""")," ---")</f>
        <v> ---</v>
      </c>
      <c r="G308" s="4" t="str">
        <f>IFERROR(__xludf.DUMMYFUNCTION("""COMPUTED_VALUE"""),"SUSE Linux Enterprise Server 15 SP4")</f>
        <v>SUSE Linux Enterprise Server 15 SP4</v>
      </c>
      <c r="H308" s="7" t="str">
        <f t="shared" si="3"/>
        <v>NO</v>
      </c>
      <c r="I308" s="7" t="str">
        <f t="shared" si="2"/>
        <v>NO</v>
      </c>
    </row>
    <row r="309">
      <c r="A309" s="4">
        <f>IFERROR(__xludf.DUMMYFUNCTION("""COMPUTED_VALUE"""),1198393.0)</f>
        <v>1198393</v>
      </c>
      <c r="B309" s="4" t="str">
        <f>IFERROR(__xludf.DUMMYFUNCTION("""COMPUTED_VALUE"""),"P3 - Medium")</f>
        <v>P3 - Medium</v>
      </c>
      <c r="C309" s="5">
        <f>IFERROR(__xludf.DUMMYFUNCTION("""COMPUTED_VALUE"""),44663.5259375)</f>
        <v>44663.52594</v>
      </c>
      <c r="D309" s="4" t="str">
        <f>IFERROR(__xludf.DUMMYFUNCTION("""COMPUTED_VALUE"""),"RESOLVED")</f>
        <v>RESOLVED</v>
      </c>
      <c r="E309" s="6">
        <f>IFERROR(__xludf.DUMMYFUNCTION("""COMPUTED_VALUE"""),44664.35296296296)</f>
        <v>44664.35296</v>
      </c>
      <c r="F309" s="4" t="str">
        <f>IFERROR(__xludf.DUMMYFUNCTION("""COMPUTED_VALUE""")," ---")</f>
        <v> ---</v>
      </c>
      <c r="G309" s="4" t="str">
        <f>IFERROR(__xludf.DUMMYFUNCTION("""COMPUTED_VALUE"""),"SUSE Linux Enterprise Server 15 SP4")</f>
        <v>SUSE Linux Enterprise Server 15 SP4</v>
      </c>
      <c r="H309" s="7" t="str">
        <f t="shared" si="3"/>
        <v>NO</v>
      </c>
      <c r="I309" s="7" t="str">
        <f t="shared" si="2"/>
        <v>NO</v>
      </c>
    </row>
    <row r="310">
      <c r="A310" s="4">
        <f>IFERROR(__xludf.DUMMYFUNCTION("""COMPUTED_VALUE"""),1199787.0)</f>
        <v>1199787</v>
      </c>
      <c r="B310" s="4" t="str">
        <f>IFERROR(__xludf.DUMMYFUNCTION("""COMPUTED_VALUE"""),"P3 - Medium")</f>
        <v>P3 - Medium</v>
      </c>
      <c r="C310" s="5">
        <f>IFERROR(__xludf.DUMMYFUNCTION("""COMPUTED_VALUE"""),44701.68681712963)</f>
        <v>44701.68682</v>
      </c>
      <c r="D310" s="4" t="str">
        <f>IFERROR(__xludf.DUMMYFUNCTION("""COMPUTED_VALUE"""),"RESOLVED")</f>
        <v>RESOLVED</v>
      </c>
      <c r="E310" s="6">
        <f>IFERROR(__xludf.DUMMYFUNCTION("""COMPUTED_VALUE"""),44704.49329861111)</f>
        <v>44704.4933</v>
      </c>
      <c r="F310" s="4" t="str">
        <f>IFERROR(__xludf.DUMMYFUNCTION("""COMPUTED_VALUE""")," ---")</f>
        <v> ---</v>
      </c>
      <c r="G310" s="4" t="str">
        <f>IFERROR(__xludf.DUMMYFUNCTION("""COMPUTED_VALUE"""),"SUSE Linux Enterprise Server 15 SP4")</f>
        <v>SUSE Linux Enterprise Server 15 SP4</v>
      </c>
      <c r="H310" s="7" t="str">
        <f t="shared" si="3"/>
        <v>NO</v>
      </c>
      <c r="I310" s="7" t="str">
        <f t="shared" si="2"/>
        <v>NO</v>
      </c>
    </row>
    <row r="311">
      <c r="A311" s="4">
        <f>IFERROR(__xludf.DUMMYFUNCTION("""COMPUTED_VALUE"""),1200420.0)</f>
        <v>1200420</v>
      </c>
      <c r="B311" s="4" t="str">
        <f>IFERROR(__xludf.DUMMYFUNCTION("""COMPUTED_VALUE"""),"P3 - Medium")</f>
        <v>P3 - Medium</v>
      </c>
      <c r="C311" s="5">
        <f>IFERROR(__xludf.DUMMYFUNCTION("""COMPUTED_VALUE"""),44722.541354166664)</f>
        <v>44722.54135</v>
      </c>
      <c r="D311" s="4" t="str">
        <f>IFERROR(__xludf.DUMMYFUNCTION("""COMPUTED_VALUE"""),"RESOLVED")</f>
        <v>RESOLVED</v>
      </c>
      <c r="E311" s="6">
        <f>IFERROR(__xludf.DUMMYFUNCTION("""COMPUTED_VALUE"""),44736.47288194444)</f>
        <v>44736.47288</v>
      </c>
      <c r="F311" s="4" t="str">
        <f>IFERROR(__xludf.DUMMYFUNCTION("""COMPUTED_VALUE""")," ---")</f>
        <v> ---</v>
      </c>
      <c r="G311" s="4" t="str">
        <f>IFERROR(__xludf.DUMMYFUNCTION("""COMPUTED_VALUE"""),"SUSE Linux Enterprise Server 15 SP4")</f>
        <v>SUSE Linux Enterprise Server 15 SP4</v>
      </c>
      <c r="H311" s="7" t="str">
        <f t="shared" si="3"/>
        <v>NO</v>
      </c>
      <c r="I311" s="7" t="str">
        <f t="shared" si="2"/>
        <v>NO</v>
      </c>
    </row>
    <row r="312">
      <c r="A312" s="4">
        <f>IFERROR(__xludf.DUMMYFUNCTION("""COMPUTED_VALUE"""),1190137.0)</f>
        <v>1190137</v>
      </c>
      <c r="B312" s="4" t="str">
        <f>IFERROR(__xludf.DUMMYFUNCTION("""COMPUTED_VALUE"""),"P3 - Medium")</f>
        <v>P3 - Medium</v>
      </c>
      <c r="C312" s="5">
        <f>IFERROR(__xludf.DUMMYFUNCTION("""COMPUTED_VALUE"""),44441.91724537037)</f>
        <v>44441.91725</v>
      </c>
      <c r="D312" s="4" t="str">
        <f>IFERROR(__xludf.DUMMYFUNCTION("""COMPUTED_VALUE"""),"RESOLVED")</f>
        <v>RESOLVED</v>
      </c>
      <c r="E312" s="6">
        <f>IFERROR(__xludf.DUMMYFUNCTION("""COMPUTED_VALUE"""),44736.464212962965)</f>
        <v>44736.46421</v>
      </c>
      <c r="F312" s="4" t="str">
        <f>IFERROR(__xludf.DUMMYFUNCTION("""COMPUTED_VALUE""")," ---")</f>
        <v> ---</v>
      </c>
      <c r="G312" s="4" t="str">
        <f>IFERROR(__xludf.DUMMYFUNCTION("""COMPUTED_VALUE"""),"SUSE Linux Enterprise Server 15 SP4")</f>
        <v>SUSE Linux Enterprise Server 15 SP4</v>
      </c>
      <c r="H312" s="7" t="str">
        <f t="shared" si="3"/>
        <v>NO</v>
      </c>
      <c r="I312" s="7" t="str">
        <f t="shared" si="2"/>
        <v>NO</v>
      </c>
    </row>
    <row r="313">
      <c r="A313" s="4">
        <f>IFERROR(__xludf.DUMMYFUNCTION("""COMPUTED_VALUE"""),1200533.0)</f>
        <v>1200533</v>
      </c>
      <c r="B313" s="4" t="str">
        <f>IFERROR(__xludf.DUMMYFUNCTION("""COMPUTED_VALUE"""),"P3 - Medium")</f>
        <v>P3 - Medium</v>
      </c>
      <c r="C313" s="5">
        <f>IFERROR(__xludf.DUMMYFUNCTION("""COMPUTED_VALUE"""),44726.73983796296)</f>
        <v>44726.73984</v>
      </c>
      <c r="D313" s="4" t="str">
        <f>IFERROR(__xludf.DUMMYFUNCTION("""COMPUTED_VALUE"""),"RESOLVED")</f>
        <v>RESOLVED</v>
      </c>
      <c r="E313" s="6">
        <f>IFERROR(__xludf.DUMMYFUNCTION("""COMPUTED_VALUE"""),44727.30768518519)</f>
        <v>44727.30769</v>
      </c>
      <c r="F313" s="4" t="str">
        <f>IFERROR(__xludf.DUMMYFUNCTION("""COMPUTED_VALUE""")," ---")</f>
        <v> ---</v>
      </c>
      <c r="G313" s="4" t="str">
        <f>IFERROR(__xludf.DUMMYFUNCTION("""COMPUTED_VALUE"""),"SUSE Linux Enterprise Real Time 15 SP4")</f>
        <v>SUSE Linux Enterprise Real Time 15 SP4</v>
      </c>
      <c r="H313" s="7" t="str">
        <f t="shared" si="3"/>
        <v>NO</v>
      </c>
      <c r="I313" s="7" t="str">
        <f t="shared" si="2"/>
        <v>NO</v>
      </c>
    </row>
    <row r="314">
      <c r="A314" s="4">
        <f>IFERROR(__xludf.DUMMYFUNCTION("""COMPUTED_VALUE"""),1192720.0)</f>
        <v>1192720</v>
      </c>
      <c r="B314" s="4" t="str">
        <f>IFERROR(__xludf.DUMMYFUNCTION("""COMPUTED_VALUE"""),"P3 - Medium")</f>
        <v>P3 - Medium</v>
      </c>
      <c r="C314" s="5">
        <f>IFERROR(__xludf.DUMMYFUNCTION("""COMPUTED_VALUE"""),44515.711643518516)</f>
        <v>44515.71164</v>
      </c>
      <c r="D314" s="4" t="str">
        <f>IFERROR(__xludf.DUMMYFUNCTION("""COMPUTED_VALUE"""),"RESOLVED")</f>
        <v>RESOLVED</v>
      </c>
      <c r="E314" s="6">
        <f>IFERROR(__xludf.DUMMYFUNCTION("""COMPUTED_VALUE"""),44668.49380787037)</f>
        <v>44668.49381</v>
      </c>
      <c r="F314" s="4" t="str">
        <f>IFERROR(__xludf.DUMMYFUNCTION("""COMPUTED_VALUE""")," ---")</f>
        <v> ---</v>
      </c>
      <c r="G314" s="4" t="str">
        <f>IFERROR(__xludf.DUMMYFUNCTION("""COMPUTED_VALUE"""),"SUSE Linux Enterprise Server 15 SP4")</f>
        <v>SUSE Linux Enterprise Server 15 SP4</v>
      </c>
      <c r="H314" s="7" t="str">
        <f t="shared" si="3"/>
        <v>NO</v>
      </c>
      <c r="I314" s="7" t="str">
        <f t="shared" si="2"/>
        <v>NO</v>
      </c>
    </row>
    <row r="315">
      <c r="A315" s="4">
        <f>IFERROR(__xludf.DUMMYFUNCTION("""COMPUTED_VALUE"""),1190003.0)</f>
        <v>1190003</v>
      </c>
      <c r="B315" s="4" t="str">
        <f>IFERROR(__xludf.DUMMYFUNCTION("""COMPUTED_VALUE"""),"P3 - Medium")</f>
        <v>P3 - Medium</v>
      </c>
      <c r="C315" s="5">
        <f>IFERROR(__xludf.DUMMYFUNCTION("""COMPUTED_VALUE"""),44439.48972222222)</f>
        <v>44439.48972</v>
      </c>
      <c r="D315" s="4" t="str">
        <f>IFERROR(__xludf.DUMMYFUNCTION("""COMPUTED_VALUE"""),"RESOLVED")</f>
        <v>RESOLVED</v>
      </c>
      <c r="E315" s="6">
        <f>IFERROR(__xludf.DUMMYFUNCTION("""COMPUTED_VALUE"""),44668.49141203704)</f>
        <v>44668.49141</v>
      </c>
      <c r="F315" s="4" t="str">
        <f>IFERROR(__xludf.DUMMYFUNCTION("""COMPUTED_VALUE""")," ---")</f>
        <v> ---</v>
      </c>
      <c r="G315" s="4" t="str">
        <f>IFERROR(__xludf.DUMMYFUNCTION("""COMPUTED_VALUE"""),"SUSE Linux Enterprise Server 15 SP4")</f>
        <v>SUSE Linux Enterprise Server 15 SP4</v>
      </c>
      <c r="H315" s="7" t="str">
        <f t="shared" si="3"/>
        <v>NO</v>
      </c>
      <c r="I315" s="7" t="str">
        <f t="shared" si="2"/>
        <v>NO</v>
      </c>
    </row>
    <row r="316">
      <c r="A316" s="4">
        <f>IFERROR(__xludf.DUMMYFUNCTION("""COMPUTED_VALUE"""),1193431.0)</f>
        <v>1193431</v>
      </c>
      <c r="B316" s="4" t="str">
        <f>IFERROR(__xludf.DUMMYFUNCTION("""COMPUTED_VALUE"""),"P3 - Medium")</f>
        <v>P3 - Medium</v>
      </c>
      <c r="C316" s="5">
        <f>IFERROR(__xludf.DUMMYFUNCTION("""COMPUTED_VALUE"""),44536.47361111111)</f>
        <v>44536.47361</v>
      </c>
      <c r="D316" s="4" t="str">
        <f>IFERROR(__xludf.DUMMYFUNCTION("""COMPUTED_VALUE"""),"RESOLVED")</f>
        <v>RESOLVED</v>
      </c>
      <c r="E316" s="6">
        <f>IFERROR(__xludf.DUMMYFUNCTION("""COMPUTED_VALUE"""),44736.538935185185)</f>
        <v>44736.53894</v>
      </c>
      <c r="F316" s="4" t="str">
        <f>IFERROR(__xludf.DUMMYFUNCTION("""COMPUTED_VALUE""")," ---")</f>
        <v> ---</v>
      </c>
      <c r="G316" s="4" t="str">
        <f>IFERROR(__xludf.DUMMYFUNCTION("""COMPUTED_VALUE"""),"SUSE Linux Enterprise Server 15 SP4")</f>
        <v>SUSE Linux Enterprise Server 15 SP4</v>
      </c>
      <c r="H316" s="7" t="str">
        <f t="shared" si="3"/>
        <v>NO</v>
      </c>
      <c r="I316" s="7" t="str">
        <f t="shared" si="2"/>
        <v>NO</v>
      </c>
    </row>
    <row r="317">
      <c r="A317" s="4">
        <f>IFERROR(__xludf.DUMMYFUNCTION("""COMPUTED_VALUE"""),1193432.0)</f>
        <v>1193432</v>
      </c>
      <c r="B317" s="4" t="str">
        <f>IFERROR(__xludf.DUMMYFUNCTION("""COMPUTED_VALUE"""),"P3 - Medium")</f>
        <v>P3 - Medium</v>
      </c>
      <c r="C317" s="5">
        <f>IFERROR(__xludf.DUMMYFUNCTION("""COMPUTED_VALUE"""),44536.48297453704)</f>
        <v>44536.48297</v>
      </c>
      <c r="D317" s="4" t="str">
        <f>IFERROR(__xludf.DUMMYFUNCTION("""COMPUTED_VALUE"""),"RESOLVED")</f>
        <v>RESOLVED</v>
      </c>
      <c r="E317" s="6">
        <f>IFERROR(__xludf.DUMMYFUNCTION("""COMPUTED_VALUE"""),44736.54096064815)</f>
        <v>44736.54096</v>
      </c>
      <c r="F317" s="4" t="str">
        <f>IFERROR(__xludf.DUMMYFUNCTION("""COMPUTED_VALUE""")," ---")</f>
        <v> ---</v>
      </c>
      <c r="G317" s="4" t="str">
        <f>IFERROR(__xludf.DUMMYFUNCTION("""COMPUTED_VALUE"""),"SUSE Linux Enterprise Server 15 SP4")</f>
        <v>SUSE Linux Enterprise Server 15 SP4</v>
      </c>
      <c r="H317" s="7" t="str">
        <f t="shared" si="3"/>
        <v>NO</v>
      </c>
      <c r="I317" s="7" t="str">
        <f t="shared" si="2"/>
        <v>NO</v>
      </c>
    </row>
    <row r="318">
      <c r="A318" s="4">
        <f>IFERROR(__xludf.DUMMYFUNCTION("""COMPUTED_VALUE"""),1199721.0)</f>
        <v>1199721</v>
      </c>
      <c r="B318" s="4" t="str">
        <f>IFERROR(__xludf.DUMMYFUNCTION("""COMPUTED_VALUE"""),"P3 - Medium")</f>
        <v>P3 - Medium</v>
      </c>
      <c r="C318" s="5">
        <f>IFERROR(__xludf.DUMMYFUNCTION("""COMPUTED_VALUE"""),44700.59296296296)</f>
        <v>44700.59296</v>
      </c>
      <c r="D318" s="4" t="str">
        <f>IFERROR(__xludf.DUMMYFUNCTION("""COMPUTED_VALUE"""),"RESOLVED")</f>
        <v>RESOLVED</v>
      </c>
      <c r="E318" s="6">
        <f>IFERROR(__xludf.DUMMYFUNCTION("""COMPUTED_VALUE"""),44703.48273148148)</f>
        <v>44703.48273</v>
      </c>
      <c r="F318" s="4" t="str">
        <f>IFERROR(__xludf.DUMMYFUNCTION("""COMPUTED_VALUE""")," ---")</f>
        <v> ---</v>
      </c>
      <c r="G318" s="4" t="str">
        <f>IFERROR(__xludf.DUMMYFUNCTION("""COMPUTED_VALUE"""),"SUSE Linux Enterprise Real Time 15 SP4")</f>
        <v>SUSE Linux Enterprise Real Time 15 SP4</v>
      </c>
      <c r="H318" s="7" t="str">
        <f t="shared" si="3"/>
        <v>NO</v>
      </c>
      <c r="I318" s="7" t="str">
        <f t="shared" si="2"/>
        <v>NO</v>
      </c>
    </row>
    <row r="319">
      <c r="A319" s="4">
        <f>IFERROR(__xludf.DUMMYFUNCTION("""COMPUTED_VALUE"""),1191279.0)</f>
        <v>1191279</v>
      </c>
      <c r="B319" s="4" t="str">
        <f>IFERROR(__xludf.DUMMYFUNCTION("""COMPUTED_VALUE"""),"P3 - Medium")</f>
        <v>P3 - Medium</v>
      </c>
      <c r="C319" s="5">
        <f>IFERROR(__xludf.DUMMYFUNCTION("""COMPUTED_VALUE"""),44473.53494212963)</f>
        <v>44473.53494</v>
      </c>
      <c r="D319" s="4" t="str">
        <f>IFERROR(__xludf.DUMMYFUNCTION("""COMPUTED_VALUE"""),"RESOLVED")</f>
        <v>RESOLVED</v>
      </c>
      <c r="E319" s="6">
        <f>IFERROR(__xludf.DUMMYFUNCTION("""COMPUTED_VALUE"""),44668.4928125)</f>
        <v>44668.49281</v>
      </c>
      <c r="F319" s="4" t="str">
        <f>IFERROR(__xludf.DUMMYFUNCTION("""COMPUTED_VALUE""")," ---")</f>
        <v> ---</v>
      </c>
      <c r="G319" s="4" t="str">
        <f>IFERROR(__xludf.DUMMYFUNCTION("""COMPUTED_VALUE"""),"SUSE Linux Enterprise Server 15 SP4")</f>
        <v>SUSE Linux Enterprise Server 15 SP4</v>
      </c>
      <c r="H319" s="7" t="str">
        <f t="shared" si="3"/>
        <v>NO</v>
      </c>
      <c r="I319" s="7" t="str">
        <f t="shared" si="2"/>
        <v>NO</v>
      </c>
    </row>
    <row r="320">
      <c r="A320" s="4">
        <f>IFERROR(__xludf.DUMMYFUNCTION("""COMPUTED_VALUE"""),1194191.0)</f>
        <v>1194191</v>
      </c>
      <c r="B320" s="4" t="str">
        <f>IFERROR(__xludf.DUMMYFUNCTION("""COMPUTED_VALUE"""),"P3 - Medium")</f>
        <v>P3 - Medium</v>
      </c>
      <c r="C320" s="5">
        <f>IFERROR(__xludf.DUMMYFUNCTION("""COMPUTED_VALUE"""),44561.32984953704)</f>
        <v>44561.32985</v>
      </c>
      <c r="D320" s="4" t="str">
        <f>IFERROR(__xludf.DUMMYFUNCTION("""COMPUTED_VALUE"""),"RESOLVED")</f>
        <v>RESOLVED</v>
      </c>
      <c r="E320" s="6">
        <f>IFERROR(__xludf.DUMMYFUNCTION("""COMPUTED_VALUE"""),44736.465150462966)</f>
        <v>44736.46515</v>
      </c>
      <c r="F320" s="4" t="str">
        <f>IFERROR(__xludf.DUMMYFUNCTION("""COMPUTED_VALUE""")," ---")</f>
        <v> ---</v>
      </c>
      <c r="G320" s="4" t="str">
        <f>IFERROR(__xludf.DUMMYFUNCTION("""COMPUTED_VALUE"""),"PUBLIC SUSE Linux Enterprise Server 15 SP4")</f>
        <v>PUBLIC SUSE Linux Enterprise Server 15 SP4</v>
      </c>
      <c r="H320" s="7" t="str">
        <f t="shared" si="3"/>
        <v>YES</v>
      </c>
      <c r="I320" s="7" t="str">
        <f t="shared" si="2"/>
        <v>NO</v>
      </c>
    </row>
    <row r="321">
      <c r="A321" s="4">
        <f>IFERROR(__xludf.DUMMYFUNCTION("""COMPUTED_VALUE"""),1193482.0)</f>
        <v>1193482</v>
      </c>
      <c r="B321" s="4" t="str">
        <f>IFERROR(__xludf.DUMMYFUNCTION("""COMPUTED_VALUE"""),"P3 - Medium")</f>
        <v>P3 - Medium</v>
      </c>
      <c r="C321" s="5">
        <f>IFERROR(__xludf.DUMMYFUNCTION("""COMPUTED_VALUE"""),44537.54215277778)</f>
        <v>44537.54215</v>
      </c>
      <c r="D321" s="4" t="str">
        <f>IFERROR(__xludf.DUMMYFUNCTION("""COMPUTED_VALUE"""),"RESOLVED")</f>
        <v>RESOLVED</v>
      </c>
      <c r="E321" s="6">
        <f>IFERROR(__xludf.DUMMYFUNCTION("""COMPUTED_VALUE"""),44701.34798611111)</f>
        <v>44701.34799</v>
      </c>
      <c r="F321" s="4" t="str">
        <f>IFERROR(__xludf.DUMMYFUNCTION("""COMPUTED_VALUE""")," ---")</f>
        <v> ---</v>
      </c>
      <c r="G321" s="4" t="str">
        <f>IFERROR(__xludf.DUMMYFUNCTION("""COMPUTED_VALUE"""),"SUSE Linux Enterprise Server 15 SP4")</f>
        <v>SUSE Linux Enterprise Server 15 SP4</v>
      </c>
      <c r="H321" s="7" t="str">
        <f t="shared" si="3"/>
        <v>NO</v>
      </c>
      <c r="I321" s="7" t="str">
        <f t="shared" si="2"/>
        <v>NO</v>
      </c>
    </row>
    <row r="322">
      <c r="A322" s="4">
        <f>IFERROR(__xludf.DUMMYFUNCTION("""COMPUTED_VALUE"""),1195099.0)</f>
        <v>1195099</v>
      </c>
      <c r="B322" s="4" t="str">
        <f>IFERROR(__xludf.DUMMYFUNCTION("""COMPUTED_VALUE"""),"P3 - Medium")</f>
        <v>P3 - Medium</v>
      </c>
      <c r="C322" s="5">
        <f>IFERROR(__xludf.DUMMYFUNCTION("""COMPUTED_VALUE"""),44586.54890046296)</f>
        <v>44586.5489</v>
      </c>
      <c r="D322" s="4" t="str">
        <f>IFERROR(__xludf.DUMMYFUNCTION("""COMPUTED_VALUE"""),"RESOLVED")</f>
        <v>RESOLVED</v>
      </c>
      <c r="E322" s="6">
        <f>IFERROR(__xludf.DUMMYFUNCTION("""COMPUTED_VALUE"""),44736.46570601852)</f>
        <v>44736.46571</v>
      </c>
      <c r="F322" s="4" t="str">
        <f>IFERROR(__xludf.DUMMYFUNCTION("""COMPUTED_VALUE""")," ---")</f>
        <v> ---</v>
      </c>
      <c r="G322" s="4" t="str">
        <f>IFERROR(__xludf.DUMMYFUNCTION("""COMPUTED_VALUE"""),"SUSE Linux Enterprise Server 15 SP4")</f>
        <v>SUSE Linux Enterprise Server 15 SP4</v>
      </c>
      <c r="H322" s="7" t="str">
        <f t="shared" si="3"/>
        <v>NO</v>
      </c>
      <c r="I322" s="7" t="str">
        <f t="shared" si="2"/>
        <v>NO</v>
      </c>
    </row>
    <row r="323">
      <c r="A323" s="4">
        <f>IFERROR(__xludf.DUMMYFUNCTION("""COMPUTED_VALUE"""),1193136.0)</f>
        <v>1193136</v>
      </c>
      <c r="B323" s="4" t="str">
        <f>IFERROR(__xludf.DUMMYFUNCTION("""COMPUTED_VALUE"""),"P3 - Medium")</f>
        <v>P3 - Medium</v>
      </c>
      <c r="C323" s="5">
        <f>IFERROR(__xludf.DUMMYFUNCTION("""COMPUTED_VALUE"""),44528.22148148148)</f>
        <v>44528.22148</v>
      </c>
      <c r="D323" s="4" t="str">
        <f>IFERROR(__xludf.DUMMYFUNCTION("""COMPUTED_VALUE"""),"RESOLVED")</f>
        <v>RESOLVED</v>
      </c>
      <c r="E323" s="6">
        <f>IFERROR(__xludf.DUMMYFUNCTION("""COMPUTED_VALUE"""),44668.494421296295)</f>
        <v>44668.49442</v>
      </c>
      <c r="F323" s="4" t="str">
        <f>IFERROR(__xludf.DUMMYFUNCTION("""COMPUTED_VALUE""")," ---")</f>
        <v> ---</v>
      </c>
      <c r="G323" s="4" t="str">
        <f>IFERROR(__xludf.DUMMYFUNCTION("""COMPUTED_VALUE"""),"SUSE Linux Enterprise Server 15 SP4")</f>
        <v>SUSE Linux Enterprise Server 15 SP4</v>
      </c>
      <c r="H323" s="7" t="str">
        <f t="shared" si="3"/>
        <v>NO</v>
      </c>
      <c r="I323" s="7" t="str">
        <f t="shared" si="2"/>
        <v>NO</v>
      </c>
    </row>
    <row r="324">
      <c r="A324" s="4">
        <f>IFERROR(__xludf.DUMMYFUNCTION("""COMPUTED_VALUE"""),1194773.0)</f>
        <v>1194773</v>
      </c>
      <c r="B324" s="4" t="str">
        <f>IFERROR(__xludf.DUMMYFUNCTION("""COMPUTED_VALUE"""),"P3 - Medium")</f>
        <v>P3 - Medium</v>
      </c>
      <c r="C324" s="5">
        <f>IFERROR(__xludf.DUMMYFUNCTION("""COMPUTED_VALUE"""),44578.514340277776)</f>
        <v>44578.51434</v>
      </c>
      <c r="D324" s="4" t="str">
        <f>IFERROR(__xludf.DUMMYFUNCTION("""COMPUTED_VALUE"""),"RESOLVED")</f>
        <v>RESOLVED</v>
      </c>
      <c r="E324" s="6">
        <f>IFERROR(__xludf.DUMMYFUNCTION("""COMPUTED_VALUE"""),44668.49686342593)</f>
        <v>44668.49686</v>
      </c>
      <c r="F324" s="4" t="str">
        <f>IFERROR(__xludf.DUMMYFUNCTION("""COMPUTED_VALUE""")," ---")</f>
        <v> ---</v>
      </c>
      <c r="G324" s="4" t="str">
        <f>IFERROR(__xludf.DUMMYFUNCTION("""COMPUTED_VALUE"""),"SUSE Linux Enterprise Server 15 SP4")</f>
        <v>SUSE Linux Enterprise Server 15 SP4</v>
      </c>
      <c r="H324" s="7" t="str">
        <f t="shared" si="3"/>
        <v>NO</v>
      </c>
      <c r="I324" s="7" t="str">
        <f t="shared" si="2"/>
        <v>NO</v>
      </c>
    </row>
    <row r="325">
      <c r="A325" s="4">
        <f>IFERROR(__xludf.DUMMYFUNCTION("""COMPUTED_VALUE"""),1195287.0)</f>
        <v>1195287</v>
      </c>
      <c r="B325" s="4" t="str">
        <f>IFERROR(__xludf.DUMMYFUNCTION("""COMPUTED_VALUE"""),"P3 - Medium")</f>
        <v>P3 - Medium</v>
      </c>
      <c r="C325" s="5">
        <f>IFERROR(__xludf.DUMMYFUNCTION("""COMPUTED_VALUE"""),44589.71078703704)</f>
        <v>44589.71079</v>
      </c>
      <c r="D325" s="4" t="str">
        <f>IFERROR(__xludf.DUMMYFUNCTION("""COMPUTED_VALUE"""),"RESOLVED")</f>
        <v>RESOLVED</v>
      </c>
      <c r="E325" s="6">
        <f>IFERROR(__xludf.DUMMYFUNCTION("""COMPUTED_VALUE"""),44736.465787037036)</f>
        <v>44736.46579</v>
      </c>
      <c r="F325" s="4" t="str">
        <f>IFERROR(__xludf.DUMMYFUNCTION("""COMPUTED_VALUE""")," ---")</f>
        <v> ---</v>
      </c>
      <c r="G325" s="4" t="str">
        <f>IFERROR(__xludf.DUMMYFUNCTION("""COMPUTED_VALUE"""),"SUSE Linux Enterprise Server 15 SP4")</f>
        <v>SUSE Linux Enterprise Server 15 SP4</v>
      </c>
      <c r="H325" s="7" t="str">
        <f t="shared" si="3"/>
        <v>NO</v>
      </c>
      <c r="I325" s="7" t="str">
        <f t="shared" si="2"/>
        <v>NO</v>
      </c>
    </row>
    <row r="326">
      <c r="A326" s="4">
        <f>IFERROR(__xludf.DUMMYFUNCTION("""COMPUTED_VALUE"""),1192987.0)</f>
        <v>1192987</v>
      </c>
      <c r="B326" s="4" t="str">
        <f>IFERROR(__xludf.DUMMYFUNCTION("""COMPUTED_VALUE"""),"P3 - Medium")</f>
        <v>P3 - Medium</v>
      </c>
      <c r="C326" s="5">
        <f>IFERROR(__xludf.DUMMYFUNCTION("""COMPUTED_VALUE"""),44523.47825231482)</f>
        <v>44523.47825</v>
      </c>
      <c r="D326" s="4" t="str">
        <f>IFERROR(__xludf.DUMMYFUNCTION("""COMPUTED_VALUE"""),"RESOLVED")</f>
        <v>RESOLVED</v>
      </c>
      <c r="E326" s="6">
        <f>IFERROR(__xludf.DUMMYFUNCTION("""COMPUTED_VALUE"""),44688.68145833333)</f>
        <v>44688.68146</v>
      </c>
      <c r="F326" s="4" t="str">
        <f>IFERROR(__xludf.DUMMYFUNCTION("""COMPUTED_VALUE""")," ---")</f>
        <v> ---</v>
      </c>
      <c r="G326" s="4" t="str">
        <f>IFERROR(__xludf.DUMMYFUNCTION("""COMPUTED_VALUE"""),"SUSE Linux Enterprise Server 15 SP4")</f>
        <v>SUSE Linux Enterprise Server 15 SP4</v>
      </c>
      <c r="H326" s="7" t="str">
        <f t="shared" si="3"/>
        <v>NO</v>
      </c>
      <c r="I326" s="7" t="str">
        <f t="shared" si="2"/>
        <v>NO</v>
      </c>
    </row>
    <row r="327">
      <c r="A327" s="4">
        <f>IFERROR(__xludf.DUMMYFUNCTION("""COMPUTED_VALUE"""),1198585.0)</f>
        <v>1198585</v>
      </c>
      <c r="B327" s="4" t="str">
        <f>IFERROR(__xludf.DUMMYFUNCTION("""COMPUTED_VALUE"""),"P3 - Medium")</f>
        <v>P3 - Medium</v>
      </c>
      <c r="C327" s="5">
        <f>IFERROR(__xludf.DUMMYFUNCTION("""COMPUTED_VALUE"""),44670.3440625)</f>
        <v>44670.34406</v>
      </c>
      <c r="D327" s="4" t="str">
        <f>IFERROR(__xludf.DUMMYFUNCTION("""COMPUTED_VALUE"""),"RESOLVED")</f>
        <v>RESOLVED</v>
      </c>
      <c r="E327" s="6">
        <f>IFERROR(__xludf.DUMMYFUNCTION("""COMPUTED_VALUE"""),44736.47045138889)</f>
        <v>44736.47045</v>
      </c>
      <c r="F327" s="4" t="str">
        <f>IFERROR(__xludf.DUMMYFUNCTION("""COMPUTED_VALUE""")," ---")</f>
        <v> ---</v>
      </c>
      <c r="G327" s="4" t="str">
        <f>IFERROR(__xludf.DUMMYFUNCTION("""COMPUTED_VALUE"""),"SUSE Linux Enterprise Server 15 SP4")</f>
        <v>SUSE Linux Enterprise Server 15 SP4</v>
      </c>
      <c r="H327" s="7" t="str">
        <f t="shared" si="3"/>
        <v>NO</v>
      </c>
      <c r="I327" s="7" t="str">
        <f t="shared" si="2"/>
        <v>NO</v>
      </c>
    </row>
    <row r="328">
      <c r="A328" s="4">
        <f>IFERROR(__xludf.DUMMYFUNCTION("""COMPUTED_VALUE"""),1188231.0)</f>
        <v>1188231</v>
      </c>
      <c r="B328" s="4" t="str">
        <f>IFERROR(__xludf.DUMMYFUNCTION("""COMPUTED_VALUE"""),"P3 - Medium")</f>
        <v>P3 - Medium</v>
      </c>
      <c r="C328" s="5">
        <f>IFERROR(__xludf.DUMMYFUNCTION("""COMPUTED_VALUE"""),44390.18315972222)</f>
        <v>44390.18316</v>
      </c>
      <c r="D328" s="4" t="str">
        <f>IFERROR(__xludf.DUMMYFUNCTION("""COMPUTED_VALUE"""),"RESOLVED")</f>
        <v>RESOLVED</v>
      </c>
      <c r="E328" s="6">
        <f>IFERROR(__xludf.DUMMYFUNCTION("""COMPUTED_VALUE"""),44567.23637731482)</f>
        <v>44567.23638</v>
      </c>
      <c r="F328" s="4" t="str">
        <f>IFERROR(__xludf.DUMMYFUNCTION("""COMPUTED_VALUE""")," ---")</f>
        <v> ---</v>
      </c>
      <c r="G328" s="4" t="str">
        <f>IFERROR(__xludf.DUMMYFUNCTION("""COMPUTED_VALUE"""),"SUSE Linux Enterprise Server 15 SP4")</f>
        <v>SUSE Linux Enterprise Server 15 SP4</v>
      </c>
      <c r="H328" s="7" t="str">
        <f t="shared" si="3"/>
        <v>NO</v>
      </c>
      <c r="I328" s="7" t="str">
        <f t="shared" si="2"/>
        <v>NO</v>
      </c>
    </row>
    <row r="329">
      <c r="A329" s="4">
        <f>IFERROR(__xludf.DUMMYFUNCTION("""COMPUTED_VALUE"""),1194628.0)</f>
        <v>1194628</v>
      </c>
      <c r="B329" s="4" t="str">
        <f>IFERROR(__xludf.DUMMYFUNCTION("""COMPUTED_VALUE"""),"P3 - Medium")</f>
        <v>P3 - Medium</v>
      </c>
      <c r="C329" s="5">
        <f>IFERROR(__xludf.DUMMYFUNCTION("""COMPUTED_VALUE"""),44574.43753472222)</f>
        <v>44574.43753</v>
      </c>
      <c r="D329" s="4" t="str">
        <f>IFERROR(__xludf.DUMMYFUNCTION("""COMPUTED_VALUE"""),"RESOLVED")</f>
        <v>RESOLVED</v>
      </c>
      <c r="E329" s="6">
        <f>IFERROR(__xludf.DUMMYFUNCTION("""COMPUTED_VALUE"""),44668.496412037035)</f>
        <v>44668.49641</v>
      </c>
      <c r="F329" s="4" t="str">
        <f>IFERROR(__xludf.DUMMYFUNCTION("""COMPUTED_VALUE""")," ---")</f>
        <v> ---</v>
      </c>
      <c r="G329" s="4" t="str">
        <f>IFERROR(__xludf.DUMMYFUNCTION("""COMPUTED_VALUE"""),"SUSE Linux Enterprise Server 15 SP4")</f>
        <v>SUSE Linux Enterprise Server 15 SP4</v>
      </c>
      <c r="H329" s="7" t="str">
        <f t="shared" si="3"/>
        <v>NO</v>
      </c>
      <c r="I329" s="7" t="str">
        <f t="shared" si="2"/>
        <v>NO</v>
      </c>
    </row>
    <row r="330">
      <c r="A330" s="4">
        <f>IFERROR(__xludf.DUMMYFUNCTION("""COMPUTED_VALUE"""),1199736.0)</f>
        <v>1199736</v>
      </c>
      <c r="B330" s="4" t="str">
        <f>IFERROR(__xludf.DUMMYFUNCTION("""COMPUTED_VALUE"""),"P3 - Medium")</f>
        <v>P3 - Medium</v>
      </c>
      <c r="C330" s="5">
        <f>IFERROR(__xludf.DUMMYFUNCTION("""COMPUTED_VALUE"""),44700.873935185184)</f>
        <v>44700.87394</v>
      </c>
      <c r="D330" s="4" t="str">
        <f>IFERROR(__xludf.DUMMYFUNCTION("""COMPUTED_VALUE"""),"RESOLVED")</f>
        <v>RESOLVED</v>
      </c>
      <c r="E330" s="6">
        <f>IFERROR(__xludf.DUMMYFUNCTION("""COMPUTED_VALUE"""),44736.47217592593)</f>
        <v>44736.47218</v>
      </c>
      <c r="F330" s="4" t="str">
        <f>IFERROR(__xludf.DUMMYFUNCTION("""COMPUTED_VALUE""")," ---")</f>
        <v> ---</v>
      </c>
      <c r="G330" s="4" t="str">
        <f>IFERROR(__xludf.DUMMYFUNCTION("""COMPUTED_VALUE"""),"SUSE Linux Enterprise Server 15 SP4")</f>
        <v>SUSE Linux Enterprise Server 15 SP4</v>
      </c>
      <c r="H330" s="7" t="str">
        <f t="shared" si="3"/>
        <v>NO</v>
      </c>
      <c r="I330" s="7" t="str">
        <f t="shared" si="2"/>
        <v>NO</v>
      </c>
    </row>
    <row r="331">
      <c r="A331" s="4">
        <f>IFERROR(__xludf.DUMMYFUNCTION("""COMPUTED_VALUE"""),1189696.0)</f>
        <v>1189696</v>
      </c>
      <c r="B331" s="4" t="str">
        <f>IFERROR(__xludf.DUMMYFUNCTION("""COMPUTED_VALUE"""),"P3 - Medium")</f>
        <v>P3 - Medium</v>
      </c>
      <c r="C331" s="5">
        <f>IFERROR(__xludf.DUMMYFUNCTION("""COMPUTED_VALUE"""),44430.105462962965)</f>
        <v>44430.10546</v>
      </c>
      <c r="D331" s="4" t="str">
        <f>IFERROR(__xludf.DUMMYFUNCTION("""COMPUTED_VALUE"""),"RESOLVED")</f>
        <v>RESOLVED</v>
      </c>
      <c r="E331" s="6">
        <f>IFERROR(__xludf.DUMMYFUNCTION("""COMPUTED_VALUE"""),44482.68701388889)</f>
        <v>44482.68701</v>
      </c>
      <c r="F331" s="4" t="str">
        <f>IFERROR(__xludf.DUMMYFUNCTION("""COMPUTED_VALUE""")," ---")</f>
        <v> ---</v>
      </c>
      <c r="G331" s="4" t="str">
        <f>IFERROR(__xludf.DUMMYFUNCTION("""COMPUTED_VALUE"""),"SUSE Linux Enterprise Server 15 SP4")</f>
        <v>SUSE Linux Enterprise Server 15 SP4</v>
      </c>
      <c r="H331" s="7" t="str">
        <f t="shared" si="3"/>
        <v>NO</v>
      </c>
      <c r="I331" s="7" t="str">
        <f t="shared" si="2"/>
        <v>NO</v>
      </c>
    </row>
    <row r="332">
      <c r="A332" s="4">
        <f>IFERROR(__xludf.DUMMYFUNCTION("""COMPUTED_VALUE"""),1192354.0)</f>
        <v>1192354</v>
      </c>
      <c r="B332" s="4" t="str">
        <f>IFERROR(__xludf.DUMMYFUNCTION("""COMPUTED_VALUE"""),"P3 - Medium")</f>
        <v>P3 - Medium</v>
      </c>
      <c r="C332" s="5">
        <f>IFERROR(__xludf.DUMMYFUNCTION("""COMPUTED_VALUE"""),44504.64707175926)</f>
        <v>44504.64707</v>
      </c>
      <c r="D332" s="4" t="str">
        <f>IFERROR(__xludf.DUMMYFUNCTION("""COMPUTED_VALUE"""),"RESOLVED")</f>
        <v>RESOLVED</v>
      </c>
      <c r="E332" s="6">
        <f>IFERROR(__xludf.DUMMYFUNCTION("""COMPUTED_VALUE"""),44734.60934027778)</f>
        <v>44734.60934</v>
      </c>
      <c r="F332" s="4" t="str">
        <f>IFERROR(__xludf.DUMMYFUNCTION("""COMPUTED_VALUE""")," ---")</f>
        <v> ---</v>
      </c>
      <c r="G332" s="4" t="str">
        <f>IFERROR(__xludf.DUMMYFUNCTION("""COMPUTED_VALUE"""),"SUSE Linux Enterprise Desktop 15 SP4")</f>
        <v>SUSE Linux Enterprise Desktop 15 SP4</v>
      </c>
      <c r="H332" s="7" t="str">
        <f t="shared" si="3"/>
        <v>NO</v>
      </c>
      <c r="I332" s="7" t="str">
        <f t="shared" si="2"/>
        <v>NO</v>
      </c>
    </row>
    <row r="333">
      <c r="A333" s="4">
        <f>IFERROR(__xludf.DUMMYFUNCTION("""COMPUTED_VALUE"""),1200462.0)</f>
        <v>1200462</v>
      </c>
      <c r="B333" s="4" t="str">
        <f>IFERROR(__xludf.DUMMYFUNCTION("""COMPUTED_VALUE"""),"P3 - Medium")</f>
        <v>P3 - Medium</v>
      </c>
      <c r="C333" s="5">
        <f>IFERROR(__xludf.DUMMYFUNCTION("""COMPUTED_VALUE"""),44725.16226851852)</f>
        <v>44725.16227</v>
      </c>
      <c r="D333" s="4" t="str">
        <f>IFERROR(__xludf.DUMMYFUNCTION("""COMPUTED_VALUE"""),"RESOLVED")</f>
        <v>RESOLVED</v>
      </c>
      <c r="E333" s="6">
        <f>IFERROR(__xludf.DUMMYFUNCTION("""COMPUTED_VALUE"""),44727.30913194444)</f>
        <v>44727.30913</v>
      </c>
      <c r="F333" s="4" t="str">
        <f>IFERROR(__xludf.DUMMYFUNCTION("""COMPUTED_VALUE""")," ---")</f>
        <v> ---</v>
      </c>
      <c r="G333" s="4" t="str">
        <f>IFERROR(__xludf.DUMMYFUNCTION("""COMPUTED_VALUE"""),"SUSE Linux Enterprise Server 15 SP4")</f>
        <v>SUSE Linux Enterprise Server 15 SP4</v>
      </c>
      <c r="H333" s="7" t="str">
        <f t="shared" si="3"/>
        <v>NO</v>
      </c>
      <c r="I333" s="7" t="str">
        <f t="shared" si="2"/>
        <v>NO</v>
      </c>
    </row>
    <row r="334">
      <c r="A334" s="4">
        <f>IFERROR(__xludf.DUMMYFUNCTION("""COMPUTED_VALUE"""),1193328.0)</f>
        <v>1193328</v>
      </c>
      <c r="B334" s="4" t="str">
        <f>IFERROR(__xludf.DUMMYFUNCTION("""COMPUTED_VALUE"""),"P3 - Medium")</f>
        <v>P3 - Medium</v>
      </c>
      <c r="C334" s="5">
        <f>IFERROR(__xludf.DUMMYFUNCTION("""COMPUTED_VALUE"""),44532.58039351852)</f>
        <v>44532.58039</v>
      </c>
      <c r="D334" s="4" t="str">
        <f>IFERROR(__xludf.DUMMYFUNCTION("""COMPUTED_VALUE"""),"VERIFIED")</f>
        <v>VERIFIED</v>
      </c>
      <c r="E334" s="6">
        <f>IFERROR(__xludf.DUMMYFUNCTION("""COMPUTED_VALUE"""),44621.675092592595)</f>
        <v>44621.67509</v>
      </c>
      <c r="F334" s="4" t="str">
        <f>IFERROR(__xludf.DUMMYFUNCTION("""COMPUTED_VALUE""")," ---")</f>
        <v> ---</v>
      </c>
      <c r="G334" s="4" t="str">
        <f>IFERROR(__xludf.DUMMYFUNCTION("""COMPUTED_VALUE"""),"SUSE Linux Enterprise Server 15 SP4")</f>
        <v>SUSE Linux Enterprise Server 15 SP4</v>
      </c>
      <c r="H334" s="7" t="str">
        <f t="shared" si="3"/>
        <v>NO</v>
      </c>
      <c r="I334" s="7" t="str">
        <f t="shared" si="2"/>
        <v>NO</v>
      </c>
    </row>
    <row r="335">
      <c r="A335" s="4">
        <f>IFERROR(__xludf.DUMMYFUNCTION("""COMPUTED_VALUE"""),1193459.0)</f>
        <v>1193459</v>
      </c>
      <c r="B335" s="4" t="str">
        <f>IFERROR(__xludf.DUMMYFUNCTION("""COMPUTED_VALUE"""),"P3 - Medium")</f>
        <v>P3 - Medium</v>
      </c>
      <c r="C335" s="5">
        <f>IFERROR(__xludf.DUMMYFUNCTION("""COMPUTED_VALUE"""),44537.1603125)</f>
        <v>44537.16031</v>
      </c>
      <c r="D335" s="4" t="str">
        <f>IFERROR(__xludf.DUMMYFUNCTION("""COMPUTED_VALUE"""),"VERIFIED")</f>
        <v>VERIFIED</v>
      </c>
      <c r="E335" s="6">
        <f>IFERROR(__xludf.DUMMYFUNCTION("""COMPUTED_VALUE"""),44630.15773148148)</f>
        <v>44630.15773</v>
      </c>
      <c r="F335" s="4" t="str">
        <f>IFERROR(__xludf.DUMMYFUNCTION("""COMPUTED_VALUE"""),"Yes")</f>
        <v>Yes</v>
      </c>
      <c r="G335" s="4" t="str">
        <f>IFERROR(__xludf.DUMMYFUNCTION("""COMPUTED_VALUE"""),"SUSE Linux Enterprise Server 15 SP4")</f>
        <v>SUSE Linux Enterprise Server 15 SP4</v>
      </c>
      <c r="H335" s="7" t="str">
        <f t="shared" si="3"/>
        <v>NO</v>
      </c>
      <c r="I335" s="7" t="str">
        <f t="shared" si="2"/>
        <v>NO</v>
      </c>
    </row>
    <row r="336">
      <c r="A336" s="4">
        <f>IFERROR(__xludf.DUMMYFUNCTION("""COMPUTED_VALUE"""),1199379.0)</f>
        <v>1199379</v>
      </c>
      <c r="B336" s="4" t="str">
        <f>IFERROR(__xludf.DUMMYFUNCTION("""COMPUTED_VALUE"""),"P3 - Medium")</f>
        <v>P3 - Medium</v>
      </c>
      <c r="C336" s="5">
        <f>IFERROR(__xludf.DUMMYFUNCTION("""COMPUTED_VALUE"""),44691.37130787037)</f>
        <v>44691.37131</v>
      </c>
      <c r="D336" s="4" t="str">
        <f>IFERROR(__xludf.DUMMYFUNCTION("""COMPUTED_VALUE"""),"VERIFIED")</f>
        <v>VERIFIED</v>
      </c>
      <c r="E336" s="6">
        <f>IFERROR(__xludf.DUMMYFUNCTION("""COMPUTED_VALUE"""),44727.37761574074)</f>
        <v>44727.37762</v>
      </c>
      <c r="F336" s="4" t="str">
        <f>IFERROR(__xludf.DUMMYFUNCTION("""COMPUTED_VALUE""")," ---")</f>
        <v> ---</v>
      </c>
      <c r="G336" s="4" t="str">
        <f>IFERROR(__xludf.DUMMYFUNCTION("""COMPUTED_VALUE"""),"SUSE Linux Enterprise Server 15 SP4")</f>
        <v>SUSE Linux Enterprise Server 15 SP4</v>
      </c>
      <c r="H336" s="7" t="str">
        <f t="shared" si="3"/>
        <v>NO</v>
      </c>
      <c r="I336" s="7" t="str">
        <f t="shared" si="2"/>
        <v>NO</v>
      </c>
    </row>
    <row r="337">
      <c r="A337" s="4">
        <f>IFERROR(__xludf.DUMMYFUNCTION("""COMPUTED_VALUE"""),1194409.0)</f>
        <v>1194409</v>
      </c>
      <c r="B337" s="4" t="str">
        <f>IFERROR(__xludf.DUMMYFUNCTION("""COMPUTED_VALUE"""),"P3 - Medium")</f>
        <v>P3 - Medium</v>
      </c>
      <c r="C337" s="5">
        <f>IFERROR(__xludf.DUMMYFUNCTION("""COMPUTED_VALUE"""),44568.63228009259)</f>
        <v>44568.63228</v>
      </c>
      <c r="D337" s="4" t="str">
        <f>IFERROR(__xludf.DUMMYFUNCTION("""COMPUTED_VALUE"""),"VERIFIED")</f>
        <v>VERIFIED</v>
      </c>
      <c r="E337" s="6">
        <f>IFERROR(__xludf.DUMMYFUNCTION("""COMPUTED_VALUE"""),44736.46519675926)</f>
        <v>44736.4652</v>
      </c>
      <c r="F337" s="4" t="str">
        <f>IFERROR(__xludf.DUMMYFUNCTION("""COMPUTED_VALUE""")," ---")</f>
        <v> ---</v>
      </c>
      <c r="G337" s="4" t="str">
        <f>IFERROR(__xludf.DUMMYFUNCTION("""COMPUTED_VALUE"""),"SUSE Linux Enterprise Server 15 SP4")</f>
        <v>SUSE Linux Enterprise Server 15 SP4</v>
      </c>
      <c r="H337" s="7" t="str">
        <f t="shared" si="3"/>
        <v>NO</v>
      </c>
      <c r="I337" s="7" t="str">
        <f t="shared" si="2"/>
        <v>NO</v>
      </c>
    </row>
    <row r="338">
      <c r="A338" s="4">
        <f>IFERROR(__xludf.DUMMYFUNCTION("""COMPUTED_VALUE"""),1193619.0)</f>
        <v>1193619</v>
      </c>
      <c r="B338" s="4" t="str">
        <f>IFERROR(__xludf.DUMMYFUNCTION("""COMPUTED_VALUE"""),"P4 - Low")</f>
        <v>P4 - Low</v>
      </c>
      <c r="C338" s="5">
        <f>IFERROR(__xludf.DUMMYFUNCTION("""COMPUTED_VALUE"""),44540.5144212963)</f>
        <v>44540.51442</v>
      </c>
      <c r="D338" s="4" t="str">
        <f>IFERROR(__xludf.DUMMYFUNCTION("""COMPUTED_VALUE"""),"NEW")</f>
        <v>NEW</v>
      </c>
      <c r="E338" s="6">
        <f>IFERROR(__xludf.DUMMYFUNCTION("""COMPUTED_VALUE"""),44680.68255787037)</f>
        <v>44680.68256</v>
      </c>
      <c r="F338" s="4" t="str">
        <f>IFERROR(__xludf.DUMMYFUNCTION("""COMPUTED_VALUE""")," ---")</f>
        <v> ---</v>
      </c>
      <c r="G338" s="4" t="str">
        <f>IFERROR(__xludf.DUMMYFUNCTION("""COMPUTED_VALUE"""),"SUSE Linux Enterprise Server 15 SP4")</f>
        <v>SUSE Linux Enterprise Server 15 SP4</v>
      </c>
      <c r="H338" s="7" t="str">
        <f t="shared" si="3"/>
        <v>NO</v>
      </c>
      <c r="I338" s="7" t="str">
        <f t="shared" si="2"/>
        <v>NO</v>
      </c>
    </row>
    <row r="339">
      <c r="A339" s="4">
        <f>IFERROR(__xludf.DUMMYFUNCTION("""COMPUTED_VALUE"""),1193285.0)</f>
        <v>1193285</v>
      </c>
      <c r="B339" s="4" t="str">
        <f>IFERROR(__xludf.DUMMYFUNCTION("""COMPUTED_VALUE"""),"P4 - Low")</f>
        <v>P4 - Low</v>
      </c>
      <c r="C339" s="5">
        <f>IFERROR(__xludf.DUMMYFUNCTION("""COMPUTED_VALUE"""),44531.53503472222)</f>
        <v>44531.53503</v>
      </c>
      <c r="D339" s="4" t="str">
        <f>IFERROR(__xludf.DUMMYFUNCTION("""COMPUTED_VALUE"""),"NEW")</f>
        <v>NEW</v>
      </c>
      <c r="E339" s="6">
        <f>IFERROR(__xludf.DUMMYFUNCTION("""COMPUTED_VALUE"""),44701.04765046296)</f>
        <v>44701.04765</v>
      </c>
      <c r="F339" s="4" t="str">
        <f>IFERROR(__xludf.DUMMYFUNCTION("""COMPUTED_VALUE"""),"Yes")</f>
        <v>Yes</v>
      </c>
      <c r="G339" s="4" t="str">
        <f>IFERROR(__xludf.DUMMYFUNCTION("""COMPUTED_VALUE"""),"SUSE Linux Enterprise Server 15 SP4")</f>
        <v>SUSE Linux Enterprise Server 15 SP4</v>
      </c>
      <c r="H339" s="7" t="str">
        <f t="shared" si="3"/>
        <v>NO</v>
      </c>
      <c r="I339" s="7" t="str">
        <f t="shared" si="2"/>
        <v>NO</v>
      </c>
    </row>
    <row r="340">
      <c r="A340" s="4">
        <f>IFERROR(__xludf.DUMMYFUNCTION("""COMPUTED_VALUE"""),1195275.0)</f>
        <v>1195275</v>
      </c>
      <c r="B340" s="4" t="str">
        <f>IFERROR(__xludf.DUMMYFUNCTION("""COMPUTED_VALUE"""),"P4 - Low")</f>
        <v>P4 - Low</v>
      </c>
      <c r="C340" s="5">
        <f>IFERROR(__xludf.DUMMYFUNCTION("""COMPUTED_VALUE"""),44589.59101851852)</f>
        <v>44589.59102</v>
      </c>
      <c r="D340" s="4" t="str">
        <f>IFERROR(__xludf.DUMMYFUNCTION("""COMPUTED_VALUE"""),"NEW")</f>
        <v>NEW</v>
      </c>
      <c r="E340" s="6">
        <f>IFERROR(__xludf.DUMMYFUNCTION("""COMPUTED_VALUE"""),44668.49773148148)</f>
        <v>44668.49773</v>
      </c>
      <c r="F340" s="4" t="str">
        <f>IFERROR(__xludf.DUMMYFUNCTION("""COMPUTED_VALUE""")," ---")</f>
        <v> ---</v>
      </c>
      <c r="G340" s="4" t="str">
        <f>IFERROR(__xludf.DUMMYFUNCTION("""COMPUTED_VALUE"""),"SUSE Linux Enterprise Server 15 SP4")</f>
        <v>SUSE Linux Enterprise Server 15 SP4</v>
      </c>
      <c r="H340" s="7" t="str">
        <f t="shared" si="3"/>
        <v>NO</v>
      </c>
      <c r="I340" s="7" t="str">
        <f t="shared" si="2"/>
        <v>NO</v>
      </c>
    </row>
    <row r="341">
      <c r="A341" s="4">
        <f>IFERROR(__xludf.DUMMYFUNCTION("""COMPUTED_VALUE"""),1197292.0)</f>
        <v>1197292</v>
      </c>
      <c r="B341" s="4" t="str">
        <f>IFERROR(__xludf.DUMMYFUNCTION("""COMPUTED_VALUE"""),"P4 - Low")</f>
        <v>P4 - Low</v>
      </c>
      <c r="C341" s="5">
        <f>IFERROR(__xludf.DUMMYFUNCTION("""COMPUTED_VALUE"""),44638.59825231481)</f>
        <v>44638.59825</v>
      </c>
      <c r="D341" s="4" t="str">
        <f>IFERROR(__xludf.DUMMYFUNCTION("""COMPUTED_VALUE"""),"NEW")</f>
        <v>NEW</v>
      </c>
      <c r="E341" s="6">
        <f>IFERROR(__xludf.DUMMYFUNCTION("""COMPUTED_VALUE"""),44736.46792824074)</f>
        <v>44736.46793</v>
      </c>
      <c r="F341" s="4" t="str">
        <f>IFERROR(__xludf.DUMMYFUNCTION("""COMPUTED_VALUE""")," ---")</f>
        <v> ---</v>
      </c>
      <c r="G341" s="4" t="str">
        <f>IFERROR(__xludf.DUMMYFUNCTION("""COMPUTED_VALUE"""),"SUSE Linux Enterprise Server 15 SP4")</f>
        <v>SUSE Linux Enterprise Server 15 SP4</v>
      </c>
      <c r="H341" s="7" t="str">
        <f t="shared" si="3"/>
        <v>NO</v>
      </c>
      <c r="I341" s="7" t="str">
        <f t="shared" si="2"/>
        <v>NO</v>
      </c>
    </row>
    <row r="342">
      <c r="A342" s="4">
        <f>IFERROR(__xludf.DUMMYFUNCTION("""COMPUTED_VALUE"""),1199611.0)</f>
        <v>1199611</v>
      </c>
      <c r="B342" s="4" t="str">
        <f>IFERROR(__xludf.DUMMYFUNCTION("""COMPUTED_VALUE"""),"P4 - Low")</f>
        <v>P4 - Low</v>
      </c>
      <c r="C342" s="5">
        <f>IFERROR(__xludf.DUMMYFUNCTION("""COMPUTED_VALUE"""),44698.40859953704)</f>
        <v>44698.4086</v>
      </c>
      <c r="D342" s="4" t="str">
        <f>IFERROR(__xludf.DUMMYFUNCTION("""COMPUTED_VALUE"""),"NEW")</f>
        <v>NEW</v>
      </c>
      <c r="E342" s="6">
        <f>IFERROR(__xludf.DUMMYFUNCTION("""COMPUTED_VALUE"""),44736.47188657407)</f>
        <v>44736.47189</v>
      </c>
      <c r="F342" s="4" t="str">
        <f>IFERROR(__xludf.DUMMYFUNCTION("""COMPUTED_VALUE""")," ---")</f>
        <v> ---</v>
      </c>
      <c r="G342" s="4" t="str">
        <f>IFERROR(__xludf.DUMMYFUNCTION("""COMPUTED_VALUE"""),"SUSE Linux Enterprise Server 15 SP4")</f>
        <v>SUSE Linux Enterprise Server 15 SP4</v>
      </c>
      <c r="H342" s="7" t="str">
        <f t="shared" si="3"/>
        <v>NO</v>
      </c>
      <c r="I342" s="7" t="str">
        <f t="shared" si="2"/>
        <v>NO</v>
      </c>
    </row>
    <row r="343">
      <c r="A343" s="4">
        <f>IFERROR(__xludf.DUMMYFUNCTION("""COMPUTED_VALUE"""),1189999.0)</f>
        <v>1189999</v>
      </c>
      <c r="B343" s="4" t="str">
        <f>IFERROR(__xludf.DUMMYFUNCTION("""COMPUTED_VALUE"""),"P4 - Low")</f>
        <v>P4 - Low</v>
      </c>
      <c r="C343" s="5">
        <f>IFERROR(__xludf.DUMMYFUNCTION("""COMPUTED_VALUE"""),44439.448425925926)</f>
        <v>44439.44843</v>
      </c>
      <c r="D343" s="4" t="str">
        <f>IFERROR(__xludf.DUMMYFUNCTION("""COMPUTED_VALUE"""),"CONFIRMED")</f>
        <v>CONFIRMED</v>
      </c>
      <c r="E343" s="6">
        <f>IFERROR(__xludf.DUMMYFUNCTION("""COMPUTED_VALUE"""),44693.336909722224)</f>
        <v>44693.33691</v>
      </c>
      <c r="F343" s="4" t="str">
        <f>IFERROR(__xludf.DUMMYFUNCTION("""COMPUTED_VALUE""")," ---")</f>
        <v> ---</v>
      </c>
      <c r="G343" s="4" t="str">
        <f>IFERROR(__xludf.DUMMYFUNCTION("""COMPUTED_VALUE"""),"SUSE Linux Enterprise Server 15 SP4")</f>
        <v>SUSE Linux Enterprise Server 15 SP4</v>
      </c>
      <c r="H343" s="7" t="str">
        <f t="shared" si="3"/>
        <v>NO</v>
      </c>
      <c r="I343" s="7" t="str">
        <f t="shared" si="2"/>
        <v>NO</v>
      </c>
    </row>
    <row r="344">
      <c r="A344" s="4">
        <f>IFERROR(__xludf.DUMMYFUNCTION("""COMPUTED_VALUE"""),1189546.0)</f>
        <v>1189546</v>
      </c>
      <c r="B344" s="4" t="str">
        <f>IFERROR(__xludf.DUMMYFUNCTION("""COMPUTED_VALUE"""),"P4 - Low")</f>
        <v>P4 - Low</v>
      </c>
      <c r="C344" s="5">
        <f>IFERROR(__xludf.DUMMYFUNCTION("""COMPUTED_VALUE"""),44426.250659722224)</f>
        <v>44426.25066</v>
      </c>
      <c r="D344" s="4" t="str">
        <f>IFERROR(__xludf.DUMMYFUNCTION("""COMPUTED_VALUE"""),"CONFIRMED")</f>
        <v>CONFIRMED</v>
      </c>
      <c r="E344" s="6">
        <f>IFERROR(__xludf.DUMMYFUNCTION("""COMPUTED_VALUE"""),44671.69975694444)</f>
        <v>44671.69976</v>
      </c>
      <c r="F344" s="4" t="str">
        <f>IFERROR(__xludf.DUMMYFUNCTION("""COMPUTED_VALUE""")," ---")</f>
        <v> ---</v>
      </c>
      <c r="G344" s="4" t="str">
        <f>IFERROR(__xludf.DUMMYFUNCTION("""COMPUTED_VALUE"""),"SUSE Linux Enterprise Server 15 SP4")</f>
        <v>SUSE Linux Enterprise Server 15 SP4</v>
      </c>
      <c r="H344" s="7" t="str">
        <f t="shared" si="3"/>
        <v>NO</v>
      </c>
      <c r="I344" s="7" t="str">
        <f t="shared" si="2"/>
        <v>NO</v>
      </c>
    </row>
    <row r="345">
      <c r="A345" s="4">
        <f>IFERROR(__xludf.DUMMYFUNCTION("""COMPUTED_VALUE"""),1194656.0)</f>
        <v>1194656</v>
      </c>
      <c r="B345" s="4" t="str">
        <f>IFERROR(__xludf.DUMMYFUNCTION("""COMPUTED_VALUE"""),"P4 - Low")</f>
        <v>P4 - Low</v>
      </c>
      <c r="C345" s="5">
        <f>IFERROR(__xludf.DUMMYFUNCTION("""COMPUTED_VALUE"""),44574.69216435185)</f>
        <v>44574.69216</v>
      </c>
      <c r="D345" s="4" t="str">
        <f>IFERROR(__xludf.DUMMYFUNCTION("""COMPUTED_VALUE"""),"IN_PROGRESS")</f>
        <v>IN_PROGRESS</v>
      </c>
      <c r="E345" s="6">
        <f>IFERROR(__xludf.DUMMYFUNCTION("""COMPUTED_VALUE"""),44668.49670138889)</f>
        <v>44668.4967</v>
      </c>
      <c r="F345" s="4" t="str">
        <f>IFERROR(__xludf.DUMMYFUNCTION("""COMPUTED_VALUE""")," ---")</f>
        <v> ---</v>
      </c>
      <c r="G345" s="4" t="str">
        <f>IFERROR(__xludf.DUMMYFUNCTION("""COMPUTED_VALUE"""),"SUSE Linux Enterprise Server 15 SP4")</f>
        <v>SUSE Linux Enterprise Server 15 SP4</v>
      </c>
      <c r="H345" s="7" t="str">
        <f t="shared" si="3"/>
        <v>NO</v>
      </c>
      <c r="I345" s="7" t="str">
        <f t="shared" si="2"/>
        <v>NO</v>
      </c>
    </row>
    <row r="346">
      <c r="A346" s="4">
        <f>IFERROR(__xludf.DUMMYFUNCTION("""COMPUTED_VALUE"""),1197915.0)</f>
        <v>1197915</v>
      </c>
      <c r="B346" s="4" t="str">
        <f>IFERROR(__xludf.DUMMYFUNCTION("""COMPUTED_VALUE"""),"P4 - Low")</f>
        <v>P4 - Low</v>
      </c>
      <c r="C346" s="5">
        <f>IFERROR(__xludf.DUMMYFUNCTION("""COMPUTED_VALUE"""),44652.418275462966)</f>
        <v>44652.41828</v>
      </c>
      <c r="D346" s="4" t="str">
        <f>IFERROR(__xludf.DUMMYFUNCTION("""COMPUTED_VALUE"""),"IN_PROGRESS")</f>
        <v>IN_PROGRESS</v>
      </c>
      <c r="E346" s="6">
        <f>IFERROR(__xludf.DUMMYFUNCTION("""COMPUTED_VALUE"""),44736.46878472222)</f>
        <v>44736.46878</v>
      </c>
      <c r="F346" s="4" t="str">
        <f>IFERROR(__xludf.DUMMYFUNCTION("""COMPUTED_VALUE""")," ---")</f>
        <v> ---</v>
      </c>
      <c r="G346" s="4" t="str">
        <f>IFERROR(__xludf.DUMMYFUNCTION("""COMPUTED_VALUE"""),"SUSE Linux Enterprise Server 15 SP4")</f>
        <v>SUSE Linux Enterprise Server 15 SP4</v>
      </c>
      <c r="H346" s="7" t="str">
        <f t="shared" si="3"/>
        <v>NO</v>
      </c>
      <c r="I346" s="7" t="str">
        <f t="shared" si="2"/>
        <v>NO</v>
      </c>
    </row>
    <row r="347">
      <c r="A347" s="4">
        <f>IFERROR(__xludf.DUMMYFUNCTION("""COMPUTED_VALUE"""),1195400.0)</f>
        <v>1195400</v>
      </c>
      <c r="B347" s="4" t="str">
        <f>IFERROR(__xludf.DUMMYFUNCTION("""COMPUTED_VALUE"""),"P4 - Low")</f>
        <v>P4 - Low</v>
      </c>
      <c r="C347" s="5">
        <f>IFERROR(__xludf.DUMMYFUNCTION("""COMPUTED_VALUE"""),44593.691875)</f>
        <v>44593.69188</v>
      </c>
      <c r="D347" s="4" t="str">
        <f>IFERROR(__xludf.DUMMYFUNCTION("""COMPUTED_VALUE"""),"IN_PROGRESS")</f>
        <v>IN_PROGRESS</v>
      </c>
      <c r="E347" s="6">
        <f>IFERROR(__xludf.DUMMYFUNCTION("""COMPUTED_VALUE"""),44668.498125)</f>
        <v>44668.49813</v>
      </c>
      <c r="F347" s="4" t="str">
        <f>IFERROR(__xludf.DUMMYFUNCTION("""COMPUTED_VALUE""")," ---")</f>
        <v> ---</v>
      </c>
      <c r="G347" s="4" t="str">
        <f>IFERROR(__xludf.DUMMYFUNCTION("""COMPUTED_VALUE"""),"SUSE Linux Enterprise Server 15 SP4")</f>
        <v>SUSE Linux Enterprise Server 15 SP4</v>
      </c>
      <c r="H347" s="7" t="str">
        <f t="shared" si="3"/>
        <v>NO</v>
      </c>
      <c r="I347" s="7" t="str">
        <f t="shared" si="2"/>
        <v>YES</v>
      </c>
    </row>
    <row r="348">
      <c r="A348" s="4">
        <f>IFERROR(__xludf.DUMMYFUNCTION("""COMPUTED_VALUE"""),1192974.0)</f>
        <v>1192974</v>
      </c>
      <c r="B348" s="4" t="str">
        <f>IFERROR(__xludf.DUMMYFUNCTION("""COMPUTED_VALUE"""),"P4 - Low")</f>
        <v>P4 - Low</v>
      </c>
      <c r="C348" s="5">
        <f>IFERROR(__xludf.DUMMYFUNCTION("""COMPUTED_VALUE"""),44523.34291666667)</f>
        <v>44523.34292</v>
      </c>
      <c r="D348" s="4" t="str">
        <f>IFERROR(__xludf.DUMMYFUNCTION("""COMPUTED_VALUE"""),"IN_PROGRESS")</f>
        <v>IN_PROGRESS</v>
      </c>
      <c r="E348" s="6">
        <f>IFERROR(__xludf.DUMMYFUNCTION("""COMPUTED_VALUE"""),44668.49413194445)</f>
        <v>44668.49413</v>
      </c>
      <c r="F348" s="4" t="str">
        <f>IFERROR(__xludf.DUMMYFUNCTION("""COMPUTED_VALUE""")," ---")</f>
        <v> ---</v>
      </c>
      <c r="G348" s="4" t="str">
        <f>IFERROR(__xludf.DUMMYFUNCTION("""COMPUTED_VALUE"""),"SUSE Linux Enterprise Server 15 SP4")</f>
        <v>SUSE Linux Enterprise Server 15 SP4</v>
      </c>
      <c r="H348" s="7" t="str">
        <f t="shared" si="3"/>
        <v>NO</v>
      </c>
      <c r="I348" s="7" t="str">
        <f t="shared" si="2"/>
        <v>NO</v>
      </c>
    </row>
    <row r="349">
      <c r="A349" s="4">
        <f>IFERROR(__xludf.DUMMYFUNCTION("""COMPUTED_VALUE"""),1190277.0)</f>
        <v>1190277</v>
      </c>
      <c r="B349" s="4" t="str">
        <f>IFERROR(__xludf.DUMMYFUNCTION("""COMPUTED_VALUE"""),"P4 - Low")</f>
        <v>P4 - Low</v>
      </c>
      <c r="C349" s="5">
        <f>IFERROR(__xludf.DUMMYFUNCTION("""COMPUTED_VALUE"""),44446.91542824074)</f>
        <v>44446.91543</v>
      </c>
      <c r="D349" s="4" t="str">
        <f>IFERROR(__xludf.DUMMYFUNCTION("""COMPUTED_VALUE"""),"RESOLVED")</f>
        <v>RESOLVED</v>
      </c>
      <c r="E349" s="6">
        <f>IFERROR(__xludf.DUMMYFUNCTION("""COMPUTED_VALUE"""),44668.49184027778)</f>
        <v>44668.49184</v>
      </c>
      <c r="F349" s="4" t="str">
        <f>IFERROR(__xludf.DUMMYFUNCTION("""COMPUTED_VALUE""")," ---")</f>
        <v> ---</v>
      </c>
      <c r="G349" s="4" t="str">
        <f>IFERROR(__xludf.DUMMYFUNCTION("""COMPUTED_VALUE"""),"SUSE Linux Enterprise Server 15 SP4")</f>
        <v>SUSE Linux Enterprise Server 15 SP4</v>
      </c>
      <c r="H349" s="7" t="str">
        <f t="shared" si="3"/>
        <v>NO</v>
      </c>
      <c r="I349" s="7" t="str">
        <f t="shared" si="2"/>
        <v>NO</v>
      </c>
    </row>
    <row r="350">
      <c r="A350" s="4">
        <f>IFERROR(__xludf.DUMMYFUNCTION("""COMPUTED_VALUE"""),1192997.0)</f>
        <v>1192997</v>
      </c>
      <c r="B350" s="4" t="str">
        <f>IFERROR(__xludf.DUMMYFUNCTION("""COMPUTED_VALUE"""),"P4 - Low")</f>
        <v>P4 - Low</v>
      </c>
      <c r="C350" s="5">
        <f>IFERROR(__xludf.DUMMYFUNCTION("""COMPUTED_VALUE"""),44523.57962962963)</f>
        <v>44523.57963</v>
      </c>
      <c r="D350" s="4" t="str">
        <f>IFERROR(__xludf.DUMMYFUNCTION("""COMPUTED_VALUE"""),"RESOLVED")</f>
        <v>RESOLVED</v>
      </c>
      <c r="E350" s="6">
        <f>IFERROR(__xludf.DUMMYFUNCTION("""COMPUTED_VALUE"""),44665.413935185185)</f>
        <v>44665.41394</v>
      </c>
      <c r="F350" s="4" t="str">
        <f>IFERROR(__xludf.DUMMYFUNCTION("""COMPUTED_VALUE"""),"Yes")</f>
        <v>Yes</v>
      </c>
      <c r="G350" s="4" t="str">
        <f>IFERROR(__xludf.DUMMYFUNCTION("""COMPUTED_VALUE"""),"SUSE Linux Enterprise Server 15 SP4")</f>
        <v>SUSE Linux Enterprise Server 15 SP4</v>
      </c>
      <c r="H350" s="7" t="str">
        <f t="shared" si="3"/>
        <v>NO</v>
      </c>
      <c r="I350" s="7" t="str">
        <f t="shared" si="2"/>
        <v>NO</v>
      </c>
    </row>
    <row r="351">
      <c r="A351" s="4">
        <f>IFERROR(__xludf.DUMMYFUNCTION("""COMPUTED_VALUE"""),1195056.0)</f>
        <v>1195056</v>
      </c>
      <c r="B351" s="4" t="str">
        <f>IFERROR(__xludf.DUMMYFUNCTION("""COMPUTED_VALUE"""),"P4 - Low")</f>
        <v>P4 - Low</v>
      </c>
      <c r="C351" s="5">
        <f>IFERROR(__xludf.DUMMYFUNCTION("""COMPUTED_VALUE"""),44585.54471064815)</f>
        <v>44585.54471</v>
      </c>
      <c r="D351" s="4" t="str">
        <f>IFERROR(__xludf.DUMMYFUNCTION("""COMPUTED_VALUE"""),"RESOLVED")</f>
        <v>RESOLVED</v>
      </c>
      <c r="E351" s="6">
        <f>IFERROR(__xludf.DUMMYFUNCTION("""COMPUTED_VALUE"""),44668.49748842593)</f>
        <v>44668.49749</v>
      </c>
      <c r="F351" s="4" t="str">
        <f>IFERROR(__xludf.DUMMYFUNCTION("""COMPUTED_VALUE""")," ---")</f>
        <v> ---</v>
      </c>
      <c r="G351" s="4" t="str">
        <f>IFERROR(__xludf.DUMMYFUNCTION("""COMPUTED_VALUE"""),"SUSE Linux Enterprise Server 15 SP4")</f>
        <v>SUSE Linux Enterprise Server 15 SP4</v>
      </c>
      <c r="H351" s="7" t="str">
        <f t="shared" si="3"/>
        <v>NO</v>
      </c>
      <c r="I351" s="7" t="str">
        <f t="shared" si="2"/>
        <v>NO</v>
      </c>
    </row>
    <row r="352">
      <c r="A352" s="4">
        <f>IFERROR(__xludf.DUMMYFUNCTION("""COMPUTED_VALUE"""),1199261.0)</f>
        <v>1199261</v>
      </c>
      <c r="B352" s="4" t="str">
        <f>IFERROR(__xludf.DUMMYFUNCTION("""COMPUTED_VALUE"""),"P4 - Low")</f>
        <v>P4 - Low</v>
      </c>
      <c r="C352" s="5">
        <f>IFERROR(__xludf.DUMMYFUNCTION("""COMPUTED_VALUE"""),44686.742430555554)</f>
        <v>44686.74243</v>
      </c>
      <c r="D352" s="4" t="str">
        <f>IFERROR(__xludf.DUMMYFUNCTION("""COMPUTED_VALUE"""),"RESOLVED")</f>
        <v>RESOLVED</v>
      </c>
      <c r="E352" s="6">
        <f>IFERROR(__xludf.DUMMYFUNCTION("""COMPUTED_VALUE"""),44705.52070601852)</f>
        <v>44705.52071</v>
      </c>
      <c r="F352" s="4" t="str">
        <f>IFERROR(__xludf.DUMMYFUNCTION("""COMPUTED_VALUE""")," ---")</f>
        <v> ---</v>
      </c>
      <c r="G352" s="4" t="str">
        <f>IFERROR(__xludf.DUMMYFUNCTION("""COMPUTED_VALUE"""),"SUSE Linux Enterprise Server 15 SP4")</f>
        <v>SUSE Linux Enterprise Server 15 SP4</v>
      </c>
      <c r="H352" s="7" t="str">
        <f t="shared" si="3"/>
        <v>NO</v>
      </c>
      <c r="I352" s="7" t="str">
        <f t="shared" si="2"/>
        <v>NO</v>
      </c>
    </row>
    <row r="353">
      <c r="A353" s="4">
        <f>IFERROR(__xludf.DUMMYFUNCTION("""COMPUTED_VALUE"""),1190050.0)</f>
        <v>1190050</v>
      </c>
      <c r="B353" s="4" t="str">
        <f>IFERROR(__xludf.DUMMYFUNCTION("""COMPUTED_VALUE"""),"P4 - Low")</f>
        <v>P4 - Low</v>
      </c>
      <c r="C353" s="5">
        <f>IFERROR(__xludf.DUMMYFUNCTION("""COMPUTED_VALUE"""),44440.421898148146)</f>
        <v>44440.4219</v>
      </c>
      <c r="D353" s="4" t="str">
        <f>IFERROR(__xludf.DUMMYFUNCTION("""COMPUTED_VALUE"""),"RESOLVED")</f>
        <v>RESOLVED</v>
      </c>
      <c r="E353" s="6">
        <f>IFERROR(__xludf.DUMMYFUNCTION("""COMPUTED_VALUE"""),44736.5399537037)</f>
        <v>44736.53995</v>
      </c>
      <c r="F353" s="4" t="str">
        <f>IFERROR(__xludf.DUMMYFUNCTION("""COMPUTED_VALUE""")," ---")</f>
        <v> ---</v>
      </c>
      <c r="G353" s="4" t="str">
        <f>IFERROR(__xludf.DUMMYFUNCTION("""COMPUTED_VALUE"""),"SUSE Linux Enterprise Server 15 SP4")</f>
        <v>SUSE Linux Enterprise Server 15 SP4</v>
      </c>
      <c r="H353" s="7" t="str">
        <f t="shared" si="3"/>
        <v>NO</v>
      </c>
      <c r="I353" s="7" t="str">
        <f t="shared" si="2"/>
        <v>NO</v>
      </c>
    </row>
    <row r="354">
      <c r="A354" s="4">
        <f>IFERROR(__xludf.DUMMYFUNCTION("""COMPUTED_VALUE"""),1190120.0)</f>
        <v>1190120</v>
      </c>
      <c r="B354" s="4" t="str">
        <f>IFERROR(__xludf.DUMMYFUNCTION("""COMPUTED_VALUE"""),"P4 - Low")</f>
        <v>P4 - Low</v>
      </c>
      <c r="C354" s="5">
        <f>IFERROR(__xludf.DUMMYFUNCTION("""COMPUTED_VALUE"""),44441.60472222222)</f>
        <v>44441.60472</v>
      </c>
      <c r="D354" s="4" t="str">
        <f>IFERROR(__xludf.DUMMYFUNCTION("""COMPUTED_VALUE"""),"RESOLVED")</f>
        <v>RESOLVED</v>
      </c>
      <c r="E354" s="6">
        <f>IFERROR(__xludf.DUMMYFUNCTION("""COMPUTED_VALUE"""),44736.53983796296)</f>
        <v>44736.53984</v>
      </c>
      <c r="F354" s="4" t="str">
        <f>IFERROR(__xludf.DUMMYFUNCTION("""COMPUTED_VALUE""")," ---")</f>
        <v> ---</v>
      </c>
      <c r="G354" s="4" t="str">
        <f>IFERROR(__xludf.DUMMYFUNCTION("""COMPUTED_VALUE"""),"SUSE Linux Enterprise Server 15 SP4")</f>
        <v>SUSE Linux Enterprise Server 15 SP4</v>
      </c>
      <c r="H354" s="7" t="str">
        <f t="shared" si="3"/>
        <v>NO</v>
      </c>
      <c r="I354" s="7" t="str">
        <f t="shared" si="2"/>
        <v>NO</v>
      </c>
    </row>
    <row r="355">
      <c r="A355" s="4">
        <f>IFERROR(__xludf.DUMMYFUNCTION("""COMPUTED_VALUE"""),1190187.0)</f>
        <v>1190187</v>
      </c>
      <c r="B355" s="4" t="str">
        <f>IFERROR(__xludf.DUMMYFUNCTION("""COMPUTED_VALUE"""),"P4 - Low")</f>
        <v>P4 - Low</v>
      </c>
      <c r="C355" s="5">
        <f>IFERROR(__xludf.DUMMYFUNCTION("""COMPUTED_VALUE"""),44442.86114583333)</f>
        <v>44442.86115</v>
      </c>
      <c r="D355" s="4" t="str">
        <f>IFERROR(__xludf.DUMMYFUNCTION("""COMPUTED_VALUE"""),"RESOLVED")</f>
        <v>RESOLVED</v>
      </c>
      <c r="E355" s="6">
        <f>IFERROR(__xludf.DUMMYFUNCTION("""COMPUTED_VALUE"""),44668.491689814815)</f>
        <v>44668.49169</v>
      </c>
      <c r="F355" s="4" t="str">
        <f>IFERROR(__xludf.DUMMYFUNCTION("""COMPUTED_VALUE""")," ---")</f>
        <v> ---</v>
      </c>
      <c r="G355" s="4" t="str">
        <f>IFERROR(__xludf.DUMMYFUNCTION("""COMPUTED_VALUE"""),"SUSE Linux Enterprise Server 15 SP4")</f>
        <v>SUSE Linux Enterprise Server 15 SP4</v>
      </c>
      <c r="H355" s="7" t="str">
        <f t="shared" si="3"/>
        <v>NO</v>
      </c>
      <c r="I355" s="7" t="str">
        <f t="shared" si="2"/>
        <v>NO</v>
      </c>
    </row>
    <row r="356">
      <c r="A356" s="4">
        <f>IFERROR(__xludf.DUMMYFUNCTION("""COMPUTED_VALUE"""),1190208.0)</f>
        <v>1190208</v>
      </c>
      <c r="B356" s="4" t="str">
        <f>IFERROR(__xludf.DUMMYFUNCTION("""COMPUTED_VALUE"""),"P4 - Low")</f>
        <v>P4 - Low</v>
      </c>
      <c r="C356" s="5">
        <f>IFERROR(__xludf.DUMMYFUNCTION("""COMPUTED_VALUE"""),44445.34538194445)</f>
        <v>44445.34538</v>
      </c>
      <c r="D356" s="4" t="str">
        <f>IFERROR(__xludf.DUMMYFUNCTION("""COMPUTED_VALUE"""),"RESOLVED")</f>
        <v>RESOLVED</v>
      </c>
      <c r="E356" s="6">
        <f>IFERROR(__xludf.DUMMYFUNCTION("""COMPUTED_VALUE"""),44736.53975694445)</f>
        <v>44736.53976</v>
      </c>
      <c r="F356" s="4" t="str">
        <f>IFERROR(__xludf.DUMMYFUNCTION("""COMPUTED_VALUE""")," ---")</f>
        <v> ---</v>
      </c>
      <c r="G356" s="4" t="str">
        <f>IFERROR(__xludf.DUMMYFUNCTION("""COMPUTED_VALUE"""),"SUSE Linux Enterprise Server 15 SP4")</f>
        <v>SUSE Linux Enterprise Server 15 SP4</v>
      </c>
      <c r="H356" s="7" t="str">
        <f t="shared" si="3"/>
        <v>NO</v>
      </c>
      <c r="I356" s="7" t="str">
        <f t="shared" si="2"/>
        <v>NO</v>
      </c>
    </row>
    <row r="357">
      <c r="A357" s="4">
        <f>IFERROR(__xludf.DUMMYFUNCTION("""COMPUTED_VALUE"""),1190209.0)</f>
        <v>1190209</v>
      </c>
      <c r="B357" s="4" t="str">
        <f>IFERROR(__xludf.DUMMYFUNCTION("""COMPUTED_VALUE"""),"P4 - Low")</f>
        <v>P4 - Low</v>
      </c>
      <c r="C357" s="5">
        <f>IFERROR(__xludf.DUMMYFUNCTION("""COMPUTED_VALUE"""),44445.347766203704)</f>
        <v>44445.34777</v>
      </c>
      <c r="D357" s="4" t="str">
        <f>IFERROR(__xludf.DUMMYFUNCTION("""COMPUTED_VALUE"""),"RESOLVED")</f>
        <v>RESOLVED</v>
      </c>
      <c r="E357" s="6">
        <f>IFERROR(__xludf.DUMMYFUNCTION("""COMPUTED_VALUE"""),44736.53965277778)</f>
        <v>44736.53965</v>
      </c>
      <c r="F357" s="4" t="str">
        <f>IFERROR(__xludf.DUMMYFUNCTION("""COMPUTED_VALUE""")," ---")</f>
        <v> ---</v>
      </c>
      <c r="G357" s="4" t="str">
        <f>IFERROR(__xludf.DUMMYFUNCTION("""COMPUTED_VALUE"""),"SUSE Linux Enterprise Server 15 SP4")</f>
        <v>SUSE Linux Enterprise Server 15 SP4</v>
      </c>
      <c r="H357" s="7" t="str">
        <f t="shared" si="3"/>
        <v>NO</v>
      </c>
      <c r="I357" s="7" t="str">
        <f t="shared" si="2"/>
        <v>NO</v>
      </c>
    </row>
    <row r="358">
      <c r="A358" s="4">
        <f>IFERROR(__xludf.DUMMYFUNCTION("""COMPUTED_VALUE"""),1190232.0)</f>
        <v>1190232</v>
      </c>
      <c r="B358" s="4" t="str">
        <f>IFERROR(__xludf.DUMMYFUNCTION("""COMPUTED_VALUE"""),"P4 - Low")</f>
        <v>P4 - Low</v>
      </c>
      <c r="C358" s="5">
        <f>IFERROR(__xludf.DUMMYFUNCTION("""COMPUTED_VALUE"""),44445.78707175926)</f>
        <v>44445.78707</v>
      </c>
      <c r="D358" s="4" t="str">
        <f>IFERROR(__xludf.DUMMYFUNCTION("""COMPUTED_VALUE"""),"RESOLVED")</f>
        <v>RESOLVED</v>
      </c>
      <c r="E358" s="6">
        <f>IFERROR(__xludf.DUMMYFUNCTION("""COMPUTED_VALUE"""),44668.49180555555)</f>
        <v>44668.49181</v>
      </c>
      <c r="F358" s="4" t="str">
        <f>IFERROR(__xludf.DUMMYFUNCTION("""COMPUTED_VALUE""")," ---")</f>
        <v> ---</v>
      </c>
      <c r="G358" s="4" t="str">
        <f>IFERROR(__xludf.DUMMYFUNCTION("""COMPUTED_VALUE"""),"SUSE Linux Enterprise Server 15 SP4")</f>
        <v>SUSE Linux Enterprise Server 15 SP4</v>
      </c>
      <c r="H358" s="7" t="str">
        <f t="shared" si="3"/>
        <v>NO</v>
      </c>
      <c r="I358" s="7" t="str">
        <f t="shared" si="2"/>
        <v>NO</v>
      </c>
    </row>
    <row r="359">
      <c r="A359" s="4">
        <f>IFERROR(__xludf.DUMMYFUNCTION("""COMPUTED_VALUE"""),1190282.0)</f>
        <v>1190282</v>
      </c>
      <c r="B359" s="4" t="str">
        <f>IFERROR(__xludf.DUMMYFUNCTION("""COMPUTED_VALUE"""),"P4 - Low")</f>
        <v>P4 - Low</v>
      </c>
      <c r="C359" s="5">
        <f>IFERROR(__xludf.DUMMYFUNCTION("""COMPUTED_VALUE"""),44447.144270833334)</f>
        <v>44447.14427</v>
      </c>
      <c r="D359" s="4" t="str">
        <f>IFERROR(__xludf.DUMMYFUNCTION("""COMPUTED_VALUE"""),"RESOLVED")</f>
        <v>RESOLVED</v>
      </c>
      <c r="E359" s="6">
        <f>IFERROR(__xludf.DUMMYFUNCTION("""COMPUTED_VALUE"""),44668.491875)</f>
        <v>44668.49188</v>
      </c>
      <c r="F359" s="4" t="str">
        <f>IFERROR(__xludf.DUMMYFUNCTION("""COMPUTED_VALUE""")," ---")</f>
        <v> ---</v>
      </c>
      <c r="G359" s="4" t="str">
        <f>IFERROR(__xludf.DUMMYFUNCTION("""COMPUTED_VALUE"""),"SUSE Linux Enterprise Server 15 SP4")</f>
        <v>SUSE Linux Enterprise Server 15 SP4</v>
      </c>
      <c r="H359" s="7" t="str">
        <f t="shared" si="3"/>
        <v>NO</v>
      </c>
      <c r="I359" s="7" t="str">
        <f t="shared" si="2"/>
        <v>NO</v>
      </c>
    </row>
    <row r="360">
      <c r="A360" s="4">
        <f>IFERROR(__xludf.DUMMYFUNCTION("""COMPUTED_VALUE"""),1190366.0)</f>
        <v>1190366</v>
      </c>
      <c r="B360" s="4" t="str">
        <f>IFERROR(__xludf.DUMMYFUNCTION("""COMPUTED_VALUE"""),"P4 - Low")</f>
        <v>P4 - Low</v>
      </c>
      <c r="C360" s="5">
        <f>IFERROR(__xludf.DUMMYFUNCTION("""COMPUTED_VALUE"""),44449.09462962963)</f>
        <v>44449.09463</v>
      </c>
      <c r="D360" s="4" t="str">
        <f>IFERROR(__xludf.DUMMYFUNCTION("""COMPUTED_VALUE"""),"RESOLVED")</f>
        <v>RESOLVED</v>
      </c>
      <c r="E360" s="6">
        <f>IFERROR(__xludf.DUMMYFUNCTION("""COMPUTED_VALUE"""),44668.491956018515)</f>
        <v>44668.49196</v>
      </c>
      <c r="F360" s="4" t="str">
        <f>IFERROR(__xludf.DUMMYFUNCTION("""COMPUTED_VALUE""")," ---")</f>
        <v> ---</v>
      </c>
      <c r="G360" s="4" t="str">
        <f>IFERROR(__xludf.DUMMYFUNCTION("""COMPUTED_VALUE"""),"SUSE Linux Enterprise Server 15 SP4")</f>
        <v>SUSE Linux Enterprise Server 15 SP4</v>
      </c>
      <c r="H360" s="7" t="str">
        <f t="shared" si="3"/>
        <v>NO</v>
      </c>
      <c r="I360" s="7" t="str">
        <f t="shared" si="2"/>
        <v>NO</v>
      </c>
    </row>
    <row r="361">
      <c r="A361" s="4">
        <f>IFERROR(__xludf.DUMMYFUNCTION("""COMPUTED_VALUE"""),1189998.0)</f>
        <v>1189998</v>
      </c>
      <c r="B361" s="4" t="str">
        <f>IFERROR(__xludf.DUMMYFUNCTION("""COMPUTED_VALUE"""),"P4 - Low")</f>
        <v>P4 - Low</v>
      </c>
      <c r="C361" s="5">
        <f>IFERROR(__xludf.DUMMYFUNCTION("""COMPUTED_VALUE"""),44439.42833333334)</f>
        <v>44439.42833</v>
      </c>
      <c r="D361" s="4" t="str">
        <f>IFERROR(__xludf.DUMMYFUNCTION("""COMPUTED_VALUE"""),"RESOLVED")</f>
        <v>RESOLVED</v>
      </c>
      <c r="E361" s="6">
        <f>IFERROR(__xludf.DUMMYFUNCTION("""COMPUTED_VALUE"""),44736.53922453704)</f>
        <v>44736.53922</v>
      </c>
      <c r="F361" s="4" t="str">
        <f>IFERROR(__xludf.DUMMYFUNCTION("""COMPUTED_VALUE""")," ---")</f>
        <v> ---</v>
      </c>
      <c r="G361" s="4" t="str">
        <f>IFERROR(__xludf.DUMMYFUNCTION("""COMPUTED_VALUE"""),"SUSE Linux Enterprise Server 15 SP4")</f>
        <v>SUSE Linux Enterprise Server 15 SP4</v>
      </c>
      <c r="H361" s="7" t="str">
        <f t="shared" si="3"/>
        <v>NO</v>
      </c>
      <c r="I361" s="7" t="str">
        <f t="shared" si="2"/>
        <v>NO</v>
      </c>
    </row>
    <row r="362">
      <c r="A362" s="4">
        <f>IFERROR(__xludf.DUMMYFUNCTION("""COMPUTED_VALUE"""),1190449.0)</f>
        <v>1190449</v>
      </c>
      <c r="B362" s="4" t="str">
        <f>IFERROR(__xludf.DUMMYFUNCTION("""COMPUTED_VALUE"""),"P4 - Low")</f>
        <v>P4 - Low</v>
      </c>
      <c r="C362" s="5">
        <f>IFERROR(__xludf.DUMMYFUNCTION("""COMPUTED_VALUE"""),44452.6844212963)</f>
        <v>44452.68442</v>
      </c>
      <c r="D362" s="4" t="str">
        <f>IFERROR(__xludf.DUMMYFUNCTION("""COMPUTED_VALUE"""),"RESOLVED")</f>
        <v>RESOLVED</v>
      </c>
      <c r="E362" s="6">
        <f>IFERROR(__xludf.DUMMYFUNCTION("""COMPUTED_VALUE"""),44668.492106481484)</f>
        <v>44668.49211</v>
      </c>
      <c r="F362" s="4" t="str">
        <f>IFERROR(__xludf.DUMMYFUNCTION("""COMPUTED_VALUE""")," ---")</f>
        <v> ---</v>
      </c>
      <c r="G362" s="4" t="str">
        <f>IFERROR(__xludf.DUMMYFUNCTION("""COMPUTED_VALUE"""),"SUSE Linux Enterprise Server 15 SP4")</f>
        <v>SUSE Linux Enterprise Server 15 SP4</v>
      </c>
      <c r="H362" s="7" t="str">
        <f t="shared" si="3"/>
        <v>NO</v>
      </c>
      <c r="I362" s="7" t="str">
        <f t="shared" si="2"/>
        <v>NO</v>
      </c>
    </row>
    <row r="363">
      <c r="A363" s="4">
        <f>IFERROR(__xludf.DUMMYFUNCTION("""COMPUTED_VALUE"""),1190450.0)</f>
        <v>1190450</v>
      </c>
      <c r="B363" s="4" t="str">
        <f>IFERROR(__xludf.DUMMYFUNCTION("""COMPUTED_VALUE"""),"P4 - Low")</f>
        <v>P4 - Low</v>
      </c>
      <c r="C363" s="5">
        <f>IFERROR(__xludf.DUMMYFUNCTION("""COMPUTED_VALUE"""),44452.68483796297)</f>
        <v>44452.68484</v>
      </c>
      <c r="D363" s="4" t="str">
        <f>IFERROR(__xludf.DUMMYFUNCTION("""COMPUTED_VALUE"""),"RESOLVED")</f>
        <v>RESOLVED</v>
      </c>
      <c r="E363" s="6">
        <f>IFERROR(__xludf.DUMMYFUNCTION("""COMPUTED_VALUE"""),44668.4921412037)</f>
        <v>44668.49214</v>
      </c>
      <c r="F363" s="4" t="str">
        <f>IFERROR(__xludf.DUMMYFUNCTION("""COMPUTED_VALUE""")," ---")</f>
        <v> ---</v>
      </c>
      <c r="G363" s="4" t="str">
        <f>IFERROR(__xludf.DUMMYFUNCTION("""COMPUTED_VALUE"""),"SUSE Linux Enterprise Server 15 SP4")</f>
        <v>SUSE Linux Enterprise Server 15 SP4</v>
      </c>
      <c r="H363" s="7" t="str">
        <f t="shared" si="3"/>
        <v>NO</v>
      </c>
      <c r="I363" s="7" t="str">
        <f t="shared" si="2"/>
        <v>NO</v>
      </c>
    </row>
    <row r="364">
      <c r="A364" s="4">
        <f>IFERROR(__xludf.DUMMYFUNCTION("""COMPUTED_VALUE"""),1190451.0)</f>
        <v>1190451</v>
      </c>
      <c r="B364" s="4" t="str">
        <f>IFERROR(__xludf.DUMMYFUNCTION("""COMPUTED_VALUE"""),"P4 - Low")</f>
        <v>P4 - Low</v>
      </c>
      <c r="C364" s="5">
        <f>IFERROR(__xludf.DUMMYFUNCTION("""COMPUTED_VALUE"""),44452.685162037036)</f>
        <v>44452.68516</v>
      </c>
      <c r="D364" s="4" t="str">
        <f>IFERROR(__xludf.DUMMYFUNCTION("""COMPUTED_VALUE"""),"RESOLVED")</f>
        <v>RESOLVED</v>
      </c>
      <c r="E364" s="6">
        <f>IFERROR(__xludf.DUMMYFUNCTION("""COMPUTED_VALUE"""),44668.49217592592)</f>
        <v>44668.49218</v>
      </c>
      <c r="F364" s="4" t="str">
        <f>IFERROR(__xludf.DUMMYFUNCTION("""COMPUTED_VALUE""")," ---")</f>
        <v> ---</v>
      </c>
      <c r="G364" s="4" t="str">
        <f>IFERROR(__xludf.DUMMYFUNCTION("""COMPUTED_VALUE"""),"SUSE Linux Enterprise Server 15 SP4")</f>
        <v>SUSE Linux Enterprise Server 15 SP4</v>
      </c>
      <c r="H364" s="7" t="str">
        <f t="shared" si="3"/>
        <v>NO</v>
      </c>
      <c r="I364" s="7" t="str">
        <f t="shared" si="2"/>
        <v>NO</v>
      </c>
    </row>
    <row r="365">
      <c r="A365" s="4">
        <f>IFERROR(__xludf.DUMMYFUNCTION("""COMPUTED_VALUE"""),1193924.0)</f>
        <v>1193924</v>
      </c>
      <c r="B365" s="4" t="str">
        <f>IFERROR(__xludf.DUMMYFUNCTION("""COMPUTED_VALUE"""),"P4 - Low")</f>
        <v>P4 - Low</v>
      </c>
      <c r="C365" s="5">
        <f>IFERROR(__xludf.DUMMYFUNCTION("""COMPUTED_VALUE"""),44550.59112268518)</f>
        <v>44550.59112</v>
      </c>
      <c r="D365" s="4" t="str">
        <f>IFERROR(__xludf.DUMMYFUNCTION("""COMPUTED_VALUE"""),"RESOLVED")</f>
        <v>RESOLVED</v>
      </c>
      <c r="E365" s="6">
        <f>IFERROR(__xludf.DUMMYFUNCTION("""COMPUTED_VALUE"""),44668.49542824074)</f>
        <v>44668.49543</v>
      </c>
      <c r="F365" s="4" t="str">
        <f>IFERROR(__xludf.DUMMYFUNCTION("""COMPUTED_VALUE""")," ---")</f>
        <v> ---</v>
      </c>
      <c r="G365" s="4" t="str">
        <f>IFERROR(__xludf.DUMMYFUNCTION("""COMPUTED_VALUE"""),"SUSE Linux Enterprise Server 15 SP4")</f>
        <v>SUSE Linux Enterprise Server 15 SP4</v>
      </c>
      <c r="H365" s="7" t="str">
        <f t="shared" si="3"/>
        <v>NO</v>
      </c>
      <c r="I365" s="7" t="str">
        <f t="shared" si="2"/>
        <v>NO</v>
      </c>
    </row>
    <row r="366">
      <c r="A366" s="4">
        <f>IFERROR(__xludf.DUMMYFUNCTION("""COMPUTED_VALUE"""),1193925.0)</f>
        <v>1193925</v>
      </c>
      <c r="B366" s="4" t="str">
        <f>IFERROR(__xludf.DUMMYFUNCTION("""COMPUTED_VALUE"""),"P4 - Low")</f>
        <v>P4 - Low</v>
      </c>
      <c r="C366" s="5">
        <f>IFERROR(__xludf.DUMMYFUNCTION("""COMPUTED_VALUE"""),44550.59118055556)</f>
        <v>44550.59118</v>
      </c>
      <c r="D366" s="4" t="str">
        <f>IFERROR(__xludf.DUMMYFUNCTION("""COMPUTED_VALUE"""),"RESOLVED")</f>
        <v>RESOLVED</v>
      </c>
      <c r="E366" s="6">
        <f>IFERROR(__xludf.DUMMYFUNCTION("""COMPUTED_VALUE"""),44668.495462962965)</f>
        <v>44668.49546</v>
      </c>
      <c r="F366" s="4" t="str">
        <f>IFERROR(__xludf.DUMMYFUNCTION("""COMPUTED_VALUE""")," ---")</f>
        <v> ---</v>
      </c>
      <c r="G366" s="4" t="str">
        <f>IFERROR(__xludf.DUMMYFUNCTION("""COMPUTED_VALUE"""),"SUSE Linux Enterprise Server 15 SP4")</f>
        <v>SUSE Linux Enterprise Server 15 SP4</v>
      </c>
      <c r="H366" s="7" t="str">
        <f t="shared" si="3"/>
        <v>NO</v>
      </c>
      <c r="I366" s="7" t="str">
        <f t="shared" si="2"/>
        <v>NO</v>
      </c>
    </row>
    <row r="367">
      <c r="A367" s="4">
        <f>IFERROR(__xludf.DUMMYFUNCTION("""COMPUTED_VALUE"""),1196723.0)</f>
        <v>1196723</v>
      </c>
      <c r="B367" s="4" t="str">
        <f>IFERROR(__xludf.DUMMYFUNCTION("""COMPUTED_VALUE"""),"P4 - Low")</f>
        <v>P4 - Low</v>
      </c>
      <c r="C367" s="5">
        <f>IFERROR(__xludf.DUMMYFUNCTION("""COMPUTED_VALUE"""),44623.74737268518)</f>
        <v>44623.74737</v>
      </c>
      <c r="D367" s="4" t="str">
        <f>IFERROR(__xludf.DUMMYFUNCTION("""COMPUTED_VALUE"""),"RESOLVED")</f>
        <v>RESOLVED</v>
      </c>
      <c r="E367" s="6">
        <f>IFERROR(__xludf.DUMMYFUNCTION("""COMPUTED_VALUE"""),44736.467152777775)</f>
        <v>44736.46715</v>
      </c>
      <c r="F367" s="4" t="str">
        <f>IFERROR(__xludf.DUMMYFUNCTION("""COMPUTED_VALUE""")," ---")</f>
        <v> ---</v>
      </c>
      <c r="G367" s="4" t="str">
        <f>IFERROR(__xludf.DUMMYFUNCTION("""COMPUTED_VALUE"""),"SUSE Linux Enterprise Server 15 SP4")</f>
        <v>SUSE Linux Enterprise Server 15 SP4</v>
      </c>
      <c r="H367" s="7" t="str">
        <f t="shared" si="3"/>
        <v>NO</v>
      </c>
      <c r="I367" s="7" t="str">
        <f t="shared" si="2"/>
        <v>NO</v>
      </c>
    </row>
    <row r="368">
      <c r="A368" s="4">
        <f>IFERROR(__xludf.DUMMYFUNCTION("""COMPUTED_VALUE"""),1196866.0)</f>
        <v>1196866</v>
      </c>
      <c r="B368" s="4" t="str">
        <f>IFERROR(__xludf.DUMMYFUNCTION("""COMPUTED_VALUE"""),"P4 - Low")</f>
        <v>P4 - Low</v>
      </c>
      <c r="C368" s="5">
        <f>IFERROR(__xludf.DUMMYFUNCTION("""COMPUTED_VALUE"""),44628.5356712963)</f>
        <v>44628.53567</v>
      </c>
      <c r="D368" s="4" t="str">
        <f>IFERROR(__xludf.DUMMYFUNCTION("""COMPUTED_VALUE"""),"RESOLVED")</f>
        <v>RESOLVED</v>
      </c>
      <c r="E368" s="6">
        <f>IFERROR(__xludf.DUMMYFUNCTION("""COMPUTED_VALUE"""),44736.467361111114)</f>
        <v>44736.46736</v>
      </c>
      <c r="F368" s="4" t="str">
        <f>IFERROR(__xludf.DUMMYFUNCTION("""COMPUTED_VALUE""")," ---")</f>
        <v> ---</v>
      </c>
      <c r="G368" s="4" t="str">
        <f>IFERROR(__xludf.DUMMYFUNCTION("""COMPUTED_VALUE"""),"SUSE Linux Enterprise Server 15 SP4")</f>
        <v>SUSE Linux Enterprise Server 15 SP4</v>
      </c>
      <c r="H368" s="7" t="str">
        <f t="shared" si="3"/>
        <v>NO</v>
      </c>
      <c r="I368" s="7" t="str">
        <f t="shared" si="2"/>
        <v>NO</v>
      </c>
    </row>
    <row r="369">
      <c r="A369" s="4">
        <f>IFERROR(__xludf.DUMMYFUNCTION("""COMPUTED_VALUE"""),1196868.0)</f>
        <v>1196868</v>
      </c>
      <c r="B369" s="4" t="str">
        <f>IFERROR(__xludf.DUMMYFUNCTION("""COMPUTED_VALUE"""),"P4 - Low")</f>
        <v>P4 - Low</v>
      </c>
      <c r="C369" s="5">
        <f>IFERROR(__xludf.DUMMYFUNCTION("""COMPUTED_VALUE"""),44628.55674768519)</f>
        <v>44628.55675</v>
      </c>
      <c r="D369" s="4" t="str">
        <f>IFERROR(__xludf.DUMMYFUNCTION("""COMPUTED_VALUE"""),"RESOLVED")</f>
        <v>RESOLVED</v>
      </c>
      <c r="E369" s="6">
        <f>IFERROR(__xludf.DUMMYFUNCTION("""COMPUTED_VALUE"""),44736.46739583334)</f>
        <v>44736.4674</v>
      </c>
      <c r="F369" s="4" t="str">
        <f>IFERROR(__xludf.DUMMYFUNCTION("""COMPUTED_VALUE""")," ---")</f>
        <v> ---</v>
      </c>
      <c r="G369" s="4" t="str">
        <f>IFERROR(__xludf.DUMMYFUNCTION("""COMPUTED_VALUE"""),"SUSE Linux Enterprise Server 15 SP4")</f>
        <v>SUSE Linux Enterprise Server 15 SP4</v>
      </c>
      <c r="H369" s="7" t="str">
        <f t="shared" si="3"/>
        <v>NO</v>
      </c>
      <c r="I369" s="7" t="str">
        <f t="shared" si="2"/>
        <v>NO</v>
      </c>
    </row>
    <row r="370">
      <c r="A370" s="4">
        <f>IFERROR(__xludf.DUMMYFUNCTION("""COMPUTED_VALUE"""),1196869.0)</f>
        <v>1196869</v>
      </c>
      <c r="B370" s="4" t="str">
        <f>IFERROR(__xludf.DUMMYFUNCTION("""COMPUTED_VALUE"""),"P4 - Low")</f>
        <v>P4 - Low</v>
      </c>
      <c r="C370" s="5">
        <f>IFERROR(__xludf.DUMMYFUNCTION("""COMPUTED_VALUE"""),44628.57386574074)</f>
        <v>44628.57387</v>
      </c>
      <c r="D370" s="4" t="str">
        <f>IFERROR(__xludf.DUMMYFUNCTION("""COMPUTED_VALUE"""),"RESOLVED")</f>
        <v>RESOLVED</v>
      </c>
      <c r="E370" s="6">
        <f>IFERROR(__xludf.DUMMYFUNCTION("""COMPUTED_VALUE"""),44736.46743055555)</f>
        <v>44736.46743</v>
      </c>
      <c r="F370" s="4" t="str">
        <f>IFERROR(__xludf.DUMMYFUNCTION("""COMPUTED_VALUE""")," ---")</f>
        <v> ---</v>
      </c>
      <c r="G370" s="4" t="str">
        <f>IFERROR(__xludf.DUMMYFUNCTION("""COMPUTED_VALUE"""),"SUSE Linux Enterprise Server 15 SP4")</f>
        <v>SUSE Linux Enterprise Server 15 SP4</v>
      </c>
      <c r="H370" s="7" t="str">
        <f t="shared" si="3"/>
        <v>NO</v>
      </c>
      <c r="I370" s="7" t="str">
        <f t="shared" si="2"/>
        <v>NO</v>
      </c>
    </row>
    <row r="371">
      <c r="A371" s="4">
        <f>IFERROR(__xludf.DUMMYFUNCTION("""COMPUTED_VALUE"""),1191256.0)</f>
        <v>1191256</v>
      </c>
      <c r="B371" s="4" t="str">
        <f>IFERROR(__xludf.DUMMYFUNCTION("""COMPUTED_VALUE"""),"P4 - Low")</f>
        <v>P4 - Low</v>
      </c>
      <c r="C371" s="5">
        <f>IFERROR(__xludf.DUMMYFUNCTION("""COMPUTED_VALUE"""),44473.30480324074)</f>
        <v>44473.3048</v>
      </c>
      <c r="D371" s="4" t="str">
        <f>IFERROR(__xludf.DUMMYFUNCTION("""COMPUTED_VALUE"""),"RESOLVED")</f>
        <v>RESOLVED</v>
      </c>
      <c r="E371" s="6">
        <f>IFERROR(__xludf.DUMMYFUNCTION("""COMPUTED_VALUE"""),44668.49260416667)</f>
        <v>44668.4926</v>
      </c>
      <c r="F371" s="4" t="str">
        <f>IFERROR(__xludf.DUMMYFUNCTION("""COMPUTED_VALUE""")," ---")</f>
        <v> ---</v>
      </c>
      <c r="G371" s="4" t="str">
        <f>IFERROR(__xludf.DUMMYFUNCTION("""COMPUTED_VALUE"""),"SUSE Linux Enterprise Server 15 SP4")</f>
        <v>SUSE Linux Enterprise Server 15 SP4</v>
      </c>
      <c r="H371" s="7" t="str">
        <f t="shared" si="3"/>
        <v>NO</v>
      </c>
      <c r="I371" s="7" t="str">
        <f t="shared" si="2"/>
        <v>NO</v>
      </c>
    </row>
    <row r="372">
      <c r="A372" s="4">
        <f>IFERROR(__xludf.DUMMYFUNCTION("""COMPUTED_VALUE"""),1191257.0)</f>
        <v>1191257</v>
      </c>
      <c r="B372" s="4" t="str">
        <f>IFERROR(__xludf.DUMMYFUNCTION("""COMPUTED_VALUE"""),"P4 - Low")</f>
        <v>P4 - Low</v>
      </c>
      <c r="C372" s="5">
        <f>IFERROR(__xludf.DUMMYFUNCTION("""COMPUTED_VALUE"""),44473.30758101852)</f>
        <v>44473.30758</v>
      </c>
      <c r="D372" s="4" t="str">
        <f>IFERROR(__xludf.DUMMYFUNCTION("""COMPUTED_VALUE"""),"RESOLVED")</f>
        <v>RESOLVED</v>
      </c>
      <c r="E372" s="6">
        <f>IFERROR(__xludf.DUMMYFUNCTION("""COMPUTED_VALUE"""),44627.41173611111)</f>
        <v>44627.41174</v>
      </c>
      <c r="F372" s="4" t="str">
        <f>IFERROR(__xludf.DUMMYFUNCTION("""COMPUTED_VALUE""")," ---")</f>
        <v> ---</v>
      </c>
      <c r="G372" s="4" t="str">
        <f>IFERROR(__xludf.DUMMYFUNCTION("""COMPUTED_VALUE"""),"SUSE Linux Enterprise Server 15 SP4")</f>
        <v>SUSE Linux Enterprise Server 15 SP4</v>
      </c>
      <c r="H372" s="7" t="str">
        <f t="shared" si="3"/>
        <v>NO</v>
      </c>
      <c r="I372" s="7" t="str">
        <f t="shared" si="2"/>
        <v>NO</v>
      </c>
    </row>
    <row r="373">
      <c r="A373" s="4">
        <f>IFERROR(__xludf.DUMMYFUNCTION("""COMPUTED_VALUE"""),1191259.0)</f>
        <v>1191259</v>
      </c>
      <c r="B373" s="4" t="str">
        <f>IFERROR(__xludf.DUMMYFUNCTION("""COMPUTED_VALUE"""),"P4 - Low")</f>
        <v>P4 - Low</v>
      </c>
      <c r="C373" s="5">
        <f>IFERROR(__xludf.DUMMYFUNCTION("""COMPUTED_VALUE"""),44473.31292824074)</f>
        <v>44473.31293</v>
      </c>
      <c r="D373" s="4" t="str">
        <f>IFERROR(__xludf.DUMMYFUNCTION("""COMPUTED_VALUE"""),"RESOLVED")</f>
        <v>RESOLVED</v>
      </c>
      <c r="E373" s="6">
        <f>IFERROR(__xludf.DUMMYFUNCTION("""COMPUTED_VALUE"""),44668.49265046296)</f>
        <v>44668.49265</v>
      </c>
      <c r="F373" s="4" t="str">
        <f>IFERROR(__xludf.DUMMYFUNCTION("""COMPUTED_VALUE""")," ---")</f>
        <v> ---</v>
      </c>
      <c r="G373" s="4" t="str">
        <f>IFERROR(__xludf.DUMMYFUNCTION("""COMPUTED_VALUE"""),"SUSE Linux Enterprise Server 15 SP4")</f>
        <v>SUSE Linux Enterprise Server 15 SP4</v>
      </c>
      <c r="H373" s="7" t="str">
        <f t="shared" si="3"/>
        <v>NO</v>
      </c>
      <c r="I373" s="7" t="str">
        <f t="shared" si="2"/>
        <v>NO</v>
      </c>
    </row>
    <row r="374">
      <c r="A374" s="4">
        <f>IFERROR(__xludf.DUMMYFUNCTION("""COMPUTED_VALUE"""),1191261.0)</f>
        <v>1191261</v>
      </c>
      <c r="B374" s="4" t="str">
        <f>IFERROR(__xludf.DUMMYFUNCTION("""COMPUTED_VALUE"""),"P4 - Low")</f>
        <v>P4 - Low</v>
      </c>
      <c r="C374" s="5">
        <f>IFERROR(__xludf.DUMMYFUNCTION("""COMPUTED_VALUE"""),44473.31825231481)</f>
        <v>44473.31825</v>
      </c>
      <c r="D374" s="4" t="str">
        <f>IFERROR(__xludf.DUMMYFUNCTION("""COMPUTED_VALUE"""),"RESOLVED")</f>
        <v>RESOLVED</v>
      </c>
      <c r="E374" s="6">
        <f>IFERROR(__xludf.DUMMYFUNCTION("""COMPUTED_VALUE"""),44668.492685185185)</f>
        <v>44668.49269</v>
      </c>
      <c r="F374" s="4" t="str">
        <f>IFERROR(__xludf.DUMMYFUNCTION("""COMPUTED_VALUE""")," ---")</f>
        <v> ---</v>
      </c>
      <c r="G374" s="4" t="str">
        <f>IFERROR(__xludf.DUMMYFUNCTION("""COMPUTED_VALUE"""),"SUSE Linux Enterprise Server 15 SP4")</f>
        <v>SUSE Linux Enterprise Server 15 SP4</v>
      </c>
      <c r="H374" s="7" t="str">
        <f t="shared" si="3"/>
        <v>NO</v>
      </c>
      <c r="I374" s="7" t="str">
        <f t="shared" si="2"/>
        <v>NO</v>
      </c>
    </row>
    <row r="375">
      <c r="A375" s="4">
        <f>IFERROR(__xludf.DUMMYFUNCTION("""COMPUTED_VALUE"""),1191262.0)</f>
        <v>1191262</v>
      </c>
      <c r="B375" s="4" t="str">
        <f>IFERROR(__xludf.DUMMYFUNCTION("""COMPUTED_VALUE"""),"P4 - Low")</f>
        <v>P4 - Low</v>
      </c>
      <c r="C375" s="5">
        <f>IFERROR(__xludf.DUMMYFUNCTION("""COMPUTED_VALUE"""),44473.32219907407)</f>
        <v>44473.3222</v>
      </c>
      <c r="D375" s="4" t="str">
        <f>IFERROR(__xludf.DUMMYFUNCTION("""COMPUTED_VALUE"""),"RESOLVED")</f>
        <v>RESOLVED</v>
      </c>
      <c r="E375" s="6">
        <f>IFERROR(__xludf.DUMMYFUNCTION("""COMPUTED_VALUE"""),44627.41280092593)</f>
        <v>44627.4128</v>
      </c>
      <c r="F375" s="4" t="str">
        <f>IFERROR(__xludf.DUMMYFUNCTION("""COMPUTED_VALUE""")," ---")</f>
        <v> ---</v>
      </c>
      <c r="G375" s="4" t="str">
        <f>IFERROR(__xludf.DUMMYFUNCTION("""COMPUTED_VALUE"""),"SUSE Linux Enterprise Server 15 SP4")</f>
        <v>SUSE Linux Enterprise Server 15 SP4</v>
      </c>
      <c r="H375" s="7" t="str">
        <f t="shared" si="3"/>
        <v>NO</v>
      </c>
      <c r="I375" s="7" t="str">
        <f t="shared" si="2"/>
        <v>NO</v>
      </c>
    </row>
    <row r="376">
      <c r="A376" s="4">
        <f>IFERROR(__xludf.DUMMYFUNCTION("""COMPUTED_VALUE"""),1191264.0)</f>
        <v>1191264</v>
      </c>
      <c r="B376" s="4" t="str">
        <f>IFERROR(__xludf.DUMMYFUNCTION("""COMPUTED_VALUE"""),"P4 - Low")</f>
        <v>P4 - Low</v>
      </c>
      <c r="C376" s="5">
        <f>IFERROR(__xludf.DUMMYFUNCTION("""COMPUTED_VALUE"""),44473.32474537037)</f>
        <v>44473.32475</v>
      </c>
      <c r="D376" s="4" t="str">
        <f>IFERROR(__xludf.DUMMYFUNCTION("""COMPUTED_VALUE"""),"RESOLVED")</f>
        <v>RESOLVED</v>
      </c>
      <c r="E376" s="6">
        <f>IFERROR(__xludf.DUMMYFUNCTION("""COMPUTED_VALUE"""),44627.41302083333)</f>
        <v>44627.41302</v>
      </c>
      <c r="F376" s="4" t="str">
        <f>IFERROR(__xludf.DUMMYFUNCTION("""COMPUTED_VALUE""")," ---")</f>
        <v> ---</v>
      </c>
      <c r="G376" s="4" t="str">
        <f>IFERROR(__xludf.DUMMYFUNCTION("""COMPUTED_VALUE"""),"SUSE Linux Enterprise Server 15 SP4")</f>
        <v>SUSE Linux Enterprise Server 15 SP4</v>
      </c>
      <c r="H376" s="7" t="str">
        <f t="shared" si="3"/>
        <v>NO</v>
      </c>
      <c r="I376" s="7" t="str">
        <f t="shared" si="2"/>
        <v>NO</v>
      </c>
    </row>
    <row r="377">
      <c r="A377" s="4">
        <f>IFERROR(__xludf.DUMMYFUNCTION("""COMPUTED_VALUE"""),1191265.0)</f>
        <v>1191265</v>
      </c>
      <c r="B377" s="4" t="str">
        <f>IFERROR(__xludf.DUMMYFUNCTION("""COMPUTED_VALUE"""),"P4 - Low")</f>
        <v>P4 - Low</v>
      </c>
      <c r="C377" s="5">
        <f>IFERROR(__xludf.DUMMYFUNCTION("""COMPUTED_VALUE"""),44473.329733796294)</f>
        <v>44473.32973</v>
      </c>
      <c r="D377" s="4" t="str">
        <f>IFERROR(__xludf.DUMMYFUNCTION("""COMPUTED_VALUE"""),"RESOLVED")</f>
        <v>RESOLVED</v>
      </c>
      <c r="E377" s="6">
        <f>IFERROR(__xludf.DUMMYFUNCTION("""COMPUTED_VALUE"""),44707.703877314816)</f>
        <v>44707.70388</v>
      </c>
      <c r="F377" s="4" t="str">
        <f>IFERROR(__xludf.DUMMYFUNCTION("""COMPUTED_VALUE""")," ---")</f>
        <v> ---</v>
      </c>
      <c r="G377" s="4" t="str">
        <f>IFERROR(__xludf.DUMMYFUNCTION("""COMPUTED_VALUE"""),"SUSE Linux Enterprise Server 15 SP4")</f>
        <v>SUSE Linux Enterprise Server 15 SP4</v>
      </c>
      <c r="H377" s="7" t="str">
        <f t="shared" si="3"/>
        <v>NO</v>
      </c>
      <c r="I377" s="7" t="str">
        <f t="shared" si="2"/>
        <v>NO</v>
      </c>
    </row>
    <row r="378">
      <c r="A378" s="4">
        <f>IFERROR(__xludf.DUMMYFUNCTION("""COMPUTED_VALUE"""),1191269.0)</f>
        <v>1191269</v>
      </c>
      <c r="B378" s="4" t="str">
        <f>IFERROR(__xludf.DUMMYFUNCTION("""COMPUTED_VALUE"""),"P4 - Low")</f>
        <v>P4 - Low</v>
      </c>
      <c r="C378" s="5">
        <f>IFERROR(__xludf.DUMMYFUNCTION("""COMPUTED_VALUE"""),44473.347337962965)</f>
        <v>44473.34734</v>
      </c>
      <c r="D378" s="4" t="str">
        <f>IFERROR(__xludf.DUMMYFUNCTION("""COMPUTED_VALUE"""),"RESOLVED")</f>
        <v>RESOLVED</v>
      </c>
      <c r="E378" s="6">
        <f>IFERROR(__xludf.DUMMYFUNCTION("""COMPUTED_VALUE"""),44668.492731481485)</f>
        <v>44668.49273</v>
      </c>
      <c r="F378" s="4" t="str">
        <f>IFERROR(__xludf.DUMMYFUNCTION("""COMPUTED_VALUE""")," ---")</f>
        <v> ---</v>
      </c>
      <c r="G378" s="4" t="str">
        <f>IFERROR(__xludf.DUMMYFUNCTION("""COMPUTED_VALUE"""),"SUSE Linux Enterprise Server 15 SP4")</f>
        <v>SUSE Linux Enterprise Server 15 SP4</v>
      </c>
      <c r="H378" s="7" t="str">
        <f t="shared" si="3"/>
        <v>NO</v>
      </c>
      <c r="I378" s="7" t="str">
        <f t="shared" si="2"/>
        <v>NO</v>
      </c>
    </row>
    <row r="379">
      <c r="A379" s="4">
        <f>IFERROR(__xludf.DUMMYFUNCTION("""COMPUTED_VALUE"""),1191270.0)</f>
        <v>1191270</v>
      </c>
      <c r="B379" s="4" t="str">
        <f>IFERROR(__xludf.DUMMYFUNCTION("""COMPUTED_VALUE"""),"P4 - Low")</f>
        <v>P4 - Low</v>
      </c>
      <c r="C379" s="5">
        <f>IFERROR(__xludf.DUMMYFUNCTION("""COMPUTED_VALUE"""),44473.360671296294)</f>
        <v>44473.36067</v>
      </c>
      <c r="D379" s="4" t="str">
        <f>IFERROR(__xludf.DUMMYFUNCTION("""COMPUTED_VALUE"""),"RESOLVED")</f>
        <v>RESOLVED</v>
      </c>
      <c r="E379" s="6">
        <f>IFERROR(__xludf.DUMMYFUNCTION("""COMPUTED_VALUE"""),44668.4927662037)</f>
        <v>44668.49277</v>
      </c>
      <c r="F379" s="4" t="str">
        <f>IFERROR(__xludf.DUMMYFUNCTION("""COMPUTED_VALUE""")," ---")</f>
        <v> ---</v>
      </c>
      <c r="G379" s="4" t="str">
        <f>IFERROR(__xludf.DUMMYFUNCTION("""COMPUTED_VALUE"""),"SUSE Linux Enterprise Server 15 SP4")</f>
        <v>SUSE Linux Enterprise Server 15 SP4</v>
      </c>
      <c r="H379" s="7" t="str">
        <f t="shared" si="3"/>
        <v>NO</v>
      </c>
      <c r="I379" s="7" t="str">
        <f t="shared" si="2"/>
        <v>NO</v>
      </c>
    </row>
    <row r="380">
      <c r="A380" s="4">
        <f>IFERROR(__xludf.DUMMYFUNCTION("""COMPUTED_VALUE"""),1194774.0)</f>
        <v>1194774</v>
      </c>
      <c r="B380" s="4" t="str">
        <f>IFERROR(__xludf.DUMMYFUNCTION("""COMPUTED_VALUE"""),"P4 - Low")</f>
        <v>P4 - Low</v>
      </c>
      <c r="C380" s="5">
        <f>IFERROR(__xludf.DUMMYFUNCTION("""COMPUTED_VALUE"""),44578.51673611111)</f>
        <v>44578.51674</v>
      </c>
      <c r="D380" s="4" t="str">
        <f>IFERROR(__xludf.DUMMYFUNCTION("""COMPUTED_VALUE"""),"RESOLVED")</f>
        <v>RESOLVED</v>
      </c>
      <c r="E380" s="6">
        <f>IFERROR(__xludf.DUMMYFUNCTION("""COMPUTED_VALUE"""),44668.49690972222)</f>
        <v>44668.49691</v>
      </c>
      <c r="F380" s="4" t="str">
        <f>IFERROR(__xludf.DUMMYFUNCTION("""COMPUTED_VALUE""")," ---")</f>
        <v> ---</v>
      </c>
      <c r="G380" s="4" t="str">
        <f>IFERROR(__xludf.DUMMYFUNCTION("""COMPUTED_VALUE"""),"SUSE Linux Enterprise Server 15 SP4")</f>
        <v>SUSE Linux Enterprise Server 15 SP4</v>
      </c>
      <c r="H380" s="7" t="str">
        <f t="shared" si="3"/>
        <v>NO</v>
      </c>
      <c r="I380" s="7" t="str">
        <f t="shared" si="2"/>
        <v>NO</v>
      </c>
    </row>
    <row r="381">
      <c r="A381" s="4">
        <f>IFERROR(__xludf.DUMMYFUNCTION("""COMPUTED_VALUE"""),1194775.0)</f>
        <v>1194775</v>
      </c>
      <c r="B381" s="4" t="str">
        <f>IFERROR(__xludf.DUMMYFUNCTION("""COMPUTED_VALUE"""),"P4 - Low")</f>
        <v>P4 - Low</v>
      </c>
      <c r="C381" s="5">
        <f>IFERROR(__xludf.DUMMYFUNCTION("""COMPUTED_VALUE"""),44578.52043981481)</f>
        <v>44578.52044</v>
      </c>
      <c r="D381" s="4" t="str">
        <f>IFERROR(__xludf.DUMMYFUNCTION("""COMPUTED_VALUE"""),"RESOLVED")</f>
        <v>RESOLVED</v>
      </c>
      <c r="E381" s="6">
        <f>IFERROR(__xludf.DUMMYFUNCTION("""COMPUTED_VALUE"""),44627.416354166664)</f>
        <v>44627.41635</v>
      </c>
      <c r="F381" s="4" t="str">
        <f>IFERROR(__xludf.DUMMYFUNCTION("""COMPUTED_VALUE""")," ---")</f>
        <v> ---</v>
      </c>
      <c r="G381" s="4" t="str">
        <f>IFERROR(__xludf.DUMMYFUNCTION("""COMPUTED_VALUE"""),"SUSE Linux Enterprise Server 15 SP4")</f>
        <v>SUSE Linux Enterprise Server 15 SP4</v>
      </c>
      <c r="H381" s="7" t="str">
        <f t="shared" si="3"/>
        <v>NO</v>
      </c>
      <c r="I381" s="7" t="str">
        <f t="shared" si="2"/>
        <v>NO</v>
      </c>
    </row>
    <row r="382">
      <c r="A382" s="4">
        <f>IFERROR(__xludf.DUMMYFUNCTION("""COMPUTED_VALUE"""),1194776.0)</f>
        <v>1194776</v>
      </c>
      <c r="B382" s="4" t="str">
        <f>IFERROR(__xludf.DUMMYFUNCTION("""COMPUTED_VALUE"""),"P4 - Low")</f>
        <v>P4 - Low</v>
      </c>
      <c r="C382" s="5">
        <f>IFERROR(__xludf.DUMMYFUNCTION("""COMPUTED_VALUE"""),44578.52274305555)</f>
        <v>44578.52274</v>
      </c>
      <c r="D382" s="4" t="str">
        <f>IFERROR(__xludf.DUMMYFUNCTION("""COMPUTED_VALUE"""),"RESOLVED")</f>
        <v>RESOLVED</v>
      </c>
      <c r="E382" s="6">
        <f>IFERROR(__xludf.DUMMYFUNCTION("""COMPUTED_VALUE"""),44627.41672453703)</f>
        <v>44627.41672</v>
      </c>
      <c r="F382" s="4" t="str">
        <f>IFERROR(__xludf.DUMMYFUNCTION("""COMPUTED_VALUE""")," ---")</f>
        <v> ---</v>
      </c>
      <c r="G382" s="4" t="str">
        <f>IFERROR(__xludf.DUMMYFUNCTION("""COMPUTED_VALUE"""),"SUSE Linux Enterprise Server 15 SP4")</f>
        <v>SUSE Linux Enterprise Server 15 SP4</v>
      </c>
      <c r="H382" s="7" t="str">
        <f t="shared" si="3"/>
        <v>NO</v>
      </c>
      <c r="I382" s="7" t="str">
        <f t="shared" si="2"/>
        <v>NO</v>
      </c>
    </row>
    <row r="383">
      <c r="A383" s="4">
        <f>IFERROR(__xludf.DUMMYFUNCTION("""COMPUTED_VALUE"""),1194777.0)</f>
        <v>1194777</v>
      </c>
      <c r="B383" s="4" t="str">
        <f>IFERROR(__xludf.DUMMYFUNCTION("""COMPUTED_VALUE"""),"P4 - Low")</f>
        <v>P4 - Low</v>
      </c>
      <c r="C383" s="5">
        <f>IFERROR(__xludf.DUMMYFUNCTION("""COMPUTED_VALUE"""),44578.52460648148)</f>
        <v>44578.52461</v>
      </c>
      <c r="D383" s="4" t="str">
        <f>IFERROR(__xludf.DUMMYFUNCTION("""COMPUTED_VALUE"""),"RESOLVED")</f>
        <v>RESOLVED</v>
      </c>
      <c r="E383" s="6">
        <f>IFERROR(__xludf.DUMMYFUNCTION("""COMPUTED_VALUE"""),44668.49694444444)</f>
        <v>44668.49694</v>
      </c>
      <c r="F383" s="4" t="str">
        <f>IFERROR(__xludf.DUMMYFUNCTION("""COMPUTED_VALUE""")," ---")</f>
        <v> ---</v>
      </c>
      <c r="G383" s="4" t="str">
        <f>IFERROR(__xludf.DUMMYFUNCTION("""COMPUTED_VALUE"""),"SUSE Linux Enterprise Server 15 SP4")</f>
        <v>SUSE Linux Enterprise Server 15 SP4</v>
      </c>
      <c r="H383" s="7" t="str">
        <f t="shared" si="3"/>
        <v>NO</v>
      </c>
      <c r="I383" s="7" t="str">
        <f t="shared" si="2"/>
        <v>NO</v>
      </c>
    </row>
    <row r="384">
      <c r="A384" s="4">
        <f>IFERROR(__xludf.DUMMYFUNCTION("""COMPUTED_VALUE"""),1194778.0)</f>
        <v>1194778</v>
      </c>
      <c r="B384" s="4" t="str">
        <f>IFERROR(__xludf.DUMMYFUNCTION("""COMPUTED_VALUE"""),"P4 - Low")</f>
        <v>P4 - Low</v>
      </c>
      <c r="C384" s="5">
        <f>IFERROR(__xludf.DUMMYFUNCTION("""COMPUTED_VALUE"""),44578.526342592595)</f>
        <v>44578.52634</v>
      </c>
      <c r="D384" s="4" t="str">
        <f>IFERROR(__xludf.DUMMYFUNCTION("""COMPUTED_VALUE"""),"RESOLVED")</f>
        <v>RESOLVED</v>
      </c>
      <c r="E384" s="6">
        <f>IFERROR(__xludf.DUMMYFUNCTION("""COMPUTED_VALUE"""),44668.49699074074)</f>
        <v>44668.49699</v>
      </c>
      <c r="F384" s="4" t="str">
        <f>IFERROR(__xludf.DUMMYFUNCTION("""COMPUTED_VALUE""")," ---")</f>
        <v> ---</v>
      </c>
      <c r="G384" s="4" t="str">
        <f>IFERROR(__xludf.DUMMYFUNCTION("""COMPUTED_VALUE"""),"SUSE Linux Enterprise Server 15 SP4")</f>
        <v>SUSE Linux Enterprise Server 15 SP4</v>
      </c>
      <c r="H384" s="7" t="str">
        <f t="shared" si="3"/>
        <v>NO</v>
      </c>
      <c r="I384" s="7" t="str">
        <f t="shared" si="2"/>
        <v>NO</v>
      </c>
    </row>
    <row r="385">
      <c r="A385" s="4">
        <f>IFERROR(__xludf.DUMMYFUNCTION("""COMPUTED_VALUE"""),1195913.0)</f>
        <v>1195913</v>
      </c>
      <c r="B385" s="4" t="str">
        <f>IFERROR(__xludf.DUMMYFUNCTION("""COMPUTED_VALUE"""),"P4 - Low")</f>
        <v>P4 - Low</v>
      </c>
      <c r="C385" s="5">
        <f>IFERROR(__xludf.DUMMYFUNCTION("""COMPUTED_VALUE"""),44606.58797453704)</f>
        <v>44606.58797</v>
      </c>
      <c r="D385" s="4" t="str">
        <f>IFERROR(__xludf.DUMMYFUNCTION("""COMPUTED_VALUE"""),"RESOLVED")</f>
        <v>RESOLVED</v>
      </c>
      <c r="E385" s="6">
        <f>IFERROR(__xludf.DUMMYFUNCTION("""COMPUTED_VALUE"""),44736.466215277775)</f>
        <v>44736.46622</v>
      </c>
      <c r="F385" s="4" t="str">
        <f>IFERROR(__xludf.DUMMYFUNCTION("""COMPUTED_VALUE""")," ---")</f>
        <v> ---</v>
      </c>
      <c r="G385" s="4" t="str">
        <f>IFERROR(__xludf.DUMMYFUNCTION("""COMPUTED_VALUE"""),"SUSE Linux Enterprise Server 15 SP4")</f>
        <v>SUSE Linux Enterprise Server 15 SP4</v>
      </c>
      <c r="H385" s="7" t="str">
        <f t="shared" si="3"/>
        <v>NO</v>
      </c>
      <c r="I385" s="7" t="str">
        <f t="shared" si="2"/>
        <v>NO</v>
      </c>
    </row>
    <row r="386">
      <c r="A386" s="4">
        <f>IFERROR(__xludf.DUMMYFUNCTION("""COMPUTED_VALUE"""),1193898.0)</f>
        <v>1193898</v>
      </c>
      <c r="B386" s="4" t="str">
        <f>IFERROR(__xludf.DUMMYFUNCTION("""COMPUTED_VALUE"""),"P4 - Low")</f>
        <v>P4 - Low</v>
      </c>
      <c r="C386" s="5">
        <f>IFERROR(__xludf.DUMMYFUNCTION("""COMPUTED_VALUE"""),44550.12616898148)</f>
        <v>44550.12617</v>
      </c>
      <c r="D386" s="4" t="str">
        <f>IFERROR(__xludf.DUMMYFUNCTION("""COMPUTED_VALUE"""),"VERIFIED")</f>
        <v>VERIFIED</v>
      </c>
      <c r="E386" s="6">
        <f>IFERROR(__xludf.DUMMYFUNCTION("""COMPUTED_VALUE"""),44567.0490625)</f>
        <v>44567.04906</v>
      </c>
      <c r="F386" s="4" t="str">
        <f>IFERROR(__xludf.DUMMYFUNCTION("""COMPUTED_VALUE""")," ---")</f>
        <v> ---</v>
      </c>
      <c r="G386" s="4" t="str">
        <f>IFERROR(__xludf.DUMMYFUNCTION("""COMPUTED_VALUE"""),"PUBLIC SUSE Linux Enterprise Server 15 SP4")</f>
        <v>PUBLIC SUSE Linux Enterprise Server 15 SP4</v>
      </c>
      <c r="H386" s="7" t="str">
        <f t="shared" si="3"/>
        <v>NO</v>
      </c>
      <c r="I386" s="7" t="str">
        <f t="shared" si="2"/>
        <v>NO</v>
      </c>
    </row>
    <row r="387">
      <c r="A387" s="4">
        <f>IFERROR(__xludf.DUMMYFUNCTION("""COMPUTED_VALUE"""),1199980.0)</f>
        <v>1199980</v>
      </c>
      <c r="B387" s="4" t="str">
        <f>IFERROR(__xludf.DUMMYFUNCTION("""COMPUTED_VALUE"""),"P5 - None")</f>
        <v>P5 - None</v>
      </c>
      <c r="C387" s="5">
        <f>IFERROR(__xludf.DUMMYFUNCTION("""COMPUTED_VALUE"""),44708.52961805555)</f>
        <v>44708.52962</v>
      </c>
      <c r="D387" s="4" t="str">
        <f>IFERROR(__xludf.DUMMYFUNCTION("""COMPUTED_VALUE"""),"NEW")</f>
        <v>NEW</v>
      </c>
      <c r="E387" s="6">
        <f>IFERROR(__xludf.DUMMYFUNCTION("""COMPUTED_VALUE"""),44726.59278935185)</f>
        <v>44726.59279</v>
      </c>
      <c r="F387" s="4" t="str">
        <f>IFERROR(__xludf.DUMMYFUNCTION("""COMPUTED_VALUE""")," ---")</f>
        <v> ---</v>
      </c>
      <c r="G387" s="4" t="str">
        <f>IFERROR(__xludf.DUMMYFUNCTION("""COMPUTED_VALUE"""),"PUBLIC SUSE Linux Enterprise Desktop 15 SP4")</f>
        <v>PUBLIC SUSE Linux Enterprise Desktop 15 SP4</v>
      </c>
      <c r="H387" s="7" t="str">
        <f t="shared" si="3"/>
        <v>NO</v>
      </c>
      <c r="I387" s="7" t="str">
        <f t="shared" si="2"/>
        <v>NO</v>
      </c>
    </row>
    <row r="388">
      <c r="A388" s="4">
        <f>IFERROR(__xludf.DUMMYFUNCTION("""COMPUTED_VALUE"""),1200327.0)</f>
        <v>1200327</v>
      </c>
      <c r="B388" s="4" t="str">
        <f>IFERROR(__xludf.DUMMYFUNCTION("""COMPUTED_VALUE"""),"P5 - None")</f>
        <v>P5 - None</v>
      </c>
      <c r="C388" s="5">
        <f>IFERROR(__xludf.DUMMYFUNCTION("""COMPUTED_VALUE"""),44720.432858796295)</f>
        <v>44720.43286</v>
      </c>
      <c r="D388" s="4" t="str">
        <f>IFERROR(__xludf.DUMMYFUNCTION("""COMPUTED_VALUE"""),"NEW")</f>
        <v>NEW</v>
      </c>
      <c r="E388" s="6">
        <f>IFERROR(__xludf.DUMMYFUNCTION("""COMPUTED_VALUE"""),44721.312002314815)</f>
        <v>44721.312</v>
      </c>
      <c r="F388" s="4" t="str">
        <f>IFERROR(__xludf.DUMMYFUNCTION("""COMPUTED_VALUE""")," ---")</f>
        <v> ---</v>
      </c>
      <c r="G388" s="4" t="str">
        <f>IFERROR(__xludf.DUMMYFUNCTION("""COMPUTED_VALUE"""),"SUSE Linux Enterprise Server 15 SP4")</f>
        <v>SUSE Linux Enterprise Server 15 SP4</v>
      </c>
      <c r="H388" s="7" t="str">
        <f t="shared" si="3"/>
        <v>NO</v>
      </c>
      <c r="I388" s="7" t="str">
        <f t="shared" si="2"/>
        <v>NO</v>
      </c>
    </row>
    <row r="389">
      <c r="A389" s="4">
        <f>IFERROR(__xludf.DUMMYFUNCTION("""COMPUTED_VALUE"""),1200719.0)</f>
        <v>1200719</v>
      </c>
      <c r="B389" s="4" t="str">
        <f>IFERROR(__xludf.DUMMYFUNCTION("""COMPUTED_VALUE"""),"P5 - None")</f>
        <v>P5 - None</v>
      </c>
      <c r="C389" s="5">
        <f>IFERROR(__xludf.DUMMYFUNCTION("""COMPUTED_VALUE"""),44732.57069444445)</f>
        <v>44732.57069</v>
      </c>
      <c r="D389" s="4" t="str">
        <f>IFERROR(__xludf.DUMMYFUNCTION("""COMPUTED_VALUE"""),"NEW")</f>
        <v>NEW</v>
      </c>
      <c r="E389" s="6">
        <f>IFERROR(__xludf.DUMMYFUNCTION("""COMPUTED_VALUE"""),44734.57833333333)</f>
        <v>44734.57833</v>
      </c>
      <c r="F389" s="4" t="str">
        <f>IFERROR(__xludf.DUMMYFUNCTION("""COMPUTED_VALUE"""),"Yes")</f>
        <v>Yes</v>
      </c>
      <c r="G389" s="4" t="str">
        <f>IFERROR(__xludf.DUMMYFUNCTION("""COMPUTED_VALUE"""),"PUBLIC SUSE Linux Enterprise Server 15 SP4")</f>
        <v>PUBLIC SUSE Linux Enterprise Server 15 SP4</v>
      </c>
      <c r="H389" s="7" t="str">
        <f t="shared" si="3"/>
        <v>NO</v>
      </c>
      <c r="I389" s="7" t="str">
        <f t="shared" si="2"/>
        <v>NO</v>
      </c>
    </row>
    <row r="390">
      <c r="A390" s="4">
        <f>IFERROR(__xludf.DUMMYFUNCTION("""COMPUTED_VALUE"""),1200881.0)</f>
        <v>1200881</v>
      </c>
      <c r="B390" s="4" t="str">
        <f>IFERROR(__xludf.DUMMYFUNCTION("""COMPUTED_VALUE"""),"P5 - None")</f>
        <v>P5 - None</v>
      </c>
      <c r="C390" s="5">
        <f>IFERROR(__xludf.DUMMYFUNCTION("""COMPUTED_VALUE"""),44735.57645833334)</f>
        <v>44735.57646</v>
      </c>
      <c r="D390" s="4" t="str">
        <f>IFERROR(__xludf.DUMMYFUNCTION("""COMPUTED_VALUE"""),"NEW")</f>
        <v>NEW</v>
      </c>
      <c r="E390" s="6">
        <f>IFERROR(__xludf.DUMMYFUNCTION("""COMPUTED_VALUE"""),44735.61814814815)</f>
        <v>44735.61815</v>
      </c>
      <c r="F390" s="4" t="str">
        <f>IFERROR(__xludf.DUMMYFUNCTION("""COMPUTED_VALUE""")," ---")</f>
        <v> ---</v>
      </c>
      <c r="G390" s="4" t="str">
        <f>IFERROR(__xludf.DUMMYFUNCTION("""COMPUTED_VALUE"""),"SUSE Linux Enterprise Server 15 SP4")</f>
        <v>SUSE Linux Enterprise Server 15 SP4</v>
      </c>
      <c r="H390" s="7" t="str">
        <f t="shared" si="3"/>
        <v>NO</v>
      </c>
      <c r="I390" s="7" t="str">
        <f t="shared" si="2"/>
        <v>NO</v>
      </c>
    </row>
    <row r="391">
      <c r="A391" s="4">
        <f>IFERROR(__xludf.DUMMYFUNCTION("""COMPUTED_VALUE"""),1200952.0)</f>
        <v>1200952</v>
      </c>
      <c r="B391" s="4" t="str">
        <f>IFERROR(__xludf.DUMMYFUNCTION("""COMPUTED_VALUE"""),"P5 - None")</f>
        <v>P5 - None</v>
      </c>
      <c r="C391" s="5">
        <f>IFERROR(__xludf.DUMMYFUNCTION("""COMPUTED_VALUE"""),44739.20891203704)</f>
        <v>44739.20891</v>
      </c>
      <c r="D391" s="4" t="str">
        <f>IFERROR(__xludf.DUMMYFUNCTION("""COMPUTED_VALUE"""),"NEW")</f>
        <v>NEW</v>
      </c>
      <c r="E391" s="6">
        <f>IFERROR(__xludf.DUMMYFUNCTION("""COMPUTED_VALUE"""),44739.209016203706)</f>
        <v>44739.20902</v>
      </c>
      <c r="F391" s="4" t="str">
        <f>IFERROR(__xludf.DUMMYFUNCTION("""COMPUTED_VALUE""")," ---")</f>
        <v> ---</v>
      </c>
      <c r="G391" s="4" t="str">
        <f>IFERROR(__xludf.DUMMYFUNCTION("""COMPUTED_VALUE"""),"SUSE Linux Enterprise Server 15 SP4")</f>
        <v>SUSE Linux Enterprise Server 15 SP4</v>
      </c>
      <c r="H391" s="7" t="str">
        <f t="shared" si="3"/>
        <v>NO</v>
      </c>
      <c r="I391" s="7" t="str">
        <f t="shared" si="2"/>
        <v>NO</v>
      </c>
    </row>
    <row r="392">
      <c r="A392" s="4">
        <f>IFERROR(__xludf.DUMMYFUNCTION("""COMPUTED_VALUE"""),1200570.0)</f>
        <v>1200570</v>
      </c>
      <c r="B392" s="4" t="str">
        <f>IFERROR(__xludf.DUMMYFUNCTION("""COMPUTED_VALUE"""),"P5 - None")</f>
        <v>P5 - None</v>
      </c>
      <c r="C392" s="5">
        <f>IFERROR(__xludf.DUMMYFUNCTION("""COMPUTED_VALUE"""),44727.580243055556)</f>
        <v>44727.58024</v>
      </c>
      <c r="D392" s="4" t="str">
        <f>IFERROR(__xludf.DUMMYFUNCTION("""COMPUTED_VALUE"""),"NEW")</f>
        <v>NEW</v>
      </c>
      <c r="E392" s="6">
        <f>IFERROR(__xludf.DUMMYFUNCTION("""COMPUTED_VALUE"""),44732.521585648145)</f>
        <v>44732.52159</v>
      </c>
      <c r="F392" s="4" t="str">
        <f>IFERROR(__xludf.DUMMYFUNCTION("""COMPUTED_VALUE"""),"Yes")</f>
        <v>Yes</v>
      </c>
      <c r="G392" s="4" t="str">
        <f>IFERROR(__xludf.DUMMYFUNCTION("""COMPUTED_VALUE"""),"PUBLIC SUSE Linux Enterprise Server 15 SP4")</f>
        <v>PUBLIC SUSE Linux Enterprise Server 15 SP4</v>
      </c>
      <c r="H392" s="7" t="str">
        <f t="shared" si="3"/>
        <v>NO</v>
      </c>
      <c r="I392" s="7" t="str">
        <f t="shared" si="2"/>
        <v>NO</v>
      </c>
    </row>
    <row r="393">
      <c r="A393" s="4">
        <f>IFERROR(__xludf.DUMMYFUNCTION("""COMPUTED_VALUE"""),1200877.0)</f>
        <v>1200877</v>
      </c>
      <c r="B393" s="4" t="str">
        <f>IFERROR(__xludf.DUMMYFUNCTION("""COMPUTED_VALUE"""),"P5 - None")</f>
        <v>P5 - None</v>
      </c>
      <c r="C393" s="5">
        <f>IFERROR(__xludf.DUMMYFUNCTION("""COMPUTED_VALUE"""),44735.540347222224)</f>
        <v>44735.54035</v>
      </c>
      <c r="D393" s="4" t="str">
        <f>IFERROR(__xludf.DUMMYFUNCTION("""COMPUTED_VALUE"""),"NEW")</f>
        <v>NEW</v>
      </c>
      <c r="E393" s="6">
        <f>IFERROR(__xludf.DUMMYFUNCTION("""COMPUTED_VALUE"""),44735.68730324074)</f>
        <v>44735.6873</v>
      </c>
      <c r="F393" s="4" t="str">
        <f>IFERROR(__xludf.DUMMYFUNCTION("""COMPUTED_VALUE""")," ---")</f>
        <v> ---</v>
      </c>
      <c r="G393" s="4" t="str">
        <f>IFERROR(__xludf.DUMMYFUNCTION("""COMPUTED_VALUE"""),"SUSE Linux Enterprise Server 15 SP4")</f>
        <v>SUSE Linux Enterprise Server 15 SP4</v>
      </c>
      <c r="H393" s="7" t="str">
        <f t="shared" si="3"/>
        <v>NO</v>
      </c>
      <c r="I393" s="7" t="str">
        <f t="shared" si="2"/>
        <v>NO</v>
      </c>
    </row>
    <row r="394">
      <c r="A394" s="4">
        <f>IFERROR(__xludf.DUMMYFUNCTION("""COMPUTED_VALUE"""),1193786.0)</f>
        <v>1193786</v>
      </c>
      <c r="B394" s="4" t="str">
        <f>IFERROR(__xludf.DUMMYFUNCTION("""COMPUTED_VALUE"""),"P5 - None")</f>
        <v>P5 - None</v>
      </c>
      <c r="C394" s="5">
        <f>IFERROR(__xludf.DUMMYFUNCTION("""COMPUTED_VALUE"""),44546.23017361111)</f>
        <v>44546.23017</v>
      </c>
      <c r="D394" s="4" t="str">
        <f>IFERROR(__xludf.DUMMYFUNCTION("""COMPUTED_VALUE"""),"RESOLVED")</f>
        <v>RESOLVED</v>
      </c>
      <c r="E394" s="6">
        <f>IFERROR(__xludf.DUMMYFUNCTION("""COMPUTED_VALUE"""),44550.09780092593)</f>
        <v>44550.0978</v>
      </c>
      <c r="F394" s="4" t="str">
        <f>IFERROR(__xludf.DUMMYFUNCTION("""COMPUTED_VALUE""")," ---")</f>
        <v> ---</v>
      </c>
      <c r="G394" s="4" t="str">
        <f>IFERROR(__xludf.DUMMYFUNCTION("""COMPUTED_VALUE"""),"SUSE Linux Enterprise Server 15 SP4")</f>
        <v>SUSE Linux Enterprise Server 15 SP4</v>
      </c>
      <c r="H394" s="7" t="str">
        <f t="shared" si="3"/>
        <v>NO</v>
      </c>
      <c r="I394" s="7" t="str">
        <f t="shared" si="2"/>
        <v>NO</v>
      </c>
    </row>
    <row r="395">
      <c r="A395" s="4">
        <f>IFERROR(__xludf.DUMMYFUNCTION("""COMPUTED_VALUE"""),1192145.0)</f>
        <v>1192145</v>
      </c>
      <c r="B395" s="4" t="str">
        <f>IFERROR(__xludf.DUMMYFUNCTION("""COMPUTED_VALUE"""),"P5 - None")</f>
        <v>P5 - None</v>
      </c>
      <c r="C395" s="5">
        <f>IFERROR(__xludf.DUMMYFUNCTION("""COMPUTED_VALUE"""),44498.33662037037)</f>
        <v>44498.33662</v>
      </c>
      <c r="D395" s="4" t="str">
        <f>IFERROR(__xludf.DUMMYFUNCTION("""COMPUTED_VALUE"""),"RESOLVED")</f>
        <v>RESOLVED</v>
      </c>
      <c r="E395" s="6">
        <f>IFERROR(__xludf.DUMMYFUNCTION("""COMPUTED_VALUE"""),44578.84725694444)</f>
        <v>44578.84726</v>
      </c>
      <c r="F395" s="4" t="str">
        <f>IFERROR(__xludf.DUMMYFUNCTION("""COMPUTED_VALUE""")," ---")</f>
        <v> ---</v>
      </c>
      <c r="G395" s="4" t="str">
        <f>IFERROR(__xludf.DUMMYFUNCTION("""COMPUTED_VALUE"""),"SUSE Linux Enterprise Server 15 SP4")</f>
        <v>SUSE Linux Enterprise Server 15 SP4</v>
      </c>
      <c r="H395" s="7" t="str">
        <f t="shared" si="3"/>
        <v>NO</v>
      </c>
      <c r="I395" s="7" t="str">
        <f t="shared" si="2"/>
        <v>NO</v>
      </c>
    </row>
    <row r="396">
      <c r="A396" s="4">
        <f>IFERROR(__xludf.DUMMYFUNCTION("""COMPUTED_VALUE"""),1192227.0)</f>
        <v>1192227</v>
      </c>
      <c r="B396" s="4" t="str">
        <f>IFERROR(__xludf.DUMMYFUNCTION("""COMPUTED_VALUE"""),"P5 - None")</f>
        <v>P5 - None</v>
      </c>
      <c r="C396" s="5">
        <f>IFERROR(__xludf.DUMMYFUNCTION("""COMPUTED_VALUE"""),44501.95543981482)</f>
        <v>44501.95544</v>
      </c>
      <c r="D396" s="4" t="str">
        <f>IFERROR(__xludf.DUMMYFUNCTION("""COMPUTED_VALUE"""),"RESOLVED")</f>
        <v>RESOLVED</v>
      </c>
      <c r="E396" s="6">
        <f>IFERROR(__xludf.DUMMYFUNCTION("""COMPUTED_VALUE"""),44504.53194444445)</f>
        <v>44504.53194</v>
      </c>
      <c r="F396" s="4" t="str">
        <f>IFERROR(__xludf.DUMMYFUNCTION("""COMPUTED_VALUE""")," ---")</f>
        <v> ---</v>
      </c>
      <c r="G396" s="4" t="str">
        <f>IFERROR(__xludf.DUMMYFUNCTION("""COMPUTED_VALUE"""),"SUSE Linux Enterprise Server 15 SP4")</f>
        <v>SUSE Linux Enterprise Server 15 SP4</v>
      </c>
      <c r="H396" s="7" t="str">
        <f t="shared" si="3"/>
        <v>NO</v>
      </c>
      <c r="I396" s="7" t="str">
        <f t="shared" si="2"/>
        <v>NO</v>
      </c>
    </row>
    <row r="397">
      <c r="A397" s="4">
        <f>IFERROR(__xludf.DUMMYFUNCTION("""COMPUTED_VALUE"""),1194636.0)</f>
        <v>1194636</v>
      </c>
      <c r="B397" s="4" t="str">
        <f>IFERROR(__xludf.DUMMYFUNCTION("""COMPUTED_VALUE"""),"P5 - None")</f>
        <v>P5 - None</v>
      </c>
      <c r="C397" s="5">
        <f>IFERROR(__xludf.DUMMYFUNCTION("""COMPUTED_VALUE"""),44574.55758101852)</f>
        <v>44574.55758</v>
      </c>
      <c r="D397" s="4" t="str">
        <f>IFERROR(__xludf.DUMMYFUNCTION("""COMPUTED_VALUE"""),"RESOLVED")</f>
        <v>RESOLVED</v>
      </c>
      <c r="E397" s="6">
        <f>IFERROR(__xludf.DUMMYFUNCTION("""COMPUTED_VALUE"""),44668.49644675926)</f>
        <v>44668.49645</v>
      </c>
      <c r="F397" s="4" t="str">
        <f>IFERROR(__xludf.DUMMYFUNCTION("""COMPUTED_VALUE""")," ---")</f>
        <v> ---</v>
      </c>
      <c r="G397" s="4" t="str">
        <f>IFERROR(__xludf.DUMMYFUNCTION("""COMPUTED_VALUE"""),"SUSE Linux Enterprise Server 15 SP4")</f>
        <v>SUSE Linux Enterprise Server 15 SP4</v>
      </c>
      <c r="H397" s="7" t="str">
        <f t="shared" si="3"/>
        <v>NO</v>
      </c>
      <c r="I397" s="7" t="str">
        <f t="shared" si="2"/>
        <v>NO</v>
      </c>
    </row>
    <row r="398">
      <c r="A398" s="4">
        <f>IFERROR(__xludf.DUMMYFUNCTION("""COMPUTED_VALUE"""),1194638.0)</f>
        <v>1194638</v>
      </c>
      <c r="B398" s="4" t="str">
        <f>IFERROR(__xludf.DUMMYFUNCTION("""COMPUTED_VALUE"""),"P5 - None")</f>
        <v>P5 - None</v>
      </c>
      <c r="C398" s="5">
        <f>IFERROR(__xludf.DUMMYFUNCTION("""COMPUTED_VALUE"""),44574.5646875)</f>
        <v>44574.56469</v>
      </c>
      <c r="D398" s="4" t="str">
        <f>IFERROR(__xludf.DUMMYFUNCTION("""COMPUTED_VALUE"""),"RESOLVED")</f>
        <v>RESOLVED</v>
      </c>
      <c r="E398" s="6">
        <f>IFERROR(__xludf.DUMMYFUNCTION("""COMPUTED_VALUE"""),44668.49649305556)</f>
        <v>44668.49649</v>
      </c>
      <c r="F398" s="4" t="str">
        <f>IFERROR(__xludf.DUMMYFUNCTION("""COMPUTED_VALUE""")," ---")</f>
        <v> ---</v>
      </c>
      <c r="G398" s="4" t="str">
        <f>IFERROR(__xludf.DUMMYFUNCTION("""COMPUTED_VALUE"""),"SUSE Linux Enterprise Server 15 SP4")</f>
        <v>SUSE Linux Enterprise Server 15 SP4</v>
      </c>
      <c r="H398" s="7" t="str">
        <f t="shared" si="3"/>
        <v>NO</v>
      </c>
      <c r="I398" s="7" t="str">
        <f t="shared" si="2"/>
        <v>NO</v>
      </c>
    </row>
    <row r="399">
      <c r="A399" s="4">
        <f>IFERROR(__xludf.DUMMYFUNCTION("""COMPUTED_VALUE"""),1194639.0)</f>
        <v>1194639</v>
      </c>
      <c r="B399" s="4" t="str">
        <f>IFERROR(__xludf.DUMMYFUNCTION("""COMPUTED_VALUE"""),"P5 - None")</f>
        <v>P5 - None</v>
      </c>
      <c r="C399" s="5">
        <f>IFERROR(__xludf.DUMMYFUNCTION("""COMPUTED_VALUE"""),44574.56767361111)</f>
        <v>44574.56767</v>
      </c>
      <c r="D399" s="4" t="str">
        <f>IFERROR(__xludf.DUMMYFUNCTION("""COMPUTED_VALUE"""),"RESOLVED")</f>
        <v>RESOLVED</v>
      </c>
      <c r="E399" s="6">
        <f>IFERROR(__xludf.DUMMYFUNCTION("""COMPUTED_VALUE"""),44668.49652777778)</f>
        <v>44668.49653</v>
      </c>
      <c r="F399" s="4" t="str">
        <f>IFERROR(__xludf.DUMMYFUNCTION("""COMPUTED_VALUE""")," ---")</f>
        <v> ---</v>
      </c>
      <c r="G399" s="4" t="str">
        <f>IFERROR(__xludf.DUMMYFUNCTION("""COMPUTED_VALUE"""),"SUSE Linux Enterprise Server 15 SP4")</f>
        <v>SUSE Linux Enterprise Server 15 SP4</v>
      </c>
      <c r="H399" s="7" t="str">
        <f t="shared" si="3"/>
        <v>NO</v>
      </c>
      <c r="I399" s="7" t="str">
        <f t="shared" si="2"/>
        <v>NO</v>
      </c>
    </row>
    <row r="400">
      <c r="A400" s="4">
        <f>IFERROR(__xludf.DUMMYFUNCTION("""COMPUTED_VALUE"""),1194641.0)</f>
        <v>1194641</v>
      </c>
      <c r="B400" s="4" t="str">
        <f>IFERROR(__xludf.DUMMYFUNCTION("""COMPUTED_VALUE"""),"P5 - None")</f>
        <v>P5 - None</v>
      </c>
      <c r="C400" s="5">
        <f>IFERROR(__xludf.DUMMYFUNCTION("""COMPUTED_VALUE"""),44574.570706018516)</f>
        <v>44574.57071</v>
      </c>
      <c r="D400" s="4" t="str">
        <f>IFERROR(__xludf.DUMMYFUNCTION("""COMPUTED_VALUE"""),"RESOLVED")</f>
        <v>RESOLVED</v>
      </c>
      <c r="E400" s="6">
        <f>IFERROR(__xludf.DUMMYFUNCTION("""COMPUTED_VALUE"""),44668.4965625)</f>
        <v>44668.49656</v>
      </c>
      <c r="F400" s="4" t="str">
        <f>IFERROR(__xludf.DUMMYFUNCTION("""COMPUTED_VALUE""")," ---")</f>
        <v> ---</v>
      </c>
      <c r="G400" s="4" t="str">
        <f>IFERROR(__xludf.DUMMYFUNCTION("""COMPUTED_VALUE"""),"SUSE Linux Enterprise Server 15 SP4")</f>
        <v>SUSE Linux Enterprise Server 15 SP4</v>
      </c>
      <c r="H400" s="7" t="str">
        <f t="shared" si="3"/>
        <v>NO</v>
      </c>
      <c r="I400" s="7" t="str">
        <f t="shared" si="2"/>
        <v>NO</v>
      </c>
    </row>
    <row r="401">
      <c r="A401" s="4">
        <f>IFERROR(__xludf.DUMMYFUNCTION("""COMPUTED_VALUE"""),1194644.0)</f>
        <v>1194644</v>
      </c>
      <c r="B401" s="4" t="str">
        <f>IFERROR(__xludf.DUMMYFUNCTION("""COMPUTED_VALUE"""),"P5 - None")</f>
        <v>P5 - None</v>
      </c>
      <c r="C401" s="5">
        <f>IFERROR(__xludf.DUMMYFUNCTION("""COMPUTED_VALUE"""),44574.58356481481)</f>
        <v>44574.58356</v>
      </c>
      <c r="D401" s="4" t="str">
        <f>IFERROR(__xludf.DUMMYFUNCTION("""COMPUTED_VALUE"""),"RESOLVED")</f>
        <v>RESOLVED</v>
      </c>
      <c r="E401" s="6">
        <f>IFERROR(__xludf.DUMMYFUNCTION("""COMPUTED_VALUE"""),44668.49659722222)</f>
        <v>44668.4966</v>
      </c>
      <c r="F401" s="4" t="str">
        <f>IFERROR(__xludf.DUMMYFUNCTION("""COMPUTED_VALUE""")," ---")</f>
        <v> ---</v>
      </c>
      <c r="G401" s="4" t="str">
        <f>IFERROR(__xludf.DUMMYFUNCTION("""COMPUTED_VALUE"""),"SUSE Linux Enterprise Server 15 SP4")</f>
        <v>SUSE Linux Enterprise Server 15 SP4</v>
      </c>
      <c r="H401" s="7" t="str">
        <f t="shared" si="3"/>
        <v>NO</v>
      </c>
      <c r="I401" s="7" t="str">
        <f t="shared" si="2"/>
        <v>NO</v>
      </c>
    </row>
    <row r="402">
      <c r="A402" s="4">
        <f>IFERROR(__xludf.DUMMYFUNCTION("""COMPUTED_VALUE"""),1194647.0)</f>
        <v>1194647</v>
      </c>
      <c r="B402" s="4" t="str">
        <f>IFERROR(__xludf.DUMMYFUNCTION("""COMPUTED_VALUE"""),"P5 - None")</f>
        <v>P5 - None</v>
      </c>
      <c r="C402" s="5">
        <f>IFERROR(__xludf.DUMMYFUNCTION("""COMPUTED_VALUE"""),44574.61046296296)</f>
        <v>44574.61046</v>
      </c>
      <c r="D402" s="4" t="str">
        <f>IFERROR(__xludf.DUMMYFUNCTION("""COMPUTED_VALUE"""),"RESOLVED")</f>
        <v>RESOLVED</v>
      </c>
      <c r="E402" s="6">
        <f>IFERROR(__xludf.DUMMYFUNCTION("""COMPUTED_VALUE"""),44668.49663194444)</f>
        <v>44668.49663</v>
      </c>
      <c r="F402" s="4" t="str">
        <f>IFERROR(__xludf.DUMMYFUNCTION("""COMPUTED_VALUE""")," ---")</f>
        <v> ---</v>
      </c>
      <c r="G402" s="4" t="str">
        <f>IFERROR(__xludf.DUMMYFUNCTION("""COMPUTED_VALUE"""),"SUSE Linux Enterprise Server 15 SP4")</f>
        <v>SUSE Linux Enterprise Server 15 SP4</v>
      </c>
      <c r="H402" s="7" t="str">
        <f t="shared" si="3"/>
        <v>NO</v>
      </c>
      <c r="I402" s="7" t="str">
        <f t="shared" si="2"/>
        <v>NO</v>
      </c>
    </row>
    <row r="403">
      <c r="A403" s="4">
        <f>IFERROR(__xludf.DUMMYFUNCTION("""COMPUTED_VALUE"""),1194650.0)</f>
        <v>1194650</v>
      </c>
      <c r="B403" s="4" t="str">
        <f>IFERROR(__xludf.DUMMYFUNCTION("""COMPUTED_VALUE"""),"P5 - None")</f>
        <v>P5 - None</v>
      </c>
      <c r="C403" s="5">
        <f>IFERROR(__xludf.DUMMYFUNCTION("""COMPUTED_VALUE"""),44574.65109953703)</f>
        <v>44574.6511</v>
      </c>
      <c r="D403" s="4" t="str">
        <f>IFERROR(__xludf.DUMMYFUNCTION("""COMPUTED_VALUE"""),"RESOLVED")</f>
        <v>RESOLVED</v>
      </c>
      <c r="E403" s="6">
        <f>IFERROR(__xludf.DUMMYFUNCTION("""COMPUTED_VALUE"""),44668.496666666666)</f>
        <v>44668.49667</v>
      </c>
      <c r="F403" s="4" t="str">
        <f>IFERROR(__xludf.DUMMYFUNCTION("""COMPUTED_VALUE""")," ---")</f>
        <v> ---</v>
      </c>
      <c r="G403" s="4" t="str">
        <f>IFERROR(__xludf.DUMMYFUNCTION("""COMPUTED_VALUE"""),"SUSE Linux Enterprise Server 15 SP4")</f>
        <v>SUSE Linux Enterprise Server 15 SP4</v>
      </c>
      <c r="H403" s="7" t="str">
        <f t="shared" si="3"/>
        <v>NO</v>
      </c>
      <c r="I403" s="7" t="str">
        <f t="shared" si="2"/>
        <v>NO</v>
      </c>
    </row>
    <row r="404">
      <c r="A404" s="4">
        <f>IFERROR(__xludf.DUMMYFUNCTION("""COMPUTED_VALUE"""),1192069.0)</f>
        <v>1192069</v>
      </c>
      <c r="B404" s="4" t="str">
        <f>IFERROR(__xludf.DUMMYFUNCTION("""COMPUTED_VALUE"""),"P5 - None")</f>
        <v>P5 - None</v>
      </c>
      <c r="C404" s="5">
        <f>IFERROR(__xludf.DUMMYFUNCTION("""COMPUTED_VALUE"""),44496.51155092593)</f>
        <v>44496.51155</v>
      </c>
      <c r="D404" s="4" t="str">
        <f>IFERROR(__xludf.DUMMYFUNCTION("""COMPUTED_VALUE"""),"RESOLVED")</f>
        <v>RESOLVED</v>
      </c>
      <c r="E404" s="6">
        <f>IFERROR(__xludf.DUMMYFUNCTION("""COMPUTED_VALUE"""),44668.49318287037)</f>
        <v>44668.49318</v>
      </c>
      <c r="F404" s="4" t="str">
        <f>IFERROR(__xludf.DUMMYFUNCTION("""COMPUTED_VALUE""")," ---")</f>
        <v> ---</v>
      </c>
      <c r="G404" s="4" t="str">
        <f>IFERROR(__xludf.DUMMYFUNCTION("""COMPUTED_VALUE"""),"SUSE Linux Enterprise Server 15 SP4")</f>
        <v>SUSE Linux Enterprise Server 15 SP4</v>
      </c>
      <c r="H404" s="7" t="str">
        <f t="shared" si="3"/>
        <v>NO</v>
      </c>
      <c r="I404" s="7" t="str">
        <f t="shared" si="2"/>
        <v>NO</v>
      </c>
    </row>
    <row r="405">
      <c r="A405" s="4">
        <f>IFERROR(__xludf.DUMMYFUNCTION("""COMPUTED_VALUE"""),1197917.0)</f>
        <v>1197917</v>
      </c>
      <c r="B405" s="4" t="str">
        <f>IFERROR(__xludf.DUMMYFUNCTION("""COMPUTED_VALUE"""),"P5 - None")</f>
        <v>P5 - None</v>
      </c>
      <c r="C405" s="5">
        <f>IFERROR(__xludf.DUMMYFUNCTION("""COMPUTED_VALUE"""),44652.45282407408)</f>
        <v>44652.45282</v>
      </c>
      <c r="D405" s="4" t="str">
        <f>IFERROR(__xludf.DUMMYFUNCTION("""COMPUTED_VALUE"""),"RESOLVED")</f>
        <v>RESOLVED</v>
      </c>
      <c r="E405" s="6">
        <f>IFERROR(__xludf.DUMMYFUNCTION("""COMPUTED_VALUE"""),44736.468819444446)</f>
        <v>44736.46882</v>
      </c>
      <c r="F405" s="4" t="str">
        <f>IFERROR(__xludf.DUMMYFUNCTION("""COMPUTED_VALUE""")," ---")</f>
        <v> ---</v>
      </c>
      <c r="G405" s="4" t="str">
        <f>IFERROR(__xludf.DUMMYFUNCTION("""COMPUTED_VALUE"""),"SUSE Linux Enterprise Server 15 SP4")</f>
        <v>SUSE Linux Enterprise Server 15 SP4</v>
      </c>
      <c r="H405" s="7" t="str">
        <f t="shared" si="3"/>
        <v>NO</v>
      </c>
      <c r="I405" s="7" t="str">
        <f t="shared" si="2"/>
        <v>NO</v>
      </c>
    </row>
    <row r="406">
      <c r="A406" s="4">
        <f>IFERROR(__xludf.DUMMYFUNCTION("""COMPUTED_VALUE"""),1197918.0)</f>
        <v>1197918</v>
      </c>
      <c r="B406" s="4" t="str">
        <f>IFERROR(__xludf.DUMMYFUNCTION("""COMPUTED_VALUE"""),"P5 - None")</f>
        <v>P5 - None</v>
      </c>
      <c r="C406" s="5">
        <f>IFERROR(__xludf.DUMMYFUNCTION("""COMPUTED_VALUE"""),44652.45556712963)</f>
        <v>44652.45557</v>
      </c>
      <c r="D406" s="4" t="str">
        <f>IFERROR(__xludf.DUMMYFUNCTION("""COMPUTED_VALUE"""),"RESOLVED")</f>
        <v>RESOLVED</v>
      </c>
      <c r="E406" s="6">
        <f>IFERROR(__xludf.DUMMYFUNCTION("""COMPUTED_VALUE"""),44736.46885416667)</f>
        <v>44736.46885</v>
      </c>
      <c r="F406" s="4" t="str">
        <f>IFERROR(__xludf.DUMMYFUNCTION("""COMPUTED_VALUE""")," ---")</f>
        <v> ---</v>
      </c>
      <c r="G406" s="4" t="str">
        <f>IFERROR(__xludf.DUMMYFUNCTION("""COMPUTED_VALUE"""),"SUSE Linux Enterprise Server 15 SP4")</f>
        <v>SUSE Linux Enterprise Server 15 SP4</v>
      </c>
      <c r="H406" s="7" t="str">
        <f t="shared" si="3"/>
        <v>NO</v>
      </c>
      <c r="I406" s="7" t="str">
        <f t="shared" si="2"/>
        <v>NO</v>
      </c>
    </row>
    <row r="407">
      <c r="A407" s="4">
        <f>IFERROR(__xludf.DUMMYFUNCTION("""COMPUTED_VALUE"""),1197919.0)</f>
        <v>1197919</v>
      </c>
      <c r="B407" s="4" t="str">
        <f>IFERROR(__xludf.DUMMYFUNCTION("""COMPUTED_VALUE"""),"P5 - None")</f>
        <v>P5 - None</v>
      </c>
      <c r="C407" s="5">
        <f>IFERROR(__xludf.DUMMYFUNCTION("""COMPUTED_VALUE"""),44652.45649305556)</f>
        <v>44652.45649</v>
      </c>
      <c r="D407" s="4" t="str">
        <f>IFERROR(__xludf.DUMMYFUNCTION("""COMPUTED_VALUE"""),"RESOLVED")</f>
        <v>RESOLVED</v>
      </c>
      <c r="E407" s="6">
        <f>IFERROR(__xludf.DUMMYFUNCTION("""COMPUTED_VALUE"""),44652.4565162037)</f>
        <v>44652.45652</v>
      </c>
      <c r="F407" s="4" t="str">
        <f>IFERROR(__xludf.DUMMYFUNCTION("""COMPUTED_VALUE""")," ---")</f>
        <v> ---</v>
      </c>
      <c r="G407" s="4" t="str">
        <f>IFERROR(__xludf.DUMMYFUNCTION("""COMPUTED_VALUE"""),"SUSE Linux Enterprise Server 15 SP4")</f>
        <v>SUSE Linux Enterprise Server 15 SP4</v>
      </c>
      <c r="H407" s="7" t="str">
        <f t="shared" si="3"/>
        <v>NO</v>
      </c>
      <c r="I407" s="7" t="str">
        <f t="shared" si="2"/>
        <v>NO</v>
      </c>
    </row>
    <row r="408">
      <c r="A408" s="4">
        <f>IFERROR(__xludf.DUMMYFUNCTION("""COMPUTED_VALUE"""),1197920.0)</f>
        <v>1197920</v>
      </c>
      <c r="B408" s="4" t="str">
        <f>IFERROR(__xludf.DUMMYFUNCTION("""COMPUTED_VALUE"""),"P5 - None")</f>
        <v>P5 - None</v>
      </c>
      <c r="C408" s="5">
        <f>IFERROR(__xludf.DUMMYFUNCTION("""COMPUTED_VALUE"""),44652.45726851852)</f>
        <v>44652.45727</v>
      </c>
      <c r="D408" s="4" t="str">
        <f>IFERROR(__xludf.DUMMYFUNCTION("""COMPUTED_VALUE"""),"RESOLVED")</f>
        <v>RESOLVED</v>
      </c>
      <c r="E408" s="6">
        <f>IFERROR(__xludf.DUMMYFUNCTION("""COMPUTED_VALUE"""),44736.46888888889)</f>
        <v>44736.46889</v>
      </c>
      <c r="F408" s="4" t="str">
        <f>IFERROR(__xludf.DUMMYFUNCTION("""COMPUTED_VALUE""")," ---")</f>
        <v> ---</v>
      </c>
      <c r="G408" s="4" t="str">
        <f>IFERROR(__xludf.DUMMYFUNCTION("""COMPUTED_VALUE"""),"SUSE Linux Enterprise Server 15 SP4")</f>
        <v>SUSE Linux Enterprise Server 15 SP4</v>
      </c>
      <c r="H408" s="7" t="str">
        <f t="shared" si="3"/>
        <v>NO</v>
      </c>
      <c r="I408" s="7" t="str">
        <f t="shared" si="2"/>
        <v>NO</v>
      </c>
    </row>
    <row r="409">
      <c r="A409" s="4">
        <f>IFERROR(__xludf.DUMMYFUNCTION("""COMPUTED_VALUE"""),1197921.0)</f>
        <v>1197921</v>
      </c>
      <c r="B409" s="4" t="str">
        <f>IFERROR(__xludf.DUMMYFUNCTION("""COMPUTED_VALUE"""),"P5 - None")</f>
        <v>P5 - None</v>
      </c>
      <c r="C409" s="5">
        <f>IFERROR(__xludf.DUMMYFUNCTION("""COMPUTED_VALUE"""),44652.457766203705)</f>
        <v>44652.45777</v>
      </c>
      <c r="D409" s="4" t="str">
        <f>IFERROR(__xludf.DUMMYFUNCTION("""COMPUTED_VALUE"""),"RESOLVED")</f>
        <v>RESOLVED</v>
      </c>
      <c r="E409" s="6">
        <f>IFERROR(__xludf.DUMMYFUNCTION("""COMPUTED_VALUE"""),44736.46892361111)</f>
        <v>44736.46892</v>
      </c>
      <c r="F409" s="4" t="str">
        <f>IFERROR(__xludf.DUMMYFUNCTION("""COMPUTED_VALUE""")," ---")</f>
        <v> ---</v>
      </c>
      <c r="G409" s="4" t="str">
        <f>IFERROR(__xludf.DUMMYFUNCTION("""COMPUTED_VALUE"""),"SUSE Linux Enterprise Server 15 SP4")</f>
        <v>SUSE Linux Enterprise Server 15 SP4</v>
      </c>
      <c r="H409" s="7" t="str">
        <f t="shared" si="3"/>
        <v>NO</v>
      </c>
      <c r="I409" s="7" t="str">
        <f t="shared" si="2"/>
        <v>NO</v>
      </c>
    </row>
    <row r="410">
      <c r="A410" s="4">
        <f>IFERROR(__xludf.DUMMYFUNCTION("""COMPUTED_VALUE"""),1197922.0)</f>
        <v>1197922</v>
      </c>
      <c r="B410" s="4" t="str">
        <f>IFERROR(__xludf.DUMMYFUNCTION("""COMPUTED_VALUE"""),"P5 - None")</f>
        <v>P5 - None</v>
      </c>
      <c r="C410" s="5">
        <f>IFERROR(__xludf.DUMMYFUNCTION("""COMPUTED_VALUE"""),44652.46364583333)</f>
        <v>44652.46365</v>
      </c>
      <c r="D410" s="4" t="str">
        <f>IFERROR(__xludf.DUMMYFUNCTION("""COMPUTED_VALUE"""),"RESOLVED")</f>
        <v>RESOLVED</v>
      </c>
      <c r="E410" s="6">
        <f>IFERROR(__xludf.DUMMYFUNCTION("""COMPUTED_VALUE"""),44736.46895833333)</f>
        <v>44736.46896</v>
      </c>
      <c r="F410" s="4" t="str">
        <f>IFERROR(__xludf.DUMMYFUNCTION("""COMPUTED_VALUE""")," ---")</f>
        <v> ---</v>
      </c>
      <c r="G410" s="4" t="str">
        <f>IFERROR(__xludf.DUMMYFUNCTION("""COMPUTED_VALUE"""),"SUSE Linux Enterprise Server 15 SP4")</f>
        <v>SUSE Linux Enterprise Server 15 SP4</v>
      </c>
      <c r="H410" s="7" t="str">
        <f t="shared" si="3"/>
        <v>NO</v>
      </c>
      <c r="I410" s="7" t="str">
        <f t="shared" si="2"/>
        <v>NO</v>
      </c>
    </row>
    <row r="411">
      <c r="A411" s="4">
        <f>IFERROR(__xludf.DUMMYFUNCTION("""COMPUTED_VALUE"""),1198009.0)</f>
        <v>1198009</v>
      </c>
      <c r="B411" s="4" t="str">
        <f>IFERROR(__xludf.DUMMYFUNCTION("""COMPUTED_VALUE"""),"P5 - None")</f>
        <v>P5 - None</v>
      </c>
      <c r="C411" s="5">
        <f>IFERROR(__xludf.DUMMYFUNCTION("""COMPUTED_VALUE"""),44655.568657407406)</f>
        <v>44655.56866</v>
      </c>
      <c r="D411" s="4" t="str">
        <f>IFERROR(__xludf.DUMMYFUNCTION("""COMPUTED_VALUE"""),"RESOLVED")</f>
        <v>RESOLVED</v>
      </c>
      <c r="E411" s="6">
        <f>IFERROR(__xludf.DUMMYFUNCTION("""COMPUTED_VALUE"""),44736.469039351854)</f>
        <v>44736.46904</v>
      </c>
      <c r="F411" s="4" t="str">
        <f>IFERROR(__xludf.DUMMYFUNCTION("""COMPUTED_VALUE""")," ---")</f>
        <v> ---</v>
      </c>
      <c r="G411" s="4" t="str">
        <f>IFERROR(__xludf.DUMMYFUNCTION("""COMPUTED_VALUE"""),"SUSE Linux Enterprise Server 15 SP4")</f>
        <v>SUSE Linux Enterprise Server 15 SP4</v>
      </c>
      <c r="H411" s="7" t="str">
        <f t="shared" si="3"/>
        <v>NO</v>
      </c>
      <c r="I411" s="7" t="str">
        <f t="shared" si="2"/>
        <v>NO</v>
      </c>
    </row>
    <row r="412">
      <c r="A412" s="4">
        <f>IFERROR(__xludf.DUMMYFUNCTION("""COMPUTED_VALUE"""),1198010.0)</f>
        <v>1198010</v>
      </c>
      <c r="B412" s="4" t="str">
        <f>IFERROR(__xludf.DUMMYFUNCTION("""COMPUTED_VALUE"""),"P5 - None")</f>
        <v>P5 - None</v>
      </c>
      <c r="C412" s="5">
        <f>IFERROR(__xludf.DUMMYFUNCTION("""COMPUTED_VALUE"""),44655.570763888885)</f>
        <v>44655.57076</v>
      </c>
      <c r="D412" s="4" t="str">
        <f>IFERROR(__xludf.DUMMYFUNCTION("""COMPUTED_VALUE"""),"RESOLVED")</f>
        <v>RESOLVED</v>
      </c>
      <c r="E412" s="6">
        <f>IFERROR(__xludf.DUMMYFUNCTION("""COMPUTED_VALUE"""),44736.46907407408)</f>
        <v>44736.46907</v>
      </c>
      <c r="F412" s="4" t="str">
        <f>IFERROR(__xludf.DUMMYFUNCTION("""COMPUTED_VALUE""")," ---")</f>
        <v> ---</v>
      </c>
      <c r="G412" s="4" t="str">
        <f>IFERROR(__xludf.DUMMYFUNCTION("""COMPUTED_VALUE"""),"SUSE Linux Enterprise Server 15 SP4")</f>
        <v>SUSE Linux Enterprise Server 15 SP4</v>
      </c>
      <c r="H412" s="7" t="str">
        <f t="shared" si="3"/>
        <v>NO</v>
      </c>
      <c r="I412" s="7" t="str">
        <f t="shared" si="2"/>
        <v>NO</v>
      </c>
    </row>
    <row r="413">
      <c r="A413" s="4">
        <f>IFERROR(__xludf.DUMMYFUNCTION("""COMPUTED_VALUE"""),1198012.0)</f>
        <v>1198012</v>
      </c>
      <c r="B413" s="4" t="str">
        <f>IFERROR(__xludf.DUMMYFUNCTION("""COMPUTED_VALUE"""),"P5 - None")</f>
        <v>P5 - None</v>
      </c>
      <c r="C413" s="5">
        <f>IFERROR(__xludf.DUMMYFUNCTION("""COMPUTED_VALUE"""),44655.57288194444)</f>
        <v>44655.57288</v>
      </c>
      <c r="D413" s="4" t="str">
        <f>IFERROR(__xludf.DUMMYFUNCTION("""COMPUTED_VALUE"""),"RESOLVED")</f>
        <v>RESOLVED</v>
      </c>
      <c r="E413" s="6">
        <f>IFERROR(__xludf.DUMMYFUNCTION("""COMPUTED_VALUE"""),44736.46910879629)</f>
        <v>44736.46911</v>
      </c>
      <c r="F413" s="4" t="str">
        <f>IFERROR(__xludf.DUMMYFUNCTION("""COMPUTED_VALUE""")," ---")</f>
        <v> ---</v>
      </c>
      <c r="G413" s="4" t="str">
        <f>IFERROR(__xludf.DUMMYFUNCTION("""COMPUTED_VALUE"""),"SUSE Linux Enterprise Server 15 SP4")</f>
        <v>SUSE Linux Enterprise Server 15 SP4</v>
      </c>
      <c r="H413" s="7" t="str">
        <f t="shared" si="3"/>
        <v>NO</v>
      </c>
      <c r="I413" s="7" t="str">
        <f t="shared" si="2"/>
        <v>NO</v>
      </c>
    </row>
    <row r="414">
      <c r="A414" s="4">
        <f>IFERROR(__xludf.DUMMYFUNCTION("""COMPUTED_VALUE"""),1198013.0)</f>
        <v>1198013</v>
      </c>
      <c r="B414" s="4" t="str">
        <f>IFERROR(__xludf.DUMMYFUNCTION("""COMPUTED_VALUE"""),"P5 - None")</f>
        <v>P5 - None</v>
      </c>
      <c r="C414" s="5">
        <f>IFERROR(__xludf.DUMMYFUNCTION("""COMPUTED_VALUE"""),44655.57381944444)</f>
        <v>44655.57382</v>
      </c>
      <c r="D414" s="4" t="str">
        <f>IFERROR(__xludf.DUMMYFUNCTION("""COMPUTED_VALUE"""),"RESOLVED")</f>
        <v>RESOLVED</v>
      </c>
      <c r="E414" s="6">
        <f>IFERROR(__xludf.DUMMYFUNCTION("""COMPUTED_VALUE"""),44736.469143518516)</f>
        <v>44736.46914</v>
      </c>
      <c r="F414" s="4" t="str">
        <f>IFERROR(__xludf.DUMMYFUNCTION("""COMPUTED_VALUE""")," ---")</f>
        <v> ---</v>
      </c>
      <c r="G414" s="4" t="str">
        <f>IFERROR(__xludf.DUMMYFUNCTION("""COMPUTED_VALUE"""),"SUSE Linux Enterprise Server 15 SP4")</f>
        <v>SUSE Linux Enterprise Server 15 SP4</v>
      </c>
      <c r="H414" s="7" t="str">
        <f t="shared" si="3"/>
        <v>NO</v>
      </c>
      <c r="I414" s="7" t="str">
        <f t="shared" si="2"/>
        <v>NO</v>
      </c>
    </row>
    <row r="415">
      <c r="A415" s="4">
        <f>IFERROR(__xludf.DUMMYFUNCTION("""COMPUTED_VALUE"""),1198014.0)</f>
        <v>1198014</v>
      </c>
      <c r="B415" s="4" t="str">
        <f>IFERROR(__xludf.DUMMYFUNCTION("""COMPUTED_VALUE"""),"P5 - None")</f>
        <v>P5 - None</v>
      </c>
      <c r="C415" s="5">
        <f>IFERROR(__xludf.DUMMYFUNCTION("""COMPUTED_VALUE"""),44655.57498842593)</f>
        <v>44655.57499</v>
      </c>
      <c r="D415" s="4" t="str">
        <f>IFERROR(__xludf.DUMMYFUNCTION("""COMPUTED_VALUE"""),"RESOLVED")</f>
        <v>RESOLVED</v>
      </c>
      <c r="E415" s="6">
        <f>IFERROR(__xludf.DUMMYFUNCTION("""COMPUTED_VALUE"""),44736.469189814816)</f>
        <v>44736.46919</v>
      </c>
      <c r="F415" s="4" t="str">
        <f>IFERROR(__xludf.DUMMYFUNCTION("""COMPUTED_VALUE""")," ---")</f>
        <v> ---</v>
      </c>
      <c r="G415" s="4" t="str">
        <f>IFERROR(__xludf.DUMMYFUNCTION("""COMPUTED_VALUE"""),"SUSE Linux Enterprise Server 15 SP4")</f>
        <v>SUSE Linux Enterprise Server 15 SP4</v>
      </c>
      <c r="H415" s="7" t="str">
        <f t="shared" si="3"/>
        <v>NO</v>
      </c>
      <c r="I415" s="7" t="str">
        <f t="shared" si="2"/>
        <v>NO</v>
      </c>
    </row>
    <row r="416">
      <c r="A416" s="4">
        <f>IFERROR(__xludf.DUMMYFUNCTION("""COMPUTED_VALUE"""),1198015.0)</f>
        <v>1198015</v>
      </c>
      <c r="B416" s="4" t="str">
        <f>IFERROR(__xludf.DUMMYFUNCTION("""COMPUTED_VALUE"""),"P5 - None")</f>
        <v>P5 - None</v>
      </c>
      <c r="C416" s="5">
        <f>IFERROR(__xludf.DUMMYFUNCTION("""COMPUTED_VALUE"""),44655.57534722222)</f>
        <v>44655.57535</v>
      </c>
      <c r="D416" s="4" t="str">
        <f>IFERROR(__xludf.DUMMYFUNCTION("""COMPUTED_VALUE"""),"RESOLVED")</f>
        <v>RESOLVED</v>
      </c>
      <c r="E416" s="6">
        <f>IFERROR(__xludf.DUMMYFUNCTION("""COMPUTED_VALUE"""),44736.46922453704)</f>
        <v>44736.46922</v>
      </c>
      <c r="F416" s="4" t="str">
        <f>IFERROR(__xludf.DUMMYFUNCTION("""COMPUTED_VALUE""")," ---")</f>
        <v> ---</v>
      </c>
      <c r="G416" s="4" t="str">
        <f>IFERROR(__xludf.DUMMYFUNCTION("""COMPUTED_VALUE"""),"SUSE Linux Enterprise Server 15 SP4")</f>
        <v>SUSE Linux Enterprise Server 15 SP4</v>
      </c>
      <c r="H416" s="7" t="str">
        <f t="shared" si="3"/>
        <v>NO</v>
      </c>
      <c r="I416" s="7" t="str">
        <f t="shared" si="2"/>
        <v>NO</v>
      </c>
    </row>
    <row r="417">
      <c r="A417" s="4">
        <f>IFERROR(__xludf.DUMMYFUNCTION("""COMPUTED_VALUE"""),1198016.0)</f>
        <v>1198016</v>
      </c>
      <c r="B417" s="4" t="str">
        <f>IFERROR(__xludf.DUMMYFUNCTION("""COMPUTED_VALUE"""),"P5 - None")</f>
        <v>P5 - None</v>
      </c>
      <c r="C417" s="5">
        <f>IFERROR(__xludf.DUMMYFUNCTION("""COMPUTED_VALUE"""),44655.57607638889)</f>
        <v>44655.57608</v>
      </c>
      <c r="D417" s="4" t="str">
        <f>IFERROR(__xludf.DUMMYFUNCTION("""COMPUTED_VALUE"""),"RESOLVED")</f>
        <v>RESOLVED</v>
      </c>
      <c r="E417" s="6">
        <f>IFERROR(__xludf.DUMMYFUNCTION("""COMPUTED_VALUE"""),44736.46925925926)</f>
        <v>44736.46926</v>
      </c>
      <c r="F417" s="4" t="str">
        <f>IFERROR(__xludf.DUMMYFUNCTION("""COMPUTED_VALUE""")," ---")</f>
        <v> ---</v>
      </c>
      <c r="G417" s="4" t="str">
        <f>IFERROR(__xludf.DUMMYFUNCTION("""COMPUTED_VALUE"""),"SUSE Linux Enterprise Server 15 SP4")</f>
        <v>SUSE Linux Enterprise Server 15 SP4</v>
      </c>
      <c r="H417" s="7" t="str">
        <f t="shared" si="3"/>
        <v>NO</v>
      </c>
      <c r="I417" s="7" t="str">
        <f t="shared" si="2"/>
        <v>NO</v>
      </c>
    </row>
    <row r="418">
      <c r="A418" s="4">
        <f>IFERROR(__xludf.DUMMYFUNCTION("""COMPUTED_VALUE"""),1198017.0)</f>
        <v>1198017</v>
      </c>
      <c r="B418" s="4" t="str">
        <f>IFERROR(__xludf.DUMMYFUNCTION("""COMPUTED_VALUE"""),"P5 - None")</f>
        <v>P5 - None</v>
      </c>
      <c r="C418" s="5">
        <f>IFERROR(__xludf.DUMMYFUNCTION("""COMPUTED_VALUE"""),44655.58112268519)</f>
        <v>44655.58112</v>
      </c>
      <c r="D418" s="4" t="str">
        <f>IFERROR(__xludf.DUMMYFUNCTION("""COMPUTED_VALUE"""),"RESOLVED")</f>
        <v>RESOLVED</v>
      </c>
      <c r="E418" s="6">
        <f>IFERROR(__xludf.DUMMYFUNCTION("""COMPUTED_VALUE"""),44736.469293981485)</f>
        <v>44736.46929</v>
      </c>
      <c r="F418" s="4" t="str">
        <f>IFERROR(__xludf.DUMMYFUNCTION("""COMPUTED_VALUE""")," ---")</f>
        <v> ---</v>
      </c>
      <c r="G418" s="4" t="str">
        <f>IFERROR(__xludf.DUMMYFUNCTION("""COMPUTED_VALUE"""),"SUSE Linux Enterprise Server 15 SP4")</f>
        <v>SUSE Linux Enterprise Server 15 SP4</v>
      </c>
      <c r="H418" s="7" t="str">
        <f t="shared" si="3"/>
        <v>NO</v>
      </c>
      <c r="I418" s="7" t="str">
        <f t="shared" si="2"/>
        <v>NO</v>
      </c>
    </row>
    <row r="419">
      <c r="A419" s="4">
        <f>IFERROR(__xludf.DUMMYFUNCTION("""COMPUTED_VALUE"""),1198018.0)</f>
        <v>1198018</v>
      </c>
      <c r="B419" s="4" t="str">
        <f>IFERROR(__xludf.DUMMYFUNCTION("""COMPUTED_VALUE"""),"P5 - None")</f>
        <v>P5 - None</v>
      </c>
      <c r="C419" s="5">
        <f>IFERROR(__xludf.DUMMYFUNCTION("""COMPUTED_VALUE"""),44655.58190972222)</f>
        <v>44655.58191</v>
      </c>
      <c r="D419" s="4" t="str">
        <f>IFERROR(__xludf.DUMMYFUNCTION("""COMPUTED_VALUE"""),"RESOLVED")</f>
        <v>RESOLVED</v>
      </c>
      <c r="E419" s="6">
        <f>IFERROR(__xludf.DUMMYFUNCTION("""COMPUTED_VALUE"""),44736.46934027778)</f>
        <v>44736.46934</v>
      </c>
      <c r="F419" s="4" t="str">
        <f>IFERROR(__xludf.DUMMYFUNCTION("""COMPUTED_VALUE""")," ---")</f>
        <v> ---</v>
      </c>
      <c r="G419" s="4" t="str">
        <f>IFERROR(__xludf.DUMMYFUNCTION("""COMPUTED_VALUE"""),"SUSE Linux Enterprise Server 15 SP4")</f>
        <v>SUSE Linux Enterprise Server 15 SP4</v>
      </c>
      <c r="H419" s="7" t="str">
        <f t="shared" si="3"/>
        <v>NO</v>
      </c>
      <c r="I419" s="7" t="str">
        <f t="shared" si="2"/>
        <v>NO</v>
      </c>
    </row>
    <row r="420">
      <c r="A420" s="4">
        <f>IFERROR(__xludf.DUMMYFUNCTION("""COMPUTED_VALUE"""),1198019.0)</f>
        <v>1198019</v>
      </c>
      <c r="B420" s="4" t="str">
        <f>IFERROR(__xludf.DUMMYFUNCTION("""COMPUTED_VALUE"""),"P5 - None")</f>
        <v>P5 - None</v>
      </c>
      <c r="C420" s="5">
        <f>IFERROR(__xludf.DUMMYFUNCTION("""COMPUTED_VALUE"""),44655.58290509259)</f>
        <v>44655.58291</v>
      </c>
      <c r="D420" s="4" t="str">
        <f>IFERROR(__xludf.DUMMYFUNCTION("""COMPUTED_VALUE"""),"RESOLVED")</f>
        <v>RESOLVED</v>
      </c>
      <c r="E420" s="6">
        <f>IFERROR(__xludf.DUMMYFUNCTION("""COMPUTED_VALUE"""),44736.469375)</f>
        <v>44736.46938</v>
      </c>
      <c r="F420" s="4" t="str">
        <f>IFERROR(__xludf.DUMMYFUNCTION("""COMPUTED_VALUE""")," ---")</f>
        <v> ---</v>
      </c>
      <c r="G420" s="4" t="str">
        <f>IFERROR(__xludf.DUMMYFUNCTION("""COMPUTED_VALUE"""),"SUSE Linux Enterprise Server 15 SP4")</f>
        <v>SUSE Linux Enterprise Server 15 SP4</v>
      </c>
      <c r="H420" s="7" t="str">
        <f t="shared" si="3"/>
        <v>NO</v>
      </c>
      <c r="I420" s="7" t="str">
        <f t="shared" si="2"/>
        <v>NO</v>
      </c>
    </row>
    <row r="421">
      <c r="A421" s="4">
        <f>IFERROR(__xludf.DUMMYFUNCTION("""COMPUTED_VALUE"""),1198020.0)</f>
        <v>1198020</v>
      </c>
      <c r="B421" s="4" t="str">
        <f>IFERROR(__xludf.DUMMYFUNCTION("""COMPUTED_VALUE"""),"P5 - None")</f>
        <v>P5 - None</v>
      </c>
      <c r="C421" s="5">
        <f>IFERROR(__xludf.DUMMYFUNCTION("""COMPUTED_VALUE"""),44655.58320601852)</f>
        <v>44655.58321</v>
      </c>
      <c r="D421" s="4" t="str">
        <f>IFERROR(__xludf.DUMMYFUNCTION("""COMPUTED_VALUE"""),"RESOLVED")</f>
        <v>RESOLVED</v>
      </c>
      <c r="E421" s="6">
        <f>IFERROR(__xludf.DUMMYFUNCTION("""COMPUTED_VALUE"""),44736.469409722224)</f>
        <v>44736.46941</v>
      </c>
      <c r="F421" s="4" t="str">
        <f>IFERROR(__xludf.DUMMYFUNCTION("""COMPUTED_VALUE""")," ---")</f>
        <v> ---</v>
      </c>
      <c r="G421" s="4" t="str">
        <f>IFERROR(__xludf.DUMMYFUNCTION("""COMPUTED_VALUE"""),"SUSE Linux Enterprise Server 15 SP4")</f>
        <v>SUSE Linux Enterprise Server 15 SP4</v>
      </c>
      <c r="H421" s="7" t="str">
        <f t="shared" si="3"/>
        <v>NO</v>
      </c>
      <c r="I421" s="7" t="str">
        <f t="shared" si="2"/>
        <v>NO</v>
      </c>
    </row>
    <row r="422">
      <c r="A422" s="4">
        <f>IFERROR(__xludf.DUMMYFUNCTION("""COMPUTED_VALUE"""),1198021.0)</f>
        <v>1198021</v>
      </c>
      <c r="B422" s="4" t="str">
        <f>IFERROR(__xludf.DUMMYFUNCTION("""COMPUTED_VALUE"""),"P5 - None")</f>
        <v>P5 - None</v>
      </c>
      <c r="C422" s="5">
        <f>IFERROR(__xludf.DUMMYFUNCTION("""COMPUTED_VALUE"""),44655.58347222222)</f>
        <v>44655.58347</v>
      </c>
      <c r="D422" s="4" t="str">
        <f>IFERROR(__xludf.DUMMYFUNCTION("""COMPUTED_VALUE"""),"RESOLVED")</f>
        <v>RESOLVED</v>
      </c>
      <c r="E422" s="6">
        <f>IFERROR(__xludf.DUMMYFUNCTION("""COMPUTED_VALUE"""),44736.46944444445)</f>
        <v>44736.46944</v>
      </c>
      <c r="F422" s="4" t="str">
        <f>IFERROR(__xludf.DUMMYFUNCTION("""COMPUTED_VALUE""")," ---")</f>
        <v> ---</v>
      </c>
      <c r="G422" s="4" t="str">
        <f>IFERROR(__xludf.DUMMYFUNCTION("""COMPUTED_VALUE"""),"SUSE Linux Enterprise Server 15 SP4")</f>
        <v>SUSE Linux Enterprise Server 15 SP4</v>
      </c>
      <c r="H422" s="7" t="str">
        <f t="shared" si="3"/>
        <v>NO</v>
      </c>
      <c r="I422" s="7" t="str">
        <f t="shared" si="2"/>
        <v>NO</v>
      </c>
    </row>
    <row r="423">
      <c r="A423" s="4">
        <f>IFERROR(__xludf.DUMMYFUNCTION("""COMPUTED_VALUE"""),1198022.0)</f>
        <v>1198022</v>
      </c>
      <c r="B423" s="4" t="str">
        <f>IFERROR(__xludf.DUMMYFUNCTION("""COMPUTED_VALUE"""),"P5 - None")</f>
        <v>P5 - None</v>
      </c>
      <c r="C423" s="5">
        <f>IFERROR(__xludf.DUMMYFUNCTION("""COMPUTED_VALUE"""),44655.58678240741)</f>
        <v>44655.58678</v>
      </c>
      <c r="D423" s="4" t="str">
        <f>IFERROR(__xludf.DUMMYFUNCTION("""COMPUTED_VALUE"""),"RESOLVED")</f>
        <v>RESOLVED</v>
      </c>
      <c r="E423" s="6">
        <f>IFERROR(__xludf.DUMMYFUNCTION("""COMPUTED_VALUE"""),44736.46947916667)</f>
        <v>44736.46948</v>
      </c>
      <c r="F423" s="4" t="str">
        <f>IFERROR(__xludf.DUMMYFUNCTION("""COMPUTED_VALUE""")," ---")</f>
        <v> ---</v>
      </c>
      <c r="G423" s="4" t="str">
        <f>IFERROR(__xludf.DUMMYFUNCTION("""COMPUTED_VALUE"""),"SUSE Linux Enterprise Server 15 SP4")</f>
        <v>SUSE Linux Enterprise Server 15 SP4</v>
      </c>
      <c r="H423" s="7" t="str">
        <f t="shared" si="3"/>
        <v>NO</v>
      </c>
      <c r="I423" s="7" t="str">
        <f t="shared" si="2"/>
        <v>NO</v>
      </c>
    </row>
    <row r="424">
      <c r="A424" s="4">
        <f>IFERROR(__xludf.DUMMYFUNCTION("""COMPUTED_VALUE"""),1198023.0)</f>
        <v>1198023</v>
      </c>
      <c r="B424" s="4" t="str">
        <f>IFERROR(__xludf.DUMMYFUNCTION("""COMPUTED_VALUE"""),"P5 - None")</f>
        <v>P5 - None</v>
      </c>
      <c r="C424" s="5">
        <f>IFERROR(__xludf.DUMMYFUNCTION("""COMPUTED_VALUE"""),44655.588587962964)</f>
        <v>44655.58859</v>
      </c>
      <c r="D424" s="4" t="str">
        <f>IFERROR(__xludf.DUMMYFUNCTION("""COMPUTED_VALUE"""),"RESOLVED")</f>
        <v>RESOLVED</v>
      </c>
      <c r="E424" s="6">
        <f>IFERROR(__xludf.DUMMYFUNCTION("""COMPUTED_VALUE"""),44736.46952546296)</f>
        <v>44736.46953</v>
      </c>
      <c r="F424" s="4" t="str">
        <f>IFERROR(__xludf.DUMMYFUNCTION("""COMPUTED_VALUE""")," ---")</f>
        <v> ---</v>
      </c>
      <c r="G424" s="4" t="str">
        <f>IFERROR(__xludf.DUMMYFUNCTION("""COMPUTED_VALUE"""),"SUSE Linux Enterprise Server 15 SP4")</f>
        <v>SUSE Linux Enterprise Server 15 SP4</v>
      </c>
      <c r="H424" s="7" t="str">
        <f t="shared" si="3"/>
        <v>NO</v>
      </c>
      <c r="I424" s="7" t="str">
        <f t="shared" si="2"/>
        <v>NO</v>
      </c>
    </row>
    <row r="425">
      <c r="A425" s="4">
        <f>IFERROR(__xludf.DUMMYFUNCTION("""COMPUTED_VALUE"""),1198024.0)</f>
        <v>1198024</v>
      </c>
      <c r="B425" s="4" t="str">
        <f>IFERROR(__xludf.DUMMYFUNCTION("""COMPUTED_VALUE"""),"P5 - None")</f>
        <v>P5 - None</v>
      </c>
      <c r="C425" s="5">
        <f>IFERROR(__xludf.DUMMYFUNCTION("""COMPUTED_VALUE"""),44655.589525462965)</f>
        <v>44655.58953</v>
      </c>
      <c r="D425" s="4" t="str">
        <f>IFERROR(__xludf.DUMMYFUNCTION("""COMPUTED_VALUE"""),"RESOLVED")</f>
        <v>RESOLVED</v>
      </c>
      <c r="E425" s="6">
        <f>IFERROR(__xludf.DUMMYFUNCTION("""COMPUTED_VALUE"""),44736.469560185185)</f>
        <v>44736.46956</v>
      </c>
      <c r="F425" s="4" t="str">
        <f>IFERROR(__xludf.DUMMYFUNCTION("""COMPUTED_VALUE""")," ---")</f>
        <v> ---</v>
      </c>
      <c r="G425" s="4" t="str">
        <f>IFERROR(__xludf.DUMMYFUNCTION("""COMPUTED_VALUE"""),"SUSE Linux Enterprise Server 15 SP4")</f>
        <v>SUSE Linux Enterprise Server 15 SP4</v>
      </c>
      <c r="H425" s="7" t="str">
        <f t="shared" si="3"/>
        <v>NO</v>
      </c>
      <c r="I425" s="7" t="str">
        <f t="shared" si="2"/>
        <v>NO</v>
      </c>
    </row>
    <row r="426">
      <c r="A426" s="4">
        <f>IFERROR(__xludf.DUMMYFUNCTION("""COMPUTED_VALUE"""),1198034.0)</f>
        <v>1198034</v>
      </c>
      <c r="B426" s="4" t="str">
        <f>IFERROR(__xludf.DUMMYFUNCTION("""COMPUTED_VALUE"""),"P5 - None")</f>
        <v>P5 - None</v>
      </c>
      <c r="C426" s="5">
        <f>IFERROR(__xludf.DUMMYFUNCTION("""COMPUTED_VALUE"""),44655.61748842592)</f>
        <v>44655.61749</v>
      </c>
      <c r="D426" s="4" t="str">
        <f>IFERROR(__xludf.DUMMYFUNCTION("""COMPUTED_VALUE"""),"RESOLVED")</f>
        <v>RESOLVED</v>
      </c>
      <c r="E426" s="6">
        <f>IFERROR(__xludf.DUMMYFUNCTION("""COMPUTED_VALUE"""),44736.46991898148)</f>
        <v>44736.46992</v>
      </c>
      <c r="F426" s="4" t="str">
        <f>IFERROR(__xludf.DUMMYFUNCTION("""COMPUTED_VALUE""")," ---")</f>
        <v> ---</v>
      </c>
      <c r="G426" s="4" t="str">
        <f>IFERROR(__xludf.DUMMYFUNCTION("""COMPUTED_VALUE"""),"SUSE Linux Enterprise Server 15 SP4")</f>
        <v>SUSE Linux Enterprise Server 15 SP4</v>
      </c>
      <c r="H426" s="7" t="str">
        <f t="shared" si="3"/>
        <v>NO</v>
      </c>
      <c r="I426" s="7" t="str">
        <f t="shared" si="2"/>
        <v>NO</v>
      </c>
    </row>
    <row r="427">
      <c r="A427" s="4">
        <f>IFERROR(__xludf.DUMMYFUNCTION("""COMPUTED_VALUE"""),1200806.0)</f>
        <v>1200806</v>
      </c>
      <c r="B427" s="4" t="str">
        <f>IFERROR(__xludf.DUMMYFUNCTION("""COMPUTED_VALUE"""),"P5 - None")</f>
        <v>P5 - None</v>
      </c>
      <c r="C427" s="5">
        <f>IFERROR(__xludf.DUMMYFUNCTION("""COMPUTED_VALUE"""),44734.551412037035)</f>
        <v>44734.55141</v>
      </c>
      <c r="D427" s="4" t="str">
        <f>IFERROR(__xludf.DUMMYFUNCTION("""COMPUTED_VALUE"""),"RESOLVED")</f>
        <v>RESOLVED</v>
      </c>
      <c r="E427" s="6">
        <f>IFERROR(__xludf.DUMMYFUNCTION("""COMPUTED_VALUE"""),44736.47324074074)</f>
        <v>44736.47324</v>
      </c>
      <c r="F427" s="4" t="str">
        <f>IFERROR(__xludf.DUMMYFUNCTION("""COMPUTED_VALUE""")," ---")</f>
        <v> ---</v>
      </c>
      <c r="G427" s="4" t="str">
        <f>IFERROR(__xludf.DUMMYFUNCTION("""COMPUTED_VALUE"""),"SUSE Linux Enterprise Server 15 SP4")</f>
        <v>SUSE Linux Enterprise Server 15 SP4</v>
      </c>
      <c r="H427" s="7" t="str">
        <f t="shared" si="3"/>
        <v>NO</v>
      </c>
      <c r="I427" s="7" t="str">
        <f t="shared" si="2"/>
        <v>NO</v>
      </c>
    </row>
    <row r="428">
      <c r="A428" s="4">
        <f>IFERROR(__xludf.DUMMYFUNCTION("""COMPUTED_VALUE"""),1200807.0)</f>
        <v>1200807</v>
      </c>
      <c r="B428" s="4" t="str">
        <f>IFERROR(__xludf.DUMMYFUNCTION("""COMPUTED_VALUE"""),"P5 - None")</f>
        <v>P5 - None</v>
      </c>
      <c r="C428" s="5">
        <f>IFERROR(__xludf.DUMMYFUNCTION("""COMPUTED_VALUE"""),44734.55204861111)</f>
        <v>44734.55205</v>
      </c>
      <c r="D428" s="4" t="str">
        <f>IFERROR(__xludf.DUMMYFUNCTION("""COMPUTED_VALUE"""),"RESOLVED")</f>
        <v>RESOLVED</v>
      </c>
      <c r="E428" s="6">
        <f>IFERROR(__xludf.DUMMYFUNCTION("""COMPUTED_VALUE"""),44736.473275462966)</f>
        <v>44736.47328</v>
      </c>
      <c r="F428" s="4" t="str">
        <f>IFERROR(__xludf.DUMMYFUNCTION("""COMPUTED_VALUE""")," ---")</f>
        <v> ---</v>
      </c>
      <c r="G428" s="4" t="str">
        <f>IFERROR(__xludf.DUMMYFUNCTION("""COMPUTED_VALUE"""),"SUSE Linux Enterprise Server 15 SP4")</f>
        <v>SUSE Linux Enterprise Server 15 SP4</v>
      </c>
      <c r="H428" s="7" t="str">
        <f t="shared" si="3"/>
        <v>NO</v>
      </c>
      <c r="I428" s="7" t="str">
        <f t="shared" si="2"/>
        <v>NO</v>
      </c>
    </row>
    <row r="429">
      <c r="A429" s="4">
        <f>IFERROR(__xludf.DUMMYFUNCTION("""COMPUTED_VALUE"""),1200808.0)</f>
        <v>1200808</v>
      </c>
      <c r="B429" s="4" t="str">
        <f>IFERROR(__xludf.DUMMYFUNCTION("""COMPUTED_VALUE"""),"P5 - None")</f>
        <v>P5 - None</v>
      </c>
      <c r="C429" s="5">
        <f>IFERROR(__xludf.DUMMYFUNCTION("""COMPUTED_VALUE"""),44734.55226851852)</f>
        <v>44734.55227</v>
      </c>
      <c r="D429" s="4" t="str">
        <f>IFERROR(__xludf.DUMMYFUNCTION("""COMPUTED_VALUE"""),"RESOLVED")</f>
        <v>RESOLVED</v>
      </c>
      <c r="E429" s="6">
        <f>IFERROR(__xludf.DUMMYFUNCTION("""COMPUTED_VALUE"""),44736.47331018518)</f>
        <v>44736.47331</v>
      </c>
      <c r="F429" s="4" t="str">
        <f>IFERROR(__xludf.DUMMYFUNCTION("""COMPUTED_VALUE""")," ---")</f>
        <v> ---</v>
      </c>
      <c r="G429" s="4" t="str">
        <f>IFERROR(__xludf.DUMMYFUNCTION("""COMPUTED_VALUE"""),"SUSE Linux Enterprise Server 15 SP4")</f>
        <v>SUSE Linux Enterprise Server 15 SP4</v>
      </c>
      <c r="H429" s="7" t="str">
        <f t="shared" si="3"/>
        <v>NO</v>
      </c>
      <c r="I429" s="7" t="str">
        <f t="shared" si="2"/>
        <v>NO</v>
      </c>
    </row>
    <row r="430">
      <c r="A430" s="4">
        <f>IFERROR(__xludf.DUMMYFUNCTION("""COMPUTED_VALUE"""),1200809.0)</f>
        <v>1200809</v>
      </c>
      <c r="B430" s="4" t="str">
        <f>IFERROR(__xludf.DUMMYFUNCTION("""COMPUTED_VALUE"""),"P5 - None")</f>
        <v>P5 - None</v>
      </c>
      <c r="C430" s="5">
        <f>IFERROR(__xludf.DUMMYFUNCTION("""COMPUTED_VALUE"""),44734.55296296296)</f>
        <v>44734.55296</v>
      </c>
      <c r="D430" s="4" t="str">
        <f>IFERROR(__xludf.DUMMYFUNCTION("""COMPUTED_VALUE"""),"RESOLVED")</f>
        <v>RESOLVED</v>
      </c>
      <c r="E430" s="6">
        <f>IFERROR(__xludf.DUMMYFUNCTION("""COMPUTED_VALUE"""),44736.47335648148)</f>
        <v>44736.47336</v>
      </c>
      <c r="F430" s="4" t="str">
        <f>IFERROR(__xludf.DUMMYFUNCTION("""COMPUTED_VALUE""")," ---")</f>
        <v> ---</v>
      </c>
      <c r="G430" s="4" t="str">
        <f>IFERROR(__xludf.DUMMYFUNCTION("""COMPUTED_VALUE"""),"SUSE Linux Enterprise Server 15 SP4")</f>
        <v>SUSE Linux Enterprise Server 15 SP4</v>
      </c>
      <c r="H430" s="7" t="str">
        <f t="shared" si="3"/>
        <v>NO</v>
      </c>
      <c r="I430" s="7" t="str">
        <f t="shared" si="2"/>
        <v>NO</v>
      </c>
    </row>
    <row r="431">
      <c r="A431" s="4">
        <f>IFERROR(__xludf.DUMMYFUNCTION("""COMPUTED_VALUE"""),1200810.0)</f>
        <v>1200810</v>
      </c>
      <c r="B431" s="4" t="str">
        <f>IFERROR(__xludf.DUMMYFUNCTION("""COMPUTED_VALUE"""),"P5 - None")</f>
        <v>P5 - None</v>
      </c>
      <c r="C431" s="5">
        <f>IFERROR(__xludf.DUMMYFUNCTION("""COMPUTED_VALUE"""),44734.55321759259)</f>
        <v>44734.55322</v>
      </c>
      <c r="D431" s="4" t="str">
        <f>IFERROR(__xludf.DUMMYFUNCTION("""COMPUTED_VALUE"""),"RESOLVED")</f>
        <v>RESOLVED</v>
      </c>
      <c r="E431" s="6">
        <f>IFERROR(__xludf.DUMMYFUNCTION("""COMPUTED_VALUE"""),44736.473391203705)</f>
        <v>44736.47339</v>
      </c>
      <c r="F431" s="4" t="str">
        <f>IFERROR(__xludf.DUMMYFUNCTION("""COMPUTED_VALUE""")," ---")</f>
        <v> ---</v>
      </c>
      <c r="G431" s="4" t="str">
        <f>IFERROR(__xludf.DUMMYFUNCTION("""COMPUTED_VALUE"""),"SUSE Linux Enterprise Server 15 SP4")</f>
        <v>SUSE Linux Enterprise Server 15 SP4</v>
      </c>
      <c r="H431" s="7" t="str">
        <f t="shared" si="3"/>
        <v>NO</v>
      </c>
      <c r="I431" s="7" t="str">
        <f t="shared" si="2"/>
        <v>NO</v>
      </c>
    </row>
    <row r="432">
      <c r="A432" s="4">
        <f>IFERROR(__xludf.DUMMYFUNCTION("""COMPUTED_VALUE"""),1200812.0)</f>
        <v>1200812</v>
      </c>
      <c r="B432" s="4" t="str">
        <f>IFERROR(__xludf.DUMMYFUNCTION("""COMPUTED_VALUE"""),"P5 - None")</f>
        <v>P5 - None</v>
      </c>
      <c r="C432" s="5">
        <f>IFERROR(__xludf.DUMMYFUNCTION("""COMPUTED_VALUE"""),44734.55482638889)</f>
        <v>44734.55483</v>
      </c>
      <c r="D432" s="4" t="str">
        <f>IFERROR(__xludf.DUMMYFUNCTION("""COMPUTED_VALUE"""),"RESOLVED")</f>
        <v>RESOLVED</v>
      </c>
      <c r="E432" s="6">
        <f>IFERROR(__xludf.DUMMYFUNCTION("""COMPUTED_VALUE"""),44736.47342592593)</f>
        <v>44736.47343</v>
      </c>
      <c r="F432" s="4" t="str">
        <f>IFERROR(__xludf.DUMMYFUNCTION("""COMPUTED_VALUE""")," ---")</f>
        <v> ---</v>
      </c>
      <c r="G432" s="4" t="str">
        <f>IFERROR(__xludf.DUMMYFUNCTION("""COMPUTED_VALUE"""),"SUSE Linux Enterprise Server 15 SP4")</f>
        <v>SUSE Linux Enterprise Server 15 SP4</v>
      </c>
      <c r="H432" s="7" t="str">
        <f t="shared" si="3"/>
        <v>NO</v>
      </c>
      <c r="I432" s="7" t="str">
        <f t="shared" si="2"/>
        <v>NO</v>
      </c>
    </row>
    <row r="433">
      <c r="A433" s="4">
        <f>IFERROR(__xludf.DUMMYFUNCTION("""COMPUTED_VALUE"""),1200813.0)</f>
        <v>1200813</v>
      </c>
      <c r="B433" s="4" t="str">
        <f>IFERROR(__xludf.DUMMYFUNCTION("""COMPUTED_VALUE"""),"P5 - None")</f>
        <v>P5 - None</v>
      </c>
      <c r="C433" s="5">
        <f>IFERROR(__xludf.DUMMYFUNCTION("""COMPUTED_VALUE"""),44734.55517361111)</f>
        <v>44734.55517</v>
      </c>
      <c r="D433" s="4" t="str">
        <f>IFERROR(__xludf.DUMMYFUNCTION("""COMPUTED_VALUE"""),"RESOLVED")</f>
        <v>RESOLVED</v>
      </c>
      <c r="E433" s="6">
        <f>IFERROR(__xludf.DUMMYFUNCTION("""COMPUTED_VALUE"""),44736.47346064815)</f>
        <v>44736.47346</v>
      </c>
      <c r="F433" s="4" t="str">
        <f>IFERROR(__xludf.DUMMYFUNCTION("""COMPUTED_VALUE""")," ---")</f>
        <v> ---</v>
      </c>
      <c r="G433" s="4" t="str">
        <f>IFERROR(__xludf.DUMMYFUNCTION("""COMPUTED_VALUE"""),"SUSE Linux Enterprise Server 15 SP4")</f>
        <v>SUSE Linux Enterprise Server 15 SP4</v>
      </c>
      <c r="H433" s="7" t="str">
        <f t="shared" si="3"/>
        <v>NO</v>
      </c>
      <c r="I433" s="7" t="str">
        <f t="shared" si="2"/>
        <v>NO</v>
      </c>
    </row>
    <row r="434">
      <c r="A434" s="4">
        <f>IFERROR(__xludf.DUMMYFUNCTION("""COMPUTED_VALUE"""),1200815.0)</f>
        <v>1200815</v>
      </c>
      <c r="B434" s="4" t="str">
        <f>IFERROR(__xludf.DUMMYFUNCTION("""COMPUTED_VALUE"""),"P5 - None")</f>
        <v>P5 - None</v>
      </c>
      <c r="C434" s="5">
        <f>IFERROR(__xludf.DUMMYFUNCTION("""COMPUTED_VALUE"""),44734.560752314814)</f>
        <v>44734.56075</v>
      </c>
      <c r="D434" s="4" t="str">
        <f>IFERROR(__xludf.DUMMYFUNCTION("""COMPUTED_VALUE"""),"RESOLVED")</f>
        <v>RESOLVED</v>
      </c>
      <c r="E434" s="6">
        <f>IFERROR(__xludf.DUMMYFUNCTION("""COMPUTED_VALUE"""),44736.473495370374)</f>
        <v>44736.4735</v>
      </c>
      <c r="F434" s="4" t="str">
        <f>IFERROR(__xludf.DUMMYFUNCTION("""COMPUTED_VALUE""")," ---")</f>
        <v> ---</v>
      </c>
      <c r="G434" s="4" t="str">
        <f>IFERROR(__xludf.DUMMYFUNCTION("""COMPUTED_VALUE"""),"SUSE Linux Enterprise Server 15 SP4")</f>
        <v>SUSE Linux Enterprise Server 15 SP4</v>
      </c>
      <c r="H434" s="7" t="str">
        <f t="shared" si="3"/>
        <v>NO</v>
      </c>
      <c r="I434" s="7" t="str">
        <f t="shared" si="2"/>
        <v>NO</v>
      </c>
    </row>
    <row r="435">
      <c r="A435" s="4">
        <f>IFERROR(__xludf.DUMMYFUNCTION("""COMPUTED_VALUE"""),1200816.0)</f>
        <v>1200816</v>
      </c>
      <c r="B435" s="4" t="str">
        <f>IFERROR(__xludf.DUMMYFUNCTION("""COMPUTED_VALUE"""),"P5 - None")</f>
        <v>P5 - None</v>
      </c>
      <c r="C435" s="5">
        <f>IFERROR(__xludf.DUMMYFUNCTION("""COMPUTED_VALUE"""),44734.56159722222)</f>
        <v>44734.5616</v>
      </c>
      <c r="D435" s="4" t="str">
        <f>IFERROR(__xludf.DUMMYFUNCTION("""COMPUTED_VALUE"""),"RESOLVED")</f>
        <v>RESOLVED</v>
      </c>
      <c r="E435" s="6">
        <f>IFERROR(__xludf.DUMMYFUNCTION("""COMPUTED_VALUE"""),44736.473541666666)</f>
        <v>44736.47354</v>
      </c>
      <c r="F435" s="4" t="str">
        <f>IFERROR(__xludf.DUMMYFUNCTION("""COMPUTED_VALUE""")," ---")</f>
        <v> ---</v>
      </c>
      <c r="G435" s="4" t="str">
        <f>IFERROR(__xludf.DUMMYFUNCTION("""COMPUTED_VALUE"""),"SUSE Linux Enterprise Server 15 SP4")</f>
        <v>SUSE Linux Enterprise Server 15 SP4</v>
      </c>
      <c r="H435" s="7" t="str">
        <f t="shared" si="3"/>
        <v>NO</v>
      </c>
      <c r="I435" s="7" t="str">
        <f t="shared" si="2"/>
        <v>NO</v>
      </c>
    </row>
    <row r="436">
      <c r="A436" s="4">
        <f>IFERROR(__xludf.DUMMYFUNCTION("""COMPUTED_VALUE"""),1200817.0)</f>
        <v>1200817</v>
      </c>
      <c r="B436" s="4" t="str">
        <f>IFERROR(__xludf.DUMMYFUNCTION("""COMPUTED_VALUE"""),"P5 - None")</f>
        <v>P5 - None</v>
      </c>
      <c r="C436" s="5">
        <f>IFERROR(__xludf.DUMMYFUNCTION("""COMPUTED_VALUE"""),44734.56539351852)</f>
        <v>44734.56539</v>
      </c>
      <c r="D436" s="4" t="str">
        <f>IFERROR(__xludf.DUMMYFUNCTION("""COMPUTED_VALUE"""),"RESOLVED")</f>
        <v>RESOLVED</v>
      </c>
      <c r="E436" s="6">
        <f>IFERROR(__xludf.DUMMYFUNCTION("""COMPUTED_VALUE"""),44734.56543981482)</f>
        <v>44734.56544</v>
      </c>
      <c r="F436" s="4" t="str">
        <f>IFERROR(__xludf.DUMMYFUNCTION("""COMPUTED_VALUE""")," ---")</f>
        <v> ---</v>
      </c>
      <c r="G436" s="4" t="str">
        <f>IFERROR(__xludf.DUMMYFUNCTION("""COMPUTED_VALUE"""),"SUSE Linux Enterprise Server 15 SP4")</f>
        <v>SUSE Linux Enterprise Server 15 SP4</v>
      </c>
      <c r="H436" s="7" t="str">
        <f t="shared" si="3"/>
        <v>NO</v>
      </c>
      <c r="I436" s="7" t="str">
        <f t="shared" si="2"/>
        <v>NO</v>
      </c>
    </row>
    <row r="437">
      <c r="A437" s="4">
        <f>IFERROR(__xludf.DUMMYFUNCTION("""COMPUTED_VALUE"""),1200818.0)</f>
        <v>1200818</v>
      </c>
      <c r="B437" s="4" t="str">
        <f>IFERROR(__xludf.DUMMYFUNCTION("""COMPUTED_VALUE"""),"P5 - None")</f>
        <v>P5 - None</v>
      </c>
      <c r="C437" s="5">
        <f>IFERROR(__xludf.DUMMYFUNCTION("""COMPUTED_VALUE"""),44734.565625)</f>
        <v>44734.56563</v>
      </c>
      <c r="D437" s="4" t="str">
        <f>IFERROR(__xludf.DUMMYFUNCTION("""COMPUTED_VALUE"""),"RESOLVED")</f>
        <v>RESOLVED</v>
      </c>
      <c r="E437" s="6">
        <f>IFERROR(__xludf.DUMMYFUNCTION("""COMPUTED_VALUE"""),44734.565671296295)</f>
        <v>44734.56567</v>
      </c>
      <c r="F437" s="4" t="str">
        <f>IFERROR(__xludf.DUMMYFUNCTION("""COMPUTED_VALUE""")," ---")</f>
        <v> ---</v>
      </c>
      <c r="G437" s="4" t="str">
        <f>IFERROR(__xludf.DUMMYFUNCTION("""COMPUTED_VALUE"""),"SUSE Linux Enterprise Server 15 SP4")</f>
        <v>SUSE Linux Enterprise Server 15 SP4</v>
      </c>
      <c r="H437" s="7" t="str">
        <f t="shared" si="3"/>
        <v>NO</v>
      </c>
      <c r="I437" s="7" t="str">
        <f t="shared" si="2"/>
        <v>NO</v>
      </c>
    </row>
    <row r="438">
      <c r="A438" s="4">
        <f>IFERROR(__xludf.DUMMYFUNCTION("""COMPUTED_VALUE"""),1200820.0)</f>
        <v>1200820</v>
      </c>
      <c r="B438" s="4" t="str">
        <f>IFERROR(__xludf.DUMMYFUNCTION("""COMPUTED_VALUE"""),"P5 - None")</f>
        <v>P5 - None</v>
      </c>
      <c r="C438" s="5">
        <f>IFERROR(__xludf.DUMMYFUNCTION("""COMPUTED_VALUE"""),44734.60519675926)</f>
        <v>44734.6052</v>
      </c>
      <c r="D438" s="4" t="str">
        <f>IFERROR(__xludf.DUMMYFUNCTION("""COMPUTED_VALUE"""),"RESOLVED")</f>
        <v>RESOLVED</v>
      </c>
      <c r="E438" s="6">
        <f>IFERROR(__xludf.DUMMYFUNCTION("""COMPUTED_VALUE"""),44736.47357638889)</f>
        <v>44736.47358</v>
      </c>
      <c r="F438" s="4" t="str">
        <f>IFERROR(__xludf.DUMMYFUNCTION("""COMPUTED_VALUE""")," ---")</f>
        <v> ---</v>
      </c>
      <c r="G438" s="4" t="str">
        <f>IFERROR(__xludf.DUMMYFUNCTION("""COMPUTED_VALUE"""),"SUSE Linux Enterprise Server 15 SP4")</f>
        <v>SUSE Linux Enterprise Server 15 SP4</v>
      </c>
      <c r="H438" s="7" t="str">
        <f t="shared" si="3"/>
        <v>NO</v>
      </c>
      <c r="I438" s="7" t="str">
        <f t="shared" si="2"/>
        <v>NO</v>
      </c>
    </row>
    <row r="439">
      <c r="A439" s="4">
        <f>IFERROR(__xludf.DUMMYFUNCTION("""COMPUTED_VALUE"""),1200821.0)</f>
        <v>1200821</v>
      </c>
      <c r="B439" s="4" t="str">
        <f>IFERROR(__xludf.DUMMYFUNCTION("""COMPUTED_VALUE"""),"P5 - None")</f>
        <v>P5 - None</v>
      </c>
      <c r="C439" s="5">
        <f>IFERROR(__xludf.DUMMYFUNCTION("""COMPUTED_VALUE"""),44734.605405092596)</f>
        <v>44734.60541</v>
      </c>
      <c r="D439" s="4" t="str">
        <f>IFERROR(__xludf.DUMMYFUNCTION("""COMPUTED_VALUE"""),"RESOLVED")</f>
        <v>RESOLVED</v>
      </c>
      <c r="E439" s="6">
        <f>IFERROR(__xludf.DUMMYFUNCTION("""COMPUTED_VALUE"""),44736.47361111111)</f>
        <v>44736.47361</v>
      </c>
      <c r="F439" s="4" t="str">
        <f>IFERROR(__xludf.DUMMYFUNCTION("""COMPUTED_VALUE""")," ---")</f>
        <v> ---</v>
      </c>
      <c r="G439" s="4" t="str">
        <f>IFERROR(__xludf.DUMMYFUNCTION("""COMPUTED_VALUE"""),"SUSE Linux Enterprise Server 15 SP4")</f>
        <v>SUSE Linux Enterprise Server 15 SP4</v>
      </c>
      <c r="H439" s="7" t="str">
        <f t="shared" si="3"/>
        <v>NO</v>
      </c>
      <c r="I439" s="7" t="str">
        <f t="shared" si="2"/>
        <v>NO</v>
      </c>
    </row>
    <row r="440">
      <c r="A440" s="4">
        <f>IFERROR(__xludf.DUMMYFUNCTION("""COMPUTED_VALUE"""),1200822.0)</f>
        <v>1200822</v>
      </c>
      <c r="B440" s="4" t="str">
        <f>IFERROR(__xludf.DUMMYFUNCTION("""COMPUTED_VALUE"""),"P5 - None")</f>
        <v>P5 - None</v>
      </c>
      <c r="C440" s="5">
        <f>IFERROR(__xludf.DUMMYFUNCTION("""COMPUTED_VALUE"""),44734.60600694444)</f>
        <v>44734.60601</v>
      </c>
      <c r="D440" s="4" t="str">
        <f>IFERROR(__xludf.DUMMYFUNCTION("""COMPUTED_VALUE"""),"RESOLVED")</f>
        <v>RESOLVED</v>
      </c>
      <c r="E440" s="6">
        <f>IFERROR(__xludf.DUMMYFUNCTION("""COMPUTED_VALUE"""),44736.473645833335)</f>
        <v>44736.47365</v>
      </c>
      <c r="F440" s="4" t="str">
        <f>IFERROR(__xludf.DUMMYFUNCTION("""COMPUTED_VALUE""")," ---")</f>
        <v> ---</v>
      </c>
      <c r="G440" s="4" t="str">
        <f>IFERROR(__xludf.DUMMYFUNCTION("""COMPUTED_VALUE"""),"SUSE Linux Enterprise Server 15 SP4")</f>
        <v>SUSE Linux Enterprise Server 15 SP4</v>
      </c>
      <c r="H440" s="7" t="str">
        <f t="shared" si="3"/>
        <v>NO</v>
      </c>
      <c r="I440" s="7" t="str">
        <f t="shared" si="2"/>
        <v>NO</v>
      </c>
    </row>
    <row r="441">
      <c r="A441" s="4">
        <f>IFERROR(__xludf.DUMMYFUNCTION("""COMPUTED_VALUE"""),1200823.0)</f>
        <v>1200823</v>
      </c>
      <c r="B441" s="4" t="str">
        <f>IFERROR(__xludf.DUMMYFUNCTION("""COMPUTED_VALUE"""),"P5 - None")</f>
        <v>P5 - None</v>
      </c>
      <c r="C441" s="5">
        <f>IFERROR(__xludf.DUMMYFUNCTION("""COMPUTED_VALUE"""),44734.60790509259)</f>
        <v>44734.60791</v>
      </c>
      <c r="D441" s="4" t="str">
        <f>IFERROR(__xludf.DUMMYFUNCTION("""COMPUTED_VALUE"""),"RESOLVED")</f>
        <v>RESOLVED</v>
      </c>
      <c r="E441" s="6">
        <f>IFERROR(__xludf.DUMMYFUNCTION("""COMPUTED_VALUE"""),44734.60792824074)</f>
        <v>44734.60793</v>
      </c>
      <c r="F441" s="4" t="str">
        <f>IFERROR(__xludf.DUMMYFUNCTION("""COMPUTED_VALUE""")," ---")</f>
        <v> ---</v>
      </c>
      <c r="G441" s="4" t="str">
        <f>IFERROR(__xludf.DUMMYFUNCTION("""COMPUTED_VALUE"""),"SUSE Linux Enterprise Server 15 SP4")</f>
        <v>SUSE Linux Enterprise Server 15 SP4</v>
      </c>
      <c r="H441" s="7" t="str">
        <f t="shared" si="3"/>
        <v>NO</v>
      </c>
      <c r="I441" s="7" t="str">
        <f t="shared" si="2"/>
        <v>NO</v>
      </c>
    </row>
    <row r="442">
      <c r="A442" s="4">
        <f>IFERROR(__xludf.DUMMYFUNCTION("""COMPUTED_VALUE"""),1200824.0)</f>
        <v>1200824</v>
      </c>
      <c r="B442" s="4" t="str">
        <f>IFERROR(__xludf.DUMMYFUNCTION("""COMPUTED_VALUE"""),"P5 - None")</f>
        <v>P5 - None</v>
      </c>
      <c r="C442" s="5">
        <f>IFERROR(__xludf.DUMMYFUNCTION("""COMPUTED_VALUE"""),44734.60888888889)</f>
        <v>44734.60889</v>
      </c>
      <c r="D442" s="4" t="str">
        <f>IFERROR(__xludf.DUMMYFUNCTION("""COMPUTED_VALUE"""),"RESOLVED")</f>
        <v>RESOLVED</v>
      </c>
      <c r="E442" s="6">
        <f>IFERROR(__xludf.DUMMYFUNCTION("""COMPUTED_VALUE"""),44736.47368055556)</f>
        <v>44736.47368</v>
      </c>
      <c r="F442" s="4" t="str">
        <f>IFERROR(__xludf.DUMMYFUNCTION("""COMPUTED_VALUE""")," ---")</f>
        <v> ---</v>
      </c>
      <c r="G442" s="4" t="str">
        <f>IFERROR(__xludf.DUMMYFUNCTION("""COMPUTED_VALUE"""),"SUSE Linux Enterprise Server 15 SP4")</f>
        <v>SUSE Linux Enterprise Server 15 SP4</v>
      </c>
      <c r="H442" s="7" t="str">
        <f t="shared" si="3"/>
        <v>NO</v>
      </c>
      <c r="I442" s="7" t="str">
        <f t="shared" si="2"/>
        <v>NO</v>
      </c>
    </row>
    <row r="443">
      <c r="A443" s="4">
        <f>IFERROR(__xludf.DUMMYFUNCTION("""COMPUTED_VALUE"""),1200825.0)</f>
        <v>1200825</v>
      </c>
      <c r="B443" s="4" t="str">
        <f>IFERROR(__xludf.DUMMYFUNCTION("""COMPUTED_VALUE"""),"P5 - None")</f>
        <v>P5 - None</v>
      </c>
      <c r="C443" s="5">
        <f>IFERROR(__xludf.DUMMYFUNCTION("""COMPUTED_VALUE"""),44734.609444444446)</f>
        <v>44734.60944</v>
      </c>
      <c r="D443" s="4" t="str">
        <f>IFERROR(__xludf.DUMMYFUNCTION("""COMPUTED_VALUE"""),"RESOLVED")</f>
        <v>RESOLVED</v>
      </c>
      <c r="E443" s="6">
        <f>IFERROR(__xludf.DUMMYFUNCTION("""COMPUTED_VALUE"""),44736.473715277774)</f>
        <v>44736.47372</v>
      </c>
      <c r="F443" s="4" t="str">
        <f>IFERROR(__xludf.DUMMYFUNCTION("""COMPUTED_VALUE""")," ---")</f>
        <v> ---</v>
      </c>
      <c r="G443" s="4" t="str">
        <f>IFERROR(__xludf.DUMMYFUNCTION("""COMPUTED_VALUE"""),"SUSE Linux Enterprise Server 15 SP4")</f>
        <v>SUSE Linux Enterprise Server 15 SP4</v>
      </c>
      <c r="H443" s="7" t="str">
        <f t="shared" si="3"/>
        <v>NO</v>
      </c>
      <c r="I443" s="7" t="str">
        <f t="shared" si="2"/>
        <v>NO</v>
      </c>
    </row>
    <row r="444">
      <c r="A444" s="4">
        <f>IFERROR(__xludf.DUMMYFUNCTION("""COMPUTED_VALUE"""),1200826.0)</f>
        <v>1200826</v>
      </c>
      <c r="B444" s="4" t="str">
        <f>IFERROR(__xludf.DUMMYFUNCTION("""COMPUTED_VALUE"""),"P5 - None")</f>
        <v>P5 - None</v>
      </c>
      <c r="C444" s="5">
        <f>IFERROR(__xludf.DUMMYFUNCTION("""COMPUTED_VALUE"""),44734.6099537037)</f>
        <v>44734.60995</v>
      </c>
      <c r="D444" s="4" t="str">
        <f>IFERROR(__xludf.DUMMYFUNCTION("""COMPUTED_VALUE"""),"RESOLVED")</f>
        <v>RESOLVED</v>
      </c>
      <c r="E444" s="6">
        <f>IFERROR(__xludf.DUMMYFUNCTION("""COMPUTED_VALUE"""),44734.609976851854)</f>
        <v>44734.60998</v>
      </c>
      <c r="F444" s="4" t="str">
        <f>IFERROR(__xludf.DUMMYFUNCTION("""COMPUTED_VALUE""")," ---")</f>
        <v> ---</v>
      </c>
      <c r="G444" s="4" t="str">
        <f>IFERROR(__xludf.DUMMYFUNCTION("""COMPUTED_VALUE"""),"SUSE Linux Enterprise Server 15 SP4")</f>
        <v>SUSE Linux Enterprise Server 15 SP4</v>
      </c>
      <c r="H444" s="7" t="str">
        <f t="shared" si="3"/>
        <v>NO</v>
      </c>
      <c r="I444" s="7" t="str">
        <f t="shared" si="2"/>
        <v>NO</v>
      </c>
    </row>
    <row r="445">
      <c r="A445" s="4">
        <f>IFERROR(__xludf.DUMMYFUNCTION("""COMPUTED_VALUE"""),1200827.0)</f>
        <v>1200827</v>
      </c>
      <c r="B445" s="4" t="str">
        <f>IFERROR(__xludf.DUMMYFUNCTION("""COMPUTED_VALUE"""),"P5 - None")</f>
        <v>P5 - None</v>
      </c>
      <c r="C445" s="5">
        <f>IFERROR(__xludf.DUMMYFUNCTION("""COMPUTED_VALUE"""),44734.611608796295)</f>
        <v>44734.61161</v>
      </c>
      <c r="D445" s="4" t="str">
        <f>IFERROR(__xludf.DUMMYFUNCTION("""COMPUTED_VALUE"""),"RESOLVED")</f>
        <v>RESOLVED</v>
      </c>
      <c r="E445" s="6">
        <f>IFERROR(__xludf.DUMMYFUNCTION("""COMPUTED_VALUE"""),44736.47375)</f>
        <v>44736.47375</v>
      </c>
      <c r="F445" s="4" t="str">
        <f>IFERROR(__xludf.DUMMYFUNCTION("""COMPUTED_VALUE""")," ---")</f>
        <v> ---</v>
      </c>
      <c r="G445" s="4" t="str">
        <f>IFERROR(__xludf.DUMMYFUNCTION("""COMPUTED_VALUE"""),"SUSE Linux Enterprise Server 15 SP4")</f>
        <v>SUSE Linux Enterprise Server 15 SP4</v>
      </c>
      <c r="H445" s="7" t="str">
        <f t="shared" si="3"/>
        <v>NO</v>
      </c>
      <c r="I445" s="7" t="str">
        <f t="shared" si="2"/>
        <v>NO</v>
      </c>
    </row>
    <row r="446">
      <c r="A446" s="4">
        <f>IFERROR(__xludf.DUMMYFUNCTION("""COMPUTED_VALUE"""),1200828.0)</f>
        <v>1200828</v>
      </c>
      <c r="B446" s="4" t="str">
        <f>IFERROR(__xludf.DUMMYFUNCTION("""COMPUTED_VALUE"""),"P5 - None")</f>
        <v>P5 - None</v>
      </c>
      <c r="C446" s="5">
        <f>IFERROR(__xludf.DUMMYFUNCTION("""COMPUTED_VALUE"""),44734.61185185185)</f>
        <v>44734.61185</v>
      </c>
      <c r="D446" s="4" t="str">
        <f>IFERROR(__xludf.DUMMYFUNCTION("""COMPUTED_VALUE"""),"RESOLVED")</f>
        <v>RESOLVED</v>
      </c>
      <c r="E446" s="6">
        <f>IFERROR(__xludf.DUMMYFUNCTION("""COMPUTED_VALUE"""),44736.47378472222)</f>
        <v>44736.47378</v>
      </c>
      <c r="F446" s="4" t="str">
        <f>IFERROR(__xludf.DUMMYFUNCTION("""COMPUTED_VALUE""")," ---")</f>
        <v> ---</v>
      </c>
      <c r="G446" s="4" t="str">
        <f>IFERROR(__xludf.DUMMYFUNCTION("""COMPUTED_VALUE"""),"SUSE Linux Enterprise Server 15 SP4")</f>
        <v>SUSE Linux Enterprise Server 15 SP4</v>
      </c>
      <c r="H446" s="7" t="str">
        <f t="shared" si="3"/>
        <v>NO</v>
      </c>
      <c r="I446" s="7" t="str">
        <f t="shared" si="2"/>
        <v>NO</v>
      </c>
    </row>
    <row r="447">
      <c r="A447" s="4">
        <f>IFERROR(__xludf.DUMMYFUNCTION("""COMPUTED_VALUE"""),1200829.0)</f>
        <v>1200829</v>
      </c>
      <c r="B447" s="4" t="str">
        <f>IFERROR(__xludf.DUMMYFUNCTION("""COMPUTED_VALUE"""),"P5 - None")</f>
        <v>P5 - None</v>
      </c>
      <c r="C447" s="5">
        <f>IFERROR(__xludf.DUMMYFUNCTION("""COMPUTED_VALUE"""),44734.61280092593)</f>
        <v>44734.6128</v>
      </c>
      <c r="D447" s="4" t="str">
        <f>IFERROR(__xludf.DUMMYFUNCTION("""COMPUTED_VALUE"""),"RESOLVED")</f>
        <v>RESOLVED</v>
      </c>
      <c r="E447" s="6">
        <f>IFERROR(__xludf.DUMMYFUNCTION("""COMPUTED_VALUE"""),44736.47381944444)</f>
        <v>44736.47382</v>
      </c>
      <c r="F447" s="4" t="str">
        <f>IFERROR(__xludf.DUMMYFUNCTION("""COMPUTED_VALUE""")," ---")</f>
        <v> ---</v>
      </c>
      <c r="G447" s="4" t="str">
        <f>IFERROR(__xludf.DUMMYFUNCTION("""COMPUTED_VALUE"""),"SUSE Linux Enterprise Server 15 SP4")</f>
        <v>SUSE Linux Enterprise Server 15 SP4</v>
      </c>
      <c r="H447" s="7" t="str">
        <f t="shared" si="3"/>
        <v>NO</v>
      </c>
      <c r="I447" s="7" t="str">
        <f t="shared" si="2"/>
        <v>NO</v>
      </c>
    </row>
    <row r="448">
      <c r="A448" s="4">
        <f>IFERROR(__xludf.DUMMYFUNCTION("""COMPUTED_VALUE"""),1200830.0)</f>
        <v>1200830</v>
      </c>
      <c r="B448" s="4" t="str">
        <f>IFERROR(__xludf.DUMMYFUNCTION("""COMPUTED_VALUE"""),"P5 - None")</f>
        <v>P5 - None</v>
      </c>
      <c r="C448" s="5">
        <f>IFERROR(__xludf.DUMMYFUNCTION("""COMPUTED_VALUE"""),44734.61329861111)</f>
        <v>44734.6133</v>
      </c>
      <c r="D448" s="4" t="str">
        <f>IFERROR(__xludf.DUMMYFUNCTION("""COMPUTED_VALUE"""),"RESOLVED")</f>
        <v>RESOLVED</v>
      </c>
      <c r="E448" s="6">
        <f>IFERROR(__xludf.DUMMYFUNCTION("""COMPUTED_VALUE"""),44736.47385416667)</f>
        <v>44736.47385</v>
      </c>
      <c r="F448" s="4" t="str">
        <f>IFERROR(__xludf.DUMMYFUNCTION("""COMPUTED_VALUE""")," ---")</f>
        <v> ---</v>
      </c>
      <c r="G448" s="4" t="str">
        <f>IFERROR(__xludf.DUMMYFUNCTION("""COMPUTED_VALUE"""),"SUSE Linux Enterprise Server 15 SP4")</f>
        <v>SUSE Linux Enterprise Server 15 SP4</v>
      </c>
      <c r="H448" s="7" t="str">
        <f t="shared" si="3"/>
        <v>NO</v>
      </c>
      <c r="I448" s="7" t="str">
        <f t="shared" si="2"/>
        <v>NO</v>
      </c>
    </row>
    <row r="449">
      <c r="A449" s="4">
        <f>IFERROR(__xludf.DUMMYFUNCTION("""COMPUTED_VALUE"""),1200832.0)</f>
        <v>1200832</v>
      </c>
      <c r="B449" s="4" t="str">
        <f>IFERROR(__xludf.DUMMYFUNCTION("""COMPUTED_VALUE"""),"P5 - None")</f>
        <v>P5 - None</v>
      </c>
      <c r="C449" s="5">
        <f>IFERROR(__xludf.DUMMYFUNCTION("""COMPUTED_VALUE"""),44734.61572916667)</f>
        <v>44734.61573</v>
      </c>
      <c r="D449" s="4" t="str">
        <f>IFERROR(__xludf.DUMMYFUNCTION("""COMPUTED_VALUE"""),"RESOLVED")</f>
        <v>RESOLVED</v>
      </c>
      <c r="E449" s="6">
        <f>IFERROR(__xludf.DUMMYFUNCTION("""COMPUTED_VALUE"""),44734.63689814815)</f>
        <v>44734.6369</v>
      </c>
      <c r="F449" s="4" t="str">
        <f>IFERROR(__xludf.DUMMYFUNCTION("""COMPUTED_VALUE""")," ---")</f>
        <v> ---</v>
      </c>
      <c r="G449" s="4" t="str">
        <f>IFERROR(__xludf.DUMMYFUNCTION("""COMPUTED_VALUE"""),"SUSE Linux Enterprise Server 15 SP4")</f>
        <v>SUSE Linux Enterprise Server 15 SP4</v>
      </c>
      <c r="H449" s="7" t="str">
        <f t="shared" si="3"/>
        <v>NO</v>
      </c>
      <c r="I449" s="7" t="str">
        <f t="shared" si="2"/>
        <v>NO</v>
      </c>
    </row>
    <row r="450">
      <c r="A450" s="4">
        <f>IFERROR(__xludf.DUMMYFUNCTION("""COMPUTED_VALUE"""),1200835.0)</f>
        <v>1200835</v>
      </c>
      <c r="B450" s="4" t="str">
        <f>IFERROR(__xludf.DUMMYFUNCTION("""COMPUTED_VALUE"""),"P5 - None")</f>
        <v>P5 - None</v>
      </c>
      <c r="C450" s="5">
        <f>IFERROR(__xludf.DUMMYFUNCTION("""COMPUTED_VALUE"""),44734.621145833335)</f>
        <v>44734.62115</v>
      </c>
      <c r="D450" s="4" t="str">
        <f>IFERROR(__xludf.DUMMYFUNCTION("""COMPUTED_VALUE"""),"RESOLVED")</f>
        <v>RESOLVED</v>
      </c>
      <c r="E450" s="6">
        <f>IFERROR(__xludf.DUMMYFUNCTION("""COMPUTED_VALUE"""),44734.62116898148)</f>
        <v>44734.62117</v>
      </c>
      <c r="F450" s="4" t="str">
        <f>IFERROR(__xludf.DUMMYFUNCTION("""COMPUTED_VALUE""")," ---")</f>
        <v> ---</v>
      </c>
      <c r="G450" s="4" t="str">
        <f>IFERROR(__xludf.DUMMYFUNCTION("""COMPUTED_VALUE"""),"SUSE Linux Enterprise Server 15 SP4")</f>
        <v>SUSE Linux Enterprise Server 15 SP4</v>
      </c>
      <c r="H450" s="7" t="str">
        <f t="shared" si="3"/>
        <v>NO</v>
      </c>
      <c r="I450" s="7" t="str">
        <f t="shared" si="2"/>
        <v>NO</v>
      </c>
    </row>
    <row r="451">
      <c r="A451" s="4">
        <f>IFERROR(__xludf.DUMMYFUNCTION("""COMPUTED_VALUE"""),1200836.0)</f>
        <v>1200836</v>
      </c>
      <c r="B451" s="4" t="str">
        <f>IFERROR(__xludf.DUMMYFUNCTION("""COMPUTED_VALUE"""),"P5 - None")</f>
        <v>P5 - None</v>
      </c>
      <c r="C451" s="5">
        <f>IFERROR(__xludf.DUMMYFUNCTION("""COMPUTED_VALUE"""),44734.62149305556)</f>
        <v>44734.62149</v>
      </c>
      <c r="D451" s="4" t="str">
        <f>IFERROR(__xludf.DUMMYFUNCTION("""COMPUTED_VALUE"""),"RESOLVED")</f>
        <v>RESOLVED</v>
      </c>
      <c r="E451" s="6">
        <f>IFERROR(__xludf.DUMMYFUNCTION("""COMPUTED_VALUE"""),44734.621516203704)</f>
        <v>44734.62152</v>
      </c>
      <c r="F451" s="4" t="str">
        <f>IFERROR(__xludf.DUMMYFUNCTION("""COMPUTED_VALUE""")," ---")</f>
        <v> ---</v>
      </c>
      <c r="G451" s="4" t="str">
        <f>IFERROR(__xludf.DUMMYFUNCTION("""COMPUTED_VALUE"""),"SUSE Linux Enterprise Server 15 SP4")</f>
        <v>SUSE Linux Enterprise Server 15 SP4</v>
      </c>
      <c r="H451" s="7" t="str">
        <f t="shared" si="3"/>
        <v>NO</v>
      </c>
      <c r="I451" s="7" t="str">
        <f t="shared" si="2"/>
        <v>NO</v>
      </c>
    </row>
    <row r="452">
      <c r="A452" s="4">
        <f>IFERROR(__xludf.DUMMYFUNCTION("""COMPUTED_VALUE"""),1200882.0)</f>
        <v>1200882</v>
      </c>
      <c r="B452" s="4" t="str">
        <f>IFERROR(__xludf.DUMMYFUNCTION("""COMPUTED_VALUE"""),"P5 - None")</f>
        <v>P5 - None</v>
      </c>
      <c r="C452" s="5">
        <f>IFERROR(__xludf.DUMMYFUNCTION("""COMPUTED_VALUE"""),44735.58390046296)</f>
        <v>44735.5839</v>
      </c>
      <c r="D452" s="4" t="str">
        <f>IFERROR(__xludf.DUMMYFUNCTION("""COMPUTED_VALUE"""),"RESOLVED")</f>
        <v>RESOLVED</v>
      </c>
      <c r="E452" s="6">
        <f>IFERROR(__xludf.DUMMYFUNCTION("""COMPUTED_VALUE"""),44736.47388888889)</f>
        <v>44736.47389</v>
      </c>
      <c r="F452" s="4" t="str">
        <f>IFERROR(__xludf.DUMMYFUNCTION("""COMPUTED_VALUE""")," ---")</f>
        <v> ---</v>
      </c>
      <c r="G452" s="4" t="str">
        <f>IFERROR(__xludf.DUMMYFUNCTION("""COMPUTED_VALUE"""),"SUSE Linux Enterprise Server 15 SP4")</f>
        <v>SUSE Linux Enterprise Server 15 SP4</v>
      </c>
      <c r="H452" s="7" t="str">
        <f t="shared" si="3"/>
        <v>NO</v>
      </c>
      <c r="I452" s="7" t="str">
        <f t="shared" si="2"/>
        <v>NO</v>
      </c>
    </row>
    <row r="453">
      <c r="A453" s="4">
        <f>IFERROR(__xludf.DUMMYFUNCTION("""COMPUTED_VALUE"""),1199748.0)</f>
        <v>1199748</v>
      </c>
      <c r="B453" s="4" t="str">
        <f>IFERROR(__xludf.DUMMYFUNCTION("""COMPUTED_VALUE"""),"P5 - None")</f>
        <v>P5 - None</v>
      </c>
      <c r="C453" s="5">
        <f>IFERROR(__xludf.DUMMYFUNCTION("""COMPUTED_VALUE"""),44701.320497685185)</f>
        <v>44701.3205</v>
      </c>
      <c r="D453" s="4" t="str">
        <f>IFERROR(__xludf.DUMMYFUNCTION("""COMPUTED_VALUE"""),"RESOLVED")</f>
        <v>RESOLVED</v>
      </c>
      <c r="E453" s="6">
        <f>IFERROR(__xludf.DUMMYFUNCTION("""COMPUTED_VALUE"""),44733.351747685185)</f>
        <v>44733.35175</v>
      </c>
      <c r="F453" s="4" t="str">
        <f>IFERROR(__xludf.DUMMYFUNCTION("""COMPUTED_VALUE""")," ---")</f>
        <v> ---</v>
      </c>
      <c r="G453" s="4" t="str">
        <f>IFERROR(__xludf.DUMMYFUNCTION("""COMPUTED_VALUE"""),"PUBLIC SUSE Linux Enterprise Desktop 15 SP4")</f>
        <v>PUBLIC SUSE Linux Enterprise Desktop 15 SP4</v>
      </c>
      <c r="H453" s="7" t="str">
        <f t="shared" si="3"/>
        <v>NO</v>
      </c>
      <c r="I453" s="7" t="str">
        <f t="shared" si="2"/>
        <v>NO</v>
      </c>
    </row>
    <row r="454">
      <c r="A454" s="4">
        <f>IFERROR(__xludf.DUMMYFUNCTION("""COMPUTED_VALUE"""),1190661.0)</f>
        <v>1190661</v>
      </c>
      <c r="B454" s="4" t="str">
        <f>IFERROR(__xludf.DUMMYFUNCTION("""COMPUTED_VALUE"""),"P5 - None")</f>
        <v>P5 - None</v>
      </c>
      <c r="C454" s="5">
        <f>IFERROR(__xludf.DUMMYFUNCTION("""COMPUTED_VALUE"""),44459.363912037035)</f>
        <v>44459.36391</v>
      </c>
      <c r="D454" s="4" t="str">
        <f>IFERROR(__xludf.DUMMYFUNCTION("""COMPUTED_VALUE"""),"RESOLVED")</f>
        <v>RESOLVED</v>
      </c>
      <c r="E454" s="6">
        <f>IFERROR(__xludf.DUMMYFUNCTION("""COMPUTED_VALUE"""),44668.492372685185)</f>
        <v>44668.49237</v>
      </c>
      <c r="F454" s="4" t="str">
        <f>IFERROR(__xludf.DUMMYFUNCTION("""COMPUTED_VALUE""")," ---")</f>
        <v> ---</v>
      </c>
      <c r="G454" s="4" t="str">
        <f>IFERROR(__xludf.DUMMYFUNCTION("""COMPUTED_VALUE"""),"SUSE Linux Enterprise Server 15 SP4")</f>
        <v>SUSE Linux Enterprise Server 15 SP4</v>
      </c>
      <c r="H454" s="7" t="str">
        <f t="shared" si="3"/>
        <v>NO</v>
      </c>
      <c r="I454" s="7" t="str">
        <f t="shared" si="2"/>
        <v>NO</v>
      </c>
    </row>
    <row r="455">
      <c r="A455" s="4">
        <f>IFERROR(__xludf.DUMMYFUNCTION("""COMPUTED_VALUE"""),1192456.0)</f>
        <v>1192456</v>
      </c>
      <c r="B455" s="4" t="str">
        <f>IFERROR(__xludf.DUMMYFUNCTION("""COMPUTED_VALUE"""),"P5 - None")</f>
        <v>P5 - None</v>
      </c>
      <c r="C455" s="5">
        <f>IFERROR(__xludf.DUMMYFUNCTION("""COMPUTED_VALUE"""),44508.536574074074)</f>
        <v>44508.53657</v>
      </c>
      <c r="D455" s="4" t="str">
        <f>IFERROR(__xludf.DUMMYFUNCTION("""COMPUTED_VALUE"""),"RESOLVED")</f>
        <v>RESOLVED</v>
      </c>
      <c r="E455" s="6">
        <f>IFERROR(__xludf.DUMMYFUNCTION("""COMPUTED_VALUE"""),44668.49356481482)</f>
        <v>44668.49356</v>
      </c>
      <c r="F455" s="4" t="str">
        <f>IFERROR(__xludf.DUMMYFUNCTION("""COMPUTED_VALUE""")," ---")</f>
        <v> ---</v>
      </c>
      <c r="G455" s="4" t="str">
        <f>IFERROR(__xludf.DUMMYFUNCTION("""COMPUTED_VALUE"""),"SUSE Linux Enterprise Server 15 SP4")</f>
        <v>SUSE Linux Enterprise Server 15 SP4</v>
      </c>
      <c r="H455" s="7" t="str">
        <f t="shared" si="3"/>
        <v>NO</v>
      </c>
      <c r="I455" s="7" t="str">
        <f t="shared" si="2"/>
        <v>NO</v>
      </c>
    </row>
    <row r="456">
      <c r="A456" s="4">
        <f>IFERROR(__xludf.DUMMYFUNCTION("""COMPUTED_VALUE"""),1192590.0)</f>
        <v>1192590</v>
      </c>
      <c r="B456" s="4" t="str">
        <f>IFERROR(__xludf.DUMMYFUNCTION("""COMPUTED_VALUE"""),"P5 - None")</f>
        <v>P5 - None</v>
      </c>
      <c r="C456" s="5">
        <f>IFERROR(__xludf.DUMMYFUNCTION("""COMPUTED_VALUE"""),44511.593090277776)</f>
        <v>44511.59309</v>
      </c>
      <c r="D456" s="4" t="str">
        <f>IFERROR(__xludf.DUMMYFUNCTION("""COMPUTED_VALUE"""),"RESOLVED")</f>
        <v>RESOLVED</v>
      </c>
      <c r="E456" s="6">
        <f>IFERROR(__xludf.DUMMYFUNCTION("""COMPUTED_VALUE"""),44668.49364583333)</f>
        <v>44668.49365</v>
      </c>
      <c r="F456" s="4" t="str">
        <f>IFERROR(__xludf.DUMMYFUNCTION("""COMPUTED_VALUE""")," ---")</f>
        <v> ---</v>
      </c>
      <c r="G456" s="4" t="str">
        <f>IFERROR(__xludf.DUMMYFUNCTION("""COMPUTED_VALUE"""),"SUSE Linux Enterprise Server 15 SP4")</f>
        <v>SUSE Linux Enterprise Server 15 SP4</v>
      </c>
      <c r="H456" s="7" t="str">
        <f t="shared" si="3"/>
        <v>NO</v>
      </c>
      <c r="I456" s="7" t="str">
        <f t="shared" si="2"/>
        <v>NO</v>
      </c>
    </row>
    <row r="457">
      <c r="A457" s="4">
        <f>IFERROR(__xludf.DUMMYFUNCTION("""COMPUTED_VALUE"""),1192611.0)</f>
        <v>1192611</v>
      </c>
      <c r="B457" s="4" t="str">
        <f>IFERROR(__xludf.DUMMYFUNCTION("""COMPUTED_VALUE"""),"P5 - None")</f>
        <v>P5 - None</v>
      </c>
      <c r="C457" s="5">
        <f>IFERROR(__xludf.DUMMYFUNCTION("""COMPUTED_VALUE"""),44512.31055555555)</f>
        <v>44512.31056</v>
      </c>
      <c r="D457" s="4" t="str">
        <f>IFERROR(__xludf.DUMMYFUNCTION("""COMPUTED_VALUE"""),"RESOLVED")</f>
        <v>RESOLVED</v>
      </c>
      <c r="E457" s="6">
        <f>IFERROR(__xludf.DUMMYFUNCTION("""COMPUTED_VALUE"""),44668.493680555555)</f>
        <v>44668.49368</v>
      </c>
      <c r="F457" s="4" t="str">
        <f>IFERROR(__xludf.DUMMYFUNCTION("""COMPUTED_VALUE""")," ---")</f>
        <v> ---</v>
      </c>
      <c r="G457" s="4" t="str">
        <f>IFERROR(__xludf.DUMMYFUNCTION("""COMPUTED_VALUE"""),"PUBLIC SUSE Linux Enterprise Server 15 SP4")</f>
        <v>PUBLIC SUSE Linux Enterprise Server 15 SP4</v>
      </c>
      <c r="H457" s="7" t="str">
        <f t="shared" si="3"/>
        <v>NO</v>
      </c>
      <c r="I457" s="7" t="str">
        <f t="shared" si="2"/>
        <v>NO</v>
      </c>
    </row>
    <row r="458">
      <c r="A458" s="4">
        <f>IFERROR(__xludf.DUMMYFUNCTION("""COMPUTED_VALUE"""),1192825.0)</f>
        <v>1192825</v>
      </c>
      <c r="B458" s="4" t="str">
        <f>IFERROR(__xludf.DUMMYFUNCTION("""COMPUTED_VALUE"""),"P5 - None")</f>
        <v>P5 - None</v>
      </c>
      <c r="C458" s="5">
        <f>IFERROR(__xludf.DUMMYFUNCTION("""COMPUTED_VALUE"""),44518.44364583334)</f>
        <v>44518.44365</v>
      </c>
      <c r="D458" s="4" t="str">
        <f>IFERROR(__xludf.DUMMYFUNCTION("""COMPUTED_VALUE"""),"RESOLVED")</f>
        <v>RESOLVED</v>
      </c>
      <c r="E458" s="6">
        <f>IFERROR(__xludf.DUMMYFUNCTION("""COMPUTED_VALUE"""),44668.493935185186)</f>
        <v>44668.49394</v>
      </c>
      <c r="F458" s="4" t="str">
        <f>IFERROR(__xludf.DUMMYFUNCTION("""COMPUTED_VALUE""")," ---")</f>
        <v> ---</v>
      </c>
      <c r="G458" s="4" t="str">
        <f>IFERROR(__xludf.DUMMYFUNCTION("""COMPUTED_VALUE"""),"SUSE Linux Enterprise Server 15 SP4")</f>
        <v>SUSE Linux Enterprise Server 15 SP4</v>
      </c>
      <c r="H458" s="7" t="str">
        <f t="shared" si="3"/>
        <v>NO</v>
      </c>
      <c r="I458" s="7" t="str">
        <f t="shared" si="2"/>
        <v>NO</v>
      </c>
    </row>
    <row r="459">
      <c r="A459" s="4">
        <f>IFERROR(__xludf.DUMMYFUNCTION("""COMPUTED_VALUE"""),1193300.0)</f>
        <v>1193300</v>
      </c>
      <c r="B459" s="4" t="str">
        <f>IFERROR(__xludf.DUMMYFUNCTION("""COMPUTED_VALUE"""),"P5 - None")</f>
        <v>P5 - None</v>
      </c>
      <c r="C459" s="5">
        <f>IFERROR(__xludf.DUMMYFUNCTION("""COMPUTED_VALUE"""),44531.790925925925)</f>
        <v>44531.79093</v>
      </c>
      <c r="D459" s="4" t="str">
        <f>IFERROR(__xludf.DUMMYFUNCTION("""COMPUTED_VALUE"""),"RESOLVED")</f>
        <v>RESOLVED</v>
      </c>
      <c r="E459" s="6">
        <f>IFERROR(__xludf.DUMMYFUNCTION("""COMPUTED_VALUE"""),44532.27006944444)</f>
        <v>44532.27007</v>
      </c>
      <c r="F459" s="4" t="str">
        <f>IFERROR(__xludf.DUMMYFUNCTION("""COMPUTED_VALUE""")," ---")</f>
        <v> ---</v>
      </c>
      <c r="G459" s="4" t="str">
        <f>IFERROR(__xludf.DUMMYFUNCTION("""COMPUTED_VALUE"""),"SUSE Linux Enterprise Server 15 SP4")</f>
        <v>SUSE Linux Enterprise Server 15 SP4</v>
      </c>
      <c r="H459" s="7" t="str">
        <f t="shared" si="3"/>
        <v>NO</v>
      </c>
      <c r="I459" s="7" t="str">
        <f t="shared" si="2"/>
        <v>NO</v>
      </c>
    </row>
    <row r="460">
      <c r="A460" s="4">
        <f>IFERROR(__xludf.DUMMYFUNCTION("""COMPUTED_VALUE"""),1193573.0)</f>
        <v>1193573</v>
      </c>
      <c r="B460" s="4" t="str">
        <f>IFERROR(__xludf.DUMMYFUNCTION("""COMPUTED_VALUE"""),"P5 - None")</f>
        <v>P5 - None</v>
      </c>
      <c r="C460" s="5">
        <f>IFERROR(__xludf.DUMMYFUNCTION("""COMPUTED_VALUE"""),44539.55465277778)</f>
        <v>44539.55465</v>
      </c>
      <c r="D460" s="4" t="str">
        <f>IFERROR(__xludf.DUMMYFUNCTION("""COMPUTED_VALUE"""),"RESOLVED")</f>
        <v>RESOLVED</v>
      </c>
      <c r="E460" s="6">
        <f>IFERROR(__xludf.DUMMYFUNCTION("""COMPUTED_VALUE"""),44540.398252314815)</f>
        <v>44540.39825</v>
      </c>
      <c r="F460" s="4" t="str">
        <f>IFERROR(__xludf.DUMMYFUNCTION("""COMPUTED_VALUE"""),"Yes")</f>
        <v>Yes</v>
      </c>
      <c r="G460" s="4" t="str">
        <f>IFERROR(__xludf.DUMMYFUNCTION("""COMPUTED_VALUE"""),"SUSE Linux Enterprise Server 15 SP4")</f>
        <v>SUSE Linux Enterprise Server 15 SP4</v>
      </c>
      <c r="H460" s="7" t="str">
        <f t="shared" si="3"/>
        <v>NO</v>
      </c>
      <c r="I460" s="7" t="str">
        <f t="shared" si="2"/>
        <v>NO</v>
      </c>
    </row>
    <row r="461">
      <c r="A461" s="4">
        <f>IFERROR(__xludf.DUMMYFUNCTION("""COMPUTED_VALUE"""),1194280.0)</f>
        <v>1194280</v>
      </c>
      <c r="B461" s="4" t="str">
        <f>IFERROR(__xludf.DUMMYFUNCTION("""COMPUTED_VALUE"""),"P5 - None")</f>
        <v>P5 - None</v>
      </c>
      <c r="C461" s="5">
        <f>IFERROR(__xludf.DUMMYFUNCTION("""COMPUTED_VALUE"""),44565.333402777775)</f>
        <v>44565.3334</v>
      </c>
      <c r="D461" s="4" t="str">
        <f>IFERROR(__xludf.DUMMYFUNCTION("""COMPUTED_VALUE"""),"RESOLVED")</f>
        <v>RESOLVED</v>
      </c>
      <c r="E461" s="6">
        <f>IFERROR(__xludf.DUMMYFUNCTION("""COMPUTED_VALUE"""),44566.290983796294)</f>
        <v>44566.29098</v>
      </c>
      <c r="F461" s="4" t="str">
        <f>IFERROR(__xludf.DUMMYFUNCTION("""COMPUTED_VALUE""")," ---")</f>
        <v> ---</v>
      </c>
      <c r="G461" s="4" t="str">
        <f>IFERROR(__xludf.DUMMYFUNCTION("""COMPUTED_VALUE"""),"SUSE Linux Enterprise Server 15 SP4")</f>
        <v>SUSE Linux Enterprise Server 15 SP4</v>
      </c>
      <c r="H461" s="7" t="str">
        <f t="shared" si="3"/>
        <v>YES</v>
      </c>
      <c r="I461" s="7" t="str">
        <f t="shared" si="2"/>
        <v>NO</v>
      </c>
    </row>
    <row r="462">
      <c r="A462" s="4">
        <f>IFERROR(__xludf.DUMMYFUNCTION("""COMPUTED_VALUE"""),1194736.0)</f>
        <v>1194736</v>
      </c>
      <c r="B462" s="4" t="str">
        <f>IFERROR(__xludf.DUMMYFUNCTION("""COMPUTED_VALUE"""),"P5 - None")</f>
        <v>P5 - None</v>
      </c>
      <c r="C462" s="5">
        <f>IFERROR(__xludf.DUMMYFUNCTION("""COMPUTED_VALUE"""),44578.380740740744)</f>
        <v>44578.38074</v>
      </c>
      <c r="D462" s="4" t="str">
        <f>IFERROR(__xludf.DUMMYFUNCTION("""COMPUTED_VALUE"""),"RESOLVED")</f>
        <v>RESOLVED</v>
      </c>
      <c r="E462" s="6">
        <f>IFERROR(__xludf.DUMMYFUNCTION("""COMPUTED_VALUE"""),44580.135)</f>
        <v>44580.135</v>
      </c>
      <c r="F462" s="4" t="str">
        <f>IFERROR(__xludf.DUMMYFUNCTION("""COMPUTED_VALUE""")," ---")</f>
        <v> ---</v>
      </c>
      <c r="G462" s="4" t="str">
        <f>IFERROR(__xludf.DUMMYFUNCTION("""COMPUTED_VALUE"""),"PUBLIC SUSE Linux Enterprise Server 15 SP4")</f>
        <v>PUBLIC SUSE Linux Enterprise Server 15 SP4</v>
      </c>
      <c r="H462" s="7" t="str">
        <f t="shared" si="3"/>
        <v>NO</v>
      </c>
      <c r="I462" s="7" t="str">
        <f t="shared" si="2"/>
        <v>NO</v>
      </c>
    </row>
    <row r="463">
      <c r="A463" s="4">
        <f>IFERROR(__xludf.DUMMYFUNCTION("""COMPUTED_VALUE"""),1195185.0)</f>
        <v>1195185</v>
      </c>
      <c r="B463" s="4" t="str">
        <f>IFERROR(__xludf.DUMMYFUNCTION("""COMPUTED_VALUE"""),"P5 - None")</f>
        <v>P5 - None</v>
      </c>
      <c r="C463" s="5">
        <f>IFERROR(__xludf.DUMMYFUNCTION("""COMPUTED_VALUE"""),44588.37267361111)</f>
        <v>44588.37267</v>
      </c>
      <c r="D463" s="4" t="str">
        <f>IFERROR(__xludf.DUMMYFUNCTION("""COMPUTED_VALUE"""),"RESOLVED")</f>
        <v>RESOLVED</v>
      </c>
      <c r="E463" s="6">
        <f>IFERROR(__xludf.DUMMYFUNCTION("""COMPUTED_VALUE"""),44588.49508101852)</f>
        <v>44588.49508</v>
      </c>
      <c r="F463" s="4" t="str">
        <f>IFERROR(__xludf.DUMMYFUNCTION("""COMPUTED_VALUE""")," ---")</f>
        <v> ---</v>
      </c>
      <c r="G463" s="4" t="str">
        <f>IFERROR(__xludf.DUMMYFUNCTION("""COMPUTED_VALUE"""),"SUSE Linux Enterprise Server 15 SP4")</f>
        <v>SUSE Linux Enterprise Server 15 SP4</v>
      </c>
      <c r="H463" s="7" t="str">
        <f t="shared" si="3"/>
        <v>NO</v>
      </c>
      <c r="I463" s="7" t="str">
        <f t="shared" si="2"/>
        <v>NO</v>
      </c>
    </row>
    <row r="464">
      <c r="A464" s="4">
        <f>IFERROR(__xludf.DUMMYFUNCTION("""COMPUTED_VALUE"""),1195186.0)</f>
        <v>1195186</v>
      </c>
      <c r="B464" s="4" t="str">
        <f>IFERROR(__xludf.DUMMYFUNCTION("""COMPUTED_VALUE"""),"P5 - None")</f>
        <v>P5 - None</v>
      </c>
      <c r="C464" s="5">
        <f>IFERROR(__xludf.DUMMYFUNCTION("""COMPUTED_VALUE"""),44588.376493055555)</f>
        <v>44588.37649</v>
      </c>
      <c r="D464" s="4" t="str">
        <f>IFERROR(__xludf.DUMMYFUNCTION("""COMPUTED_VALUE"""),"RESOLVED")</f>
        <v>RESOLVED</v>
      </c>
      <c r="E464" s="6">
        <f>IFERROR(__xludf.DUMMYFUNCTION("""COMPUTED_VALUE"""),44591.3134375)</f>
        <v>44591.31344</v>
      </c>
      <c r="F464" s="4" t="str">
        <f>IFERROR(__xludf.DUMMYFUNCTION("""COMPUTED_VALUE""")," ---")</f>
        <v> ---</v>
      </c>
      <c r="G464" s="4" t="str">
        <f>IFERROR(__xludf.DUMMYFUNCTION("""COMPUTED_VALUE"""),"SUSE Linux Enterprise Server 15 SP4")</f>
        <v>SUSE Linux Enterprise Server 15 SP4</v>
      </c>
      <c r="H464" s="7" t="str">
        <f t="shared" si="3"/>
        <v>NO</v>
      </c>
      <c r="I464" s="7" t="str">
        <f t="shared" si="2"/>
        <v>NO</v>
      </c>
    </row>
    <row r="465">
      <c r="A465" s="4">
        <f>IFERROR(__xludf.DUMMYFUNCTION("""COMPUTED_VALUE"""),1195244.0)</f>
        <v>1195244</v>
      </c>
      <c r="B465" s="4" t="str">
        <f>IFERROR(__xludf.DUMMYFUNCTION("""COMPUTED_VALUE"""),"P5 - None")</f>
        <v>P5 - None</v>
      </c>
      <c r="C465" s="5">
        <f>IFERROR(__xludf.DUMMYFUNCTION("""COMPUTED_VALUE"""),44588.931967592594)</f>
        <v>44588.93197</v>
      </c>
      <c r="D465" s="4" t="str">
        <f>IFERROR(__xludf.DUMMYFUNCTION("""COMPUTED_VALUE"""),"RESOLVED")</f>
        <v>RESOLVED</v>
      </c>
      <c r="E465" s="6">
        <f>IFERROR(__xludf.DUMMYFUNCTION("""COMPUTED_VALUE"""),44589.34815972222)</f>
        <v>44589.34816</v>
      </c>
      <c r="F465" s="4" t="str">
        <f>IFERROR(__xludf.DUMMYFUNCTION("""COMPUTED_VALUE""")," ---")</f>
        <v> ---</v>
      </c>
      <c r="G465" s="4" t="str">
        <f>IFERROR(__xludf.DUMMYFUNCTION("""COMPUTED_VALUE"""),"PUBLIC SUSE Linux Enterprise Server 15 SP4")</f>
        <v>PUBLIC SUSE Linux Enterprise Server 15 SP4</v>
      </c>
      <c r="H465" s="7" t="str">
        <f t="shared" si="3"/>
        <v>NO</v>
      </c>
      <c r="I465" s="7" t="str">
        <f t="shared" si="2"/>
        <v>NO</v>
      </c>
    </row>
    <row r="466">
      <c r="A466" s="4">
        <f>IFERROR(__xludf.DUMMYFUNCTION("""COMPUTED_VALUE"""),1195245.0)</f>
        <v>1195245</v>
      </c>
      <c r="B466" s="4" t="str">
        <f>IFERROR(__xludf.DUMMYFUNCTION("""COMPUTED_VALUE"""),"P5 - None")</f>
        <v>P5 - None</v>
      </c>
      <c r="C466" s="5">
        <f>IFERROR(__xludf.DUMMYFUNCTION("""COMPUTED_VALUE"""),44588.93748842592)</f>
        <v>44588.93749</v>
      </c>
      <c r="D466" s="4" t="str">
        <f>IFERROR(__xludf.DUMMYFUNCTION("""COMPUTED_VALUE"""),"RESOLVED")</f>
        <v>RESOLVED</v>
      </c>
      <c r="E466" s="6">
        <f>IFERROR(__xludf.DUMMYFUNCTION("""COMPUTED_VALUE"""),44589.34642361111)</f>
        <v>44589.34642</v>
      </c>
      <c r="F466" s="4" t="str">
        <f>IFERROR(__xludf.DUMMYFUNCTION("""COMPUTED_VALUE""")," ---")</f>
        <v> ---</v>
      </c>
      <c r="G466" s="4" t="str">
        <f>IFERROR(__xludf.DUMMYFUNCTION("""COMPUTED_VALUE"""),"PUBLIC SUSE Linux Enterprise Server 15 SP4")</f>
        <v>PUBLIC SUSE Linux Enterprise Server 15 SP4</v>
      </c>
      <c r="H466" s="7" t="str">
        <f t="shared" si="3"/>
        <v>NO</v>
      </c>
      <c r="I466" s="7" t="str">
        <f t="shared" si="2"/>
        <v>NO</v>
      </c>
    </row>
    <row r="467">
      <c r="A467" s="4">
        <f>IFERROR(__xludf.DUMMYFUNCTION("""COMPUTED_VALUE"""),1195859.0)</f>
        <v>1195859</v>
      </c>
      <c r="B467" s="4" t="str">
        <f>IFERROR(__xludf.DUMMYFUNCTION("""COMPUTED_VALUE"""),"P5 - None")</f>
        <v>P5 - None</v>
      </c>
      <c r="C467" s="5">
        <f>IFERROR(__xludf.DUMMYFUNCTION("""COMPUTED_VALUE"""),44603.95438657407)</f>
        <v>44603.95439</v>
      </c>
      <c r="D467" s="4" t="str">
        <f>IFERROR(__xludf.DUMMYFUNCTION("""COMPUTED_VALUE"""),"RESOLVED")</f>
        <v>RESOLVED</v>
      </c>
      <c r="E467" s="6">
        <f>IFERROR(__xludf.DUMMYFUNCTION("""COMPUTED_VALUE"""),44683.66158564815)</f>
        <v>44683.66159</v>
      </c>
      <c r="F467" s="4" t="str">
        <f>IFERROR(__xludf.DUMMYFUNCTION("""COMPUTED_VALUE""")," ---")</f>
        <v> ---</v>
      </c>
      <c r="G467" s="4" t="str">
        <f>IFERROR(__xludf.DUMMYFUNCTION("""COMPUTED_VALUE"""),"SUSE Linux Enterprise Server 15 SP4")</f>
        <v>SUSE Linux Enterprise Server 15 SP4</v>
      </c>
      <c r="H467" s="7" t="str">
        <f t="shared" si="3"/>
        <v>NO</v>
      </c>
      <c r="I467" s="7" t="str">
        <f t="shared" si="2"/>
        <v>NO</v>
      </c>
    </row>
    <row r="468">
      <c r="A468" s="4">
        <f>IFERROR(__xludf.DUMMYFUNCTION("""COMPUTED_VALUE"""),1196191.0)</f>
        <v>1196191</v>
      </c>
      <c r="B468" s="4" t="str">
        <f>IFERROR(__xludf.DUMMYFUNCTION("""COMPUTED_VALUE"""),"P5 - None")</f>
        <v>P5 - None</v>
      </c>
      <c r="C468" s="5">
        <f>IFERROR(__xludf.DUMMYFUNCTION("""COMPUTED_VALUE"""),44610.748506944445)</f>
        <v>44610.74851</v>
      </c>
      <c r="D468" s="4" t="str">
        <f>IFERROR(__xludf.DUMMYFUNCTION("""COMPUTED_VALUE"""),"RESOLVED")</f>
        <v>RESOLVED</v>
      </c>
      <c r="E468" s="6">
        <f>IFERROR(__xludf.DUMMYFUNCTION("""COMPUTED_VALUE"""),44627.634305555555)</f>
        <v>44627.63431</v>
      </c>
      <c r="F468" s="4" t="str">
        <f>IFERROR(__xludf.DUMMYFUNCTION("""COMPUTED_VALUE""")," ---")</f>
        <v> ---</v>
      </c>
      <c r="G468" s="4" t="str">
        <f>IFERROR(__xludf.DUMMYFUNCTION("""COMPUTED_VALUE"""),"PUBLIC SUSE Linux Enterprise Server 15 SP4")</f>
        <v>PUBLIC SUSE Linux Enterprise Server 15 SP4</v>
      </c>
      <c r="H468" s="7" t="str">
        <f t="shared" si="3"/>
        <v>NO</v>
      </c>
      <c r="I468" s="7" t="str">
        <f t="shared" si="2"/>
        <v>NO</v>
      </c>
    </row>
    <row r="469">
      <c r="A469" s="4">
        <f>IFERROR(__xludf.DUMMYFUNCTION("""COMPUTED_VALUE"""),1196917.0)</f>
        <v>1196917</v>
      </c>
      <c r="B469" s="4" t="str">
        <f>IFERROR(__xludf.DUMMYFUNCTION("""COMPUTED_VALUE"""),"P5 - None")</f>
        <v>P5 - None</v>
      </c>
      <c r="C469" s="5">
        <f>IFERROR(__xludf.DUMMYFUNCTION("""COMPUTED_VALUE"""),44629.45259259259)</f>
        <v>44629.45259</v>
      </c>
      <c r="D469" s="4" t="str">
        <f>IFERROR(__xludf.DUMMYFUNCTION("""COMPUTED_VALUE"""),"RESOLVED")</f>
        <v>RESOLVED</v>
      </c>
      <c r="E469" s="6">
        <f>IFERROR(__xludf.DUMMYFUNCTION("""COMPUTED_VALUE"""),44635.49462962963)</f>
        <v>44635.49463</v>
      </c>
      <c r="F469" s="4" t="str">
        <f>IFERROR(__xludf.DUMMYFUNCTION("""COMPUTED_VALUE""")," ---")</f>
        <v> ---</v>
      </c>
      <c r="G469" s="4" t="str">
        <f>IFERROR(__xludf.DUMMYFUNCTION("""COMPUTED_VALUE"""),"SUSE Linux Enterprise Server 15 SP4")</f>
        <v>SUSE Linux Enterprise Server 15 SP4</v>
      </c>
      <c r="H469" s="7" t="str">
        <f t="shared" si="3"/>
        <v>NO</v>
      </c>
      <c r="I469" s="7" t="str">
        <f t="shared" si="2"/>
        <v>NO</v>
      </c>
    </row>
    <row r="470">
      <c r="A470" s="4">
        <f>IFERROR(__xludf.DUMMYFUNCTION("""COMPUTED_VALUE"""),1197236.0)</f>
        <v>1197236</v>
      </c>
      <c r="B470" s="4" t="str">
        <f>IFERROR(__xludf.DUMMYFUNCTION("""COMPUTED_VALUE"""),"P5 - None")</f>
        <v>P5 - None</v>
      </c>
      <c r="C470" s="5">
        <f>IFERROR(__xludf.DUMMYFUNCTION("""COMPUTED_VALUE"""),44637.616423611114)</f>
        <v>44637.61642</v>
      </c>
      <c r="D470" s="4" t="str">
        <f>IFERROR(__xludf.DUMMYFUNCTION("""COMPUTED_VALUE"""),"RESOLVED")</f>
        <v>RESOLVED</v>
      </c>
      <c r="E470" s="6">
        <f>IFERROR(__xludf.DUMMYFUNCTION("""COMPUTED_VALUE"""),44637.67225694445)</f>
        <v>44637.67226</v>
      </c>
      <c r="F470" s="4" t="str">
        <f>IFERROR(__xludf.DUMMYFUNCTION("""COMPUTED_VALUE""")," ---")</f>
        <v> ---</v>
      </c>
      <c r="G470" s="4" t="str">
        <f>IFERROR(__xludf.DUMMYFUNCTION("""COMPUTED_VALUE"""),"SUSE Linux Enterprise Server 15 SP4")</f>
        <v>SUSE Linux Enterprise Server 15 SP4</v>
      </c>
      <c r="H470" s="7" t="str">
        <f t="shared" si="3"/>
        <v>NO</v>
      </c>
      <c r="I470" s="7" t="str">
        <f t="shared" si="2"/>
        <v>NO</v>
      </c>
    </row>
    <row r="471">
      <c r="A471" s="4">
        <f>IFERROR(__xludf.DUMMYFUNCTION("""COMPUTED_VALUE"""),1198145.0)</f>
        <v>1198145</v>
      </c>
      <c r="B471" s="4" t="str">
        <f>IFERROR(__xludf.DUMMYFUNCTION("""COMPUTED_VALUE"""),"P5 - None")</f>
        <v>P5 - None</v>
      </c>
      <c r="C471" s="5">
        <f>IFERROR(__xludf.DUMMYFUNCTION("""COMPUTED_VALUE"""),44657.48096064815)</f>
        <v>44657.48096</v>
      </c>
      <c r="D471" s="4" t="str">
        <f>IFERROR(__xludf.DUMMYFUNCTION("""COMPUTED_VALUE"""),"RESOLVED")</f>
        <v>RESOLVED</v>
      </c>
      <c r="E471" s="6">
        <f>IFERROR(__xludf.DUMMYFUNCTION("""COMPUTED_VALUE"""),44657.59717592593)</f>
        <v>44657.59718</v>
      </c>
      <c r="F471" s="4" t="str">
        <f>IFERROR(__xludf.DUMMYFUNCTION("""COMPUTED_VALUE""")," ---")</f>
        <v> ---</v>
      </c>
      <c r="G471" s="4" t="str">
        <f>IFERROR(__xludf.DUMMYFUNCTION("""COMPUTED_VALUE"""),"SUSE Linux Enterprise Server 15 SP4")</f>
        <v>SUSE Linux Enterprise Server 15 SP4</v>
      </c>
      <c r="H471" s="7" t="str">
        <f t="shared" si="3"/>
        <v>NO</v>
      </c>
      <c r="I471" s="7" t="str">
        <f t="shared" si="2"/>
        <v>NO</v>
      </c>
    </row>
    <row r="472">
      <c r="A472" s="4">
        <f>IFERROR(__xludf.DUMMYFUNCTION("""COMPUTED_VALUE"""),1198151.0)</f>
        <v>1198151</v>
      </c>
      <c r="B472" s="4" t="str">
        <f>IFERROR(__xludf.DUMMYFUNCTION("""COMPUTED_VALUE"""),"P5 - None")</f>
        <v>P5 - None</v>
      </c>
      <c r="C472" s="5">
        <f>IFERROR(__xludf.DUMMYFUNCTION("""COMPUTED_VALUE"""),44657.52193287037)</f>
        <v>44657.52193</v>
      </c>
      <c r="D472" s="4" t="str">
        <f>IFERROR(__xludf.DUMMYFUNCTION("""COMPUTED_VALUE"""),"RESOLVED")</f>
        <v>RESOLVED</v>
      </c>
      <c r="E472" s="6">
        <f>IFERROR(__xludf.DUMMYFUNCTION("""COMPUTED_VALUE"""),44676.21591435185)</f>
        <v>44676.21591</v>
      </c>
      <c r="F472" s="4" t="str">
        <f>IFERROR(__xludf.DUMMYFUNCTION("""COMPUTED_VALUE""")," ---")</f>
        <v> ---</v>
      </c>
      <c r="G472" s="4" t="str">
        <f>IFERROR(__xludf.DUMMYFUNCTION("""COMPUTED_VALUE"""),"SUSE Linux Enterprise Server 15 SP4")</f>
        <v>SUSE Linux Enterprise Server 15 SP4</v>
      </c>
      <c r="H472" s="7" t="str">
        <f t="shared" si="3"/>
        <v>NO</v>
      </c>
      <c r="I472" s="7" t="str">
        <f t="shared" si="2"/>
        <v>NO</v>
      </c>
    </row>
    <row r="473">
      <c r="A473" s="4">
        <f>IFERROR(__xludf.DUMMYFUNCTION("""COMPUTED_VALUE"""),1198211.0)</f>
        <v>1198211</v>
      </c>
      <c r="B473" s="4" t="str">
        <f>IFERROR(__xludf.DUMMYFUNCTION("""COMPUTED_VALUE"""),"P5 - None")</f>
        <v>P5 - None</v>
      </c>
      <c r="C473" s="5">
        <f>IFERROR(__xludf.DUMMYFUNCTION("""COMPUTED_VALUE"""),44658.63380787037)</f>
        <v>44658.63381</v>
      </c>
      <c r="D473" s="4" t="str">
        <f>IFERROR(__xludf.DUMMYFUNCTION("""COMPUTED_VALUE"""),"RESOLVED")</f>
        <v>RESOLVED</v>
      </c>
      <c r="E473" s="6">
        <f>IFERROR(__xludf.DUMMYFUNCTION("""COMPUTED_VALUE"""),44707.35283564815)</f>
        <v>44707.35284</v>
      </c>
      <c r="F473" s="4" t="str">
        <f>IFERROR(__xludf.DUMMYFUNCTION("""COMPUTED_VALUE""")," ---")</f>
        <v> ---</v>
      </c>
      <c r="G473" s="4" t="str">
        <f>IFERROR(__xludf.DUMMYFUNCTION("""COMPUTED_VALUE"""),"SUSE Linux Enterprise Server 15 SP4")</f>
        <v>SUSE Linux Enterprise Server 15 SP4</v>
      </c>
      <c r="H473" s="7" t="str">
        <f t="shared" si="3"/>
        <v>NO</v>
      </c>
      <c r="I473" s="7" t="str">
        <f t="shared" si="2"/>
        <v>NO</v>
      </c>
    </row>
    <row r="474">
      <c r="A474" s="4">
        <f>IFERROR(__xludf.DUMMYFUNCTION("""COMPUTED_VALUE"""),1198617.0)</f>
        <v>1198617</v>
      </c>
      <c r="B474" s="4" t="str">
        <f>IFERROR(__xludf.DUMMYFUNCTION("""COMPUTED_VALUE"""),"P5 - None")</f>
        <v>P5 - None</v>
      </c>
      <c r="C474" s="5">
        <f>IFERROR(__xludf.DUMMYFUNCTION("""COMPUTED_VALUE"""),44670.50261574074)</f>
        <v>44670.50262</v>
      </c>
      <c r="D474" s="4" t="str">
        <f>IFERROR(__xludf.DUMMYFUNCTION("""COMPUTED_VALUE"""),"RESOLVED")</f>
        <v>RESOLVED</v>
      </c>
      <c r="E474" s="6">
        <f>IFERROR(__xludf.DUMMYFUNCTION("""COMPUTED_VALUE"""),44670.521469907406)</f>
        <v>44670.52147</v>
      </c>
      <c r="F474" s="4" t="str">
        <f>IFERROR(__xludf.DUMMYFUNCTION("""COMPUTED_VALUE""")," ---")</f>
        <v> ---</v>
      </c>
      <c r="G474" s="4" t="str">
        <f>IFERROR(__xludf.DUMMYFUNCTION("""COMPUTED_VALUE"""),"SUSE Linux Enterprise Server 15 SP4")</f>
        <v>SUSE Linux Enterprise Server 15 SP4</v>
      </c>
      <c r="H474" s="7" t="str">
        <f t="shared" si="3"/>
        <v>NO</v>
      </c>
      <c r="I474" s="7" t="str">
        <f t="shared" si="2"/>
        <v>NO</v>
      </c>
    </row>
    <row r="475">
      <c r="A475" s="4">
        <f>IFERROR(__xludf.DUMMYFUNCTION("""COMPUTED_VALUE"""),1198934.0)</f>
        <v>1198934</v>
      </c>
      <c r="B475" s="4" t="str">
        <f>IFERROR(__xludf.DUMMYFUNCTION("""COMPUTED_VALUE"""),"P5 - None")</f>
        <v>P5 - None</v>
      </c>
      <c r="C475" s="5">
        <f>IFERROR(__xludf.DUMMYFUNCTION("""COMPUTED_VALUE"""),44678.48978009259)</f>
        <v>44678.48978</v>
      </c>
      <c r="D475" s="4" t="str">
        <f>IFERROR(__xludf.DUMMYFUNCTION("""COMPUTED_VALUE"""),"RESOLVED")</f>
        <v>RESOLVED</v>
      </c>
      <c r="E475" s="6">
        <f>IFERROR(__xludf.DUMMYFUNCTION("""COMPUTED_VALUE"""),44678.5080787037)</f>
        <v>44678.50808</v>
      </c>
      <c r="F475" s="4" t="str">
        <f>IFERROR(__xludf.DUMMYFUNCTION("""COMPUTED_VALUE""")," ---")</f>
        <v> ---</v>
      </c>
      <c r="G475" s="4" t="str">
        <f>IFERROR(__xludf.DUMMYFUNCTION("""COMPUTED_VALUE"""),"PUBLIC SUSE Linux Enterprise Server 15 SP4")</f>
        <v>PUBLIC SUSE Linux Enterprise Server 15 SP4</v>
      </c>
      <c r="H475" s="7" t="str">
        <f t="shared" si="3"/>
        <v>NO</v>
      </c>
      <c r="I475" s="7" t="str">
        <f t="shared" si="2"/>
        <v>NO</v>
      </c>
    </row>
    <row r="476">
      <c r="A476" s="4">
        <f>IFERROR(__xludf.DUMMYFUNCTION("""COMPUTED_VALUE"""),1199271.0)</f>
        <v>1199271</v>
      </c>
      <c r="B476" s="4" t="str">
        <f>IFERROR(__xludf.DUMMYFUNCTION("""COMPUTED_VALUE"""),"P5 - None")</f>
        <v>P5 - None</v>
      </c>
      <c r="C476" s="5">
        <f>IFERROR(__xludf.DUMMYFUNCTION("""COMPUTED_VALUE"""),44687.36900462963)</f>
        <v>44687.369</v>
      </c>
      <c r="D476" s="4" t="str">
        <f>IFERROR(__xludf.DUMMYFUNCTION("""COMPUTED_VALUE"""),"RESOLVED")</f>
        <v>RESOLVED</v>
      </c>
      <c r="E476" s="6">
        <f>IFERROR(__xludf.DUMMYFUNCTION("""COMPUTED_VALUE"""),44706.419594907406)</f>
        <v>44706.41959</v>
      </c>
      <c r="F476" s="4" t="str">
        <f>IFERROR(__xludf.DUMMYFUNCTION("""COMPUTED_VALUE""")," ---")</f>
        <v> ---</v>
      </c>
      <c r="G476" s="4" t="str">
        <f>IFERROR(__xludf.DUMMYFUNCTION("""COMPUTED_VALUE"""),"SUSE Linux Enterprise Server 15 SP4")</f>
        <v>SUSE Linux Enterprise Server 15 SP4</v>
      </c>
      <c r="H476" s="7" t="str">
        <f t="shared" si="3"/>
        <v>NO</v>
      </c>
      <c r="I476" s="7" t="str">
        <f t="shared" si="2"/>
        <v>NO</v>
      </c>
    </row>
    <row r="477">
      <c r="A477" s="4">
        <f>IFERROR(__xludf.DUMMYFUNCTION("""COMPUTED_VALUE"""),1199428.0)</f>
        <v>1199428</v>
      </c>
      <c r="B477" s="4" t="str">
        <f>IFERROR(__xludf.DUMMYFUNCTION("""COMPUTED_VALUE"""),"P5 - None")</f>
        <v>P5 - None</v>
      </c>
      <c r="C477" s="5">
        <f>IFERROR(__xludf.DUMMYFUNCTION("""COMPUTED_VALUE"""),44692.38214120371)</f>
        <v>44692.38214</v>
      </c>
      <c r="D477" s="4" t="str">
        <f>IFERROR(__xludf.DUMMYFUNCTION("""COMPUTED_VALUE"""),"RESOLVED")</f>
        <v>RESOLVED</v>
      </c>
      <c r="E477" s="6">
        <f>IFERROR(__xludf.DUMMYFUNCTION("""COMPUTED_VALUE"""),44692.595717592594)</f>
        <v>44692.59572</v>
      </c>
      <c r="F477" s="4" t="str">
        <f>IFERROR(__xludf.DUMMYFUNCTION("""COMPUTED_VALUE""")," ---")</f>
        <v> ---</v>
      </c>
      <c r="G477" s="4" t="str">
        <f>IFERROR(__xludf.DUMMYFUNCTION("""COMPUTED_VALUE"""),"SUSE Linux Enterprise Server 15 SP4")</f>
        <v>SUSE Linux Enterprise Server 15 SP4</v>
      </c>
      <c r="H477" s="7" t="str">
        <f t="shared" si="3"/>
        <v>NO</v>
      </c>
      <c r="I477" s="7" t="str">
        <f t="shared" si="2"/>
        <v>NO</v>
      </c>
    </row>
    <row r="478">
      <c r="A478" s="4">
        <f>IFERROR(__xludf.DUMMYFUNCTION("""COMPUTED_VALUE"""),1199763.0)</f>
        <v>1199763</v>
      </c>
      <c r="B478" s="4" t="str">
        <f>IFERROR(__xludf.DUMMYFUNCTION("""COMPUTED_VALUE"""),"P5 - None")</f>
        <v>P5 - None</v>
      </c>
      <c r="C478" s="5">
        <f>IFERROR(__xludf.DUMMYFUNCTION("""COMPUTED_VALUE"""),44701.42533564815)</f>
        <v>44701.42534</v>
      </c>
      <c r="D478" s="4" t="str">
        <f>IFERROR(__xludf.DUMMYFUNCTION("""COMPUTED_VALUE"""),"RESOLVED")</f>
        <v>RESOLVED</v>
      </c>
      <c r="E478" s="6">
        <f>IFERROR(__xludf.DUMMYFUNCTION("""COMPUTED_VALUE"""),44713.46666666667)</f>
        <v>44713.46667</v>
      </c>
      <c r="F478" s="4" t="str">
        <f>IFERROR(__xludf.DUMMYFUNCTION("""COMPUTED_VALUE""")," ---")</f>
        <v> ---</v>
      </c>
      <c r="G478" s="4" t="str">
        <f>IFERROR(__xludf.DUMMYFUNCTION("""COMPUTED_VALUE"""),"SUSE Linux Enterprise Server 15 SP4")</f>
        <v>SUSE Linux Enterprise Server 15 SP4</v>
      </c>
      <c r="H478" s="7" t="str">
        <f t="shared" si="3"/>
        <v>NO</v>
      </c>
      <c r="I478" s="7" t="str">
        <f t="shared" si="2"/>
        <v>NO</v>
      </c>
    </row>
    <row r="479">
      <c r="A479" s="4">
        <f>IFERROR(__xludf.DUMMYFUNCTION("""COMPUTED_VALUE"""),1200465.0)</f>
        <v>1200465</v>
      </c>
      <c r="B479" s="4" t="str">
        <f>IFERROR(__xludf.DUMMYFUNCTION("""COMPUTED_VALUE"""),"P5 - None")</f>
        <v>P5 - None</v>
      </c>
      <c r="C479" s="5">
        <f>IFERROR(__xludf.DUMMYFUNCTION("""COMPUTED_VALUE"""),44725.22988425926)</f>
        <v>44725.22988</v>
      </c>
      <c r="D479" s="4" t="str">
        <f>IFERROR(__xludf.DUMMYFUNCTION("""COMPUTED_VALUE"""),"RESOLVED")</f>
        <v>RESOLVED</v>
      </c>
      <c r="E479" s="6">
        <f>IFERROR(__xludf.DUMMYFUNCTION("""COMPUTED_VALUE"""),44735.58112268519)</f>
        <v>44735.58112</v>
      </c>
      <c r="F479" s="4" t="str">
        <f>IFERROR(__xludf.DUMMYFUNCTION("""COMPUTED_VALUE""")," ---")</f>
        <v> ---</v>
      </c>
      <c r="G479" s="4" t="str">
        <f>IFERROR(__xludf.DUMMYFUNCTION("""COMPUTED_VALUE"""),"SUSE Linux Enterprise Server 15 SP4")</f>
        <v>SUSE Linux Enterprise Server 15 SP4</v>
      </c>
      <c r="H479" s="7" t="str">
        <f t="shared" si="3"/>
        <v>NO</v>
      </c>
      <c r="I479" s="7" t="str">
        <f t="shared" si="2"/>
        <v>NO</v>
      </c>
    </row>
    <row r="480">
      <c r="A480" s="4">
        <f>IFERROR(__xludf.DUMMYFUNCTION("""COMPUTED_VALUE"""),1200475.0)</f>
        <v>1200475</v>
      </c>
      <c r="B480" s="4" t="str">
        <f>IFERROR(__xludf.DUMMYFUNCTION("""COMPUTED_VALUE"""),"P5 - None")</f>
        <v>P5 - None</v>
      </c>
      <c r="C480" s="5">
        <f>IFERROR(__xludf.DUMMYFUNCTION("""COMPUTED_VALUE"""),44725.3459375)</f>
        <v>44725.34594</v>
      </c>
      <c r="D480" s="4" t="str">
        <f>IFERROR(__xludf.DUMMYFUNCTION("""COMPUTED_VALUE"""),"RESOLVED")</f>
        <v>RESOLVED</v>
      </c>
      <c r="E480" s="6">
        <f>IFERROR(__xludf.DUMMYFUNCTION("""COMPUTED_VALUE"""),44736.472962962966)</f>
        <v>44736.47296</v>
      </c>
      <c r="F480" s="4" t="str">
        <f>IFERROR(__xludf.DUMMYFUNCTION("""COMPUTED_VALUE""")," ---")</f>
        <v> ---</v>
      </c>
      <c r="G480" s="4" t="str">
        <f>IFERROR(__xludf.DUMMYFUNCTION("""COMPUTED_VALUE"""),"PUBLIC SUSE Linux Enterprise Desktop 15 SP4")</f>
        <v>PUBLIC SUSE Linux Enterprise Desktop 15 SP4</v>
      </c>
      <c r="H480" s="7" t="str">
        <f t="shared" si="3"/>
        <v>NO</v>
      </c>
      <c r="I480" s="7" t="str">
        <f t="shared" si="2"/>
        <v>NO</v>
      </c>
    </row>
    <row r="481">
      <c r="A481" s="4">
        <f>IFERROR(__xludf.DUMMYFUNCTION("""COMPUTED_VALUE"""),1197248.0)</f>
        <v>1197248</v>
      </c>
      <c r="B481" s="4" t="str">
        <f>IFERROR(__xludf.DUMMYFUNCTION("""COMPUTED_VALUE"""),"P5 - None")</f>
        <v>P5 - None</v>
      </c>
      <c r="C481" s="5">
        <f>IFERROR(__xludf.DUMMYFUNCTION("""COMPUTED_VALUE"""),44637.66903935185)</f>
        <v>44637.66904</v>
      </c>
      <c r="D481" s="4" t="str">
        <f>IFERROR(__xludf.DUMMYFUNCTION("""COMPUTED_VALUE"""),"RESOLVED")</f>
        <v>RESOLVED</v>
      </c>
      <c r="E481" s="6">
        <f>IFERROR(__xludf.DUMMYFUNCTION("""COMPUTED_VALUE"""),44637.677083333336)</f>
        <v>44637.67708</v>
      </c>
      <c r="F481" s="4" t="str">
        <f>IFERROR(__xludf.DUMMYFUNCTION("""COMPUTED_VALUE""")," ---")</f>
        <v> ---</v>
      </c>
      <c r="G481" s="4" t="str">
        <f>IFERROR(__xludf.DUMMYFUNCTION("""COMPUTED_VALUE"""),"SUSE Linux Enterprise Server 15 SP4")</f>
        <v>SUSE Linux Enterprise Server 15 SP4</v>
      </c>
      <c r="H481" s="7" t="str">
        <f t="shared" si="3"/>
        <v>NO</v>
      </c>
      <c r="I481" s="7" t="str">
        <f t="shared" si="2"/>
        <v>NO</v>
      </c>
    </row>
    <row r="482">
      <c r="A482" s="4">
        <f>IFERROR(__xludf.DUMMYFUNCTION("""COMPUTED_VALUE"""),1192894.0)</f>
        <v>1192894</v>
      </c>
      <c r="B482" s="4" t="str">
        <f>IFERROR(__xludf.DUMMYFUNCTION("""COMPUTED_VALUE"""),"P5 - None")</f>
        <v>P5 - None</v>
      </c>
      <c r="C482" s="5">
        <f>IFERROR(__xludf.DUMMYFUNCTION("""COMPUTED_VALUE"""),44519.64394675926)</f>
        <v>44519.64395</v>
      </c>
      <c r="D482" s="4" t="str">
        <f>IFERROR(__xludf.DUMMYFUNCTION("""COMPUTED_VALUE"""),"RESOLVED")</f>
        <v>RESOLVED</v>
      </c>
      <c r="E482" s="6">
        <f>IFERROR(__xludf.DUMMYFUNCTION("""COMPUTED_VALUE"""),44668.494050925925)</f>
        <v>44668.49405</v>
      </c>
      <c r="F482" s="4" t="str">
        <f>IFERROR(__xludf.DUMMYFUNCTION("""COMPUTED_VALUE""")," ---")</f>
        <v> ---</v>
      </c>
      <c r="G482" s="4" t="str">
        <f>IFERROR(__xludf.DUMMYFUNCTION("""COMPUTED_VALUE"""),"SUSE Linux Enterprise Server 15 SP4")</f>
        <v>SUSE Linux Enterprise Server 15 SP4</v>
      </c>
      <c r="H482" s="7" t="str">
        <f t="shared" si="3"/>
        <v>NO</v>
      </c>
      <c r="I482" s="7" t="str">
        <f t="shared" si="2"/>
        <v>NO</v>
      </c>
    </row>
    <row r="483">
      <c r="A483" s="4">
        <f>IFERROR(__xludf.DUMMYFUNCTION("""COMPUTED_VALUE"""),1198402.0)</f>
        <v>1198402</v>
      </c>
      <c r="B483" s="4" t="str">
        <f>IFERROR(__xludf.DUMMYFUNCTION("""COMPUTED_VALUE"""),"P5 - None")</f>
        <v>P5 - None</v>
      </c>
      <c r="C483" s="5">
        <f>IFERROR(__xludf.DUMMYFUNCTION("""COMPUTED_VALUE"""),44663.6397337963)</f>
        <v>44663.63973</v>
      </c>
      <c r="D483" s="4" t="str">
        <f>IFERROR(__xludf.DUMMYFUNCTION("""COMPUTED_VALUE"""),"RESOLVED")</f>
        <v>RESOLVED</v>
      </c>
      <c r="E483" s="6">
        <f>IFERROR(__xludf.DUMMYFUNCTION("""COMPUTED_VALUE"""),44736.47015046296)</f>
        <v>44736.47015</v>
      </c>
      <c r="F483" s="4" t="str">
        <f>IFERROR(__xludf.DUMMYFUNCTION("""COMPUTED_VALUE""")," ---")</f>
        <v> ---</v>
      </c>
      <c r="G483" s="4" t="str">
        <f>IFERROR(__xludf.DUMMYFUNCTION("""COMPUTED_VALUE"""),"SUSE Linux Enterprise Server 15 SP4")</f>
        <v>SUSE Linux Enterprise Server 15 SP4</v>
      </c>
      <c r="H483" s="7" t="str">
        <f t="shared" si="3"/>
        <v>NO</v>
      </c>
      <c r="I483" s="7" t="str">
        <f t="shared" si="2"/>
        <v>NO</v>
      </c>
    </row>
    <row r="484">
      <c r="A484" s="4">
        <f>IFERROR(__xludf.DUMMYFUNCTION("""COMPUTED_VALUE"""),1198412.0)</f>
        <v>1198412</v>
      </c>
      <c r="B484" s="4" t="str">
        <f>IFERROR(__xludf.DUMMYFUNCTION("""COMPUTED_VALUE"""),"P5 - None")</f>
        <v>P5 - None</v>
      </c>
      <c r="C484" s="5">
        <f>IFERROR(__xludf.DUMMYFUNCTION("""COMPUTED_VALUE"""),44663.692291666666)</f>
        <v>44663.69229</v>
      </c>
      <c r="D484" s="4" t="str">
        <f>IFERROR(__xludf.DUMMYFUNCTION("""COMPUTED_VALUE"""),"RESOLVED")</f>
        <v>RESOLVED</v>
      </c>
      <c r="E484" s="6">
        <f>IFERROR(__xludf.DUMMYFUNCTION("""COMPUTED_VALUE"""),44736.470185185186)</f>
        <v>44736.47019</v>
      </c>
      <c r="F484" s="4" t="str">
        <f>IFERROR(__xludf.DUMMYFUNCTION("""COMPUTED_VALUE""")," ---")</f>
        <v> ---</v>
      </c>
      <c r="G484" s="4" t="str">
        <f>IFERROR(__xludf.DUMMYFUNCTION("""COMPUTED_VALUE"""),"SUSE Linux Enterprise Server 15 SP4")</f>
        <v>SUSE Linux Enterprise Server 15 SP4</v>
      </c>
      <c r="H484" s="7" t="str">
        <f t="shared" si="3"/>
        <v>NO</v>
      </c>
      <c r="I484" s="7" t="str">
        <f t="shared" si="2"/>
        <v>NO</v>
      </c>
    </row>
    <row r="485">
      <c r="A485" s="4">
        <f>IFERROR(__xludf.DUMMYFUNCTION("""COMPUTED_VALUE"""),1198413.0)</f>
        <v>1198413</v>
      </c>
      <c r="B485" s="4" t="str">
        <f>IFERROR(__xludf.DUMMYFUNCTION("""COMPUTED_VALUE"""),"P5 - None")</f>
        <v>P5 - None</v>
      </c>
      <c r="C485" s="5">
        <f>IFERROR(__xludf.DUMMYFUNCTION("""COMPUTED_VALUE"""),44663.70042824074)</f>
        <v>44663.70043</v>
      </c>
      <c r="D485" s="4" t="str">
        <f>IFERROR(__xludf.DUMMYFUNCTION("""COMPUTED_VALUE"""),"RESOLVED")</f>
        <v>RESOLVED</v>
      </c>
      <c r="E485" s="6">
        <f>IFERROR(__xludf.DUMMYFUNCTION("""COMPUTED_VALUE"""),44736.47023148148)</f>
        <v>44736.47023</v>
      </c>
      <c r="F485" s="4" t="str">
        <f>IFERROR(__xludf.DUMMYFUNCTION("""COMPUTED_VALUE""")," ---")</f>
        <v> ---</v>
      </c>
      <c r="G485" s="4" t="str">
        <f>IFERROR(__xludf.DUMMYFUNCTION("""COMPUTED_VALUE"""),"SUSE Linux Enterprise Server 15 SP4")</f>
        <v>SUSE Linux Enterprise Server 15 SP4</v>
      </c>
      <c r="H485" s="7" t="str">
        <f t="shared" si="3"/>
        <v>NO</v>
      </c>
      <c r="I485" s="7" t="str">
        <f t="shared" si="2"/>
        <v>NO</v>
      </c>
    </row>
    <row r="486">
      <c r="A486" s="4">
        <f>IFERROR(__xludf.DUMMYFUNCTION("""COMPUTED_VALUE"""),1199626.0)</f>
        <v>1199626</v>
      </c>
      <c r="B486" s="4" t="str">
        <f>IFERROR(__xludf.DUMMYFUNCTION("""COMPUTED_VALUE"""),"P5 - None")</f>
        <v>P5 - None</v>
      </c>
      <c r="C486" s="5">
        <f>IFERROR(__xludf.DUMMYFUNCTION("""COMPUTED_VALUE"""),44698.54381944444)</f>
        <v>44698.54382</v>
      </c>
      <c r="D486" s="4" t="str">
        <f>IFERROR(__xludf.DUMMYFUNCTION("""COMPUTED_VALUE"""),"RESOLVED")</f>
        <v>RESOLVED</v>
      </c>
      <c r="E486" s="6">
        <f>IFERROR(__xludf.DUMMYFUNCTION("""COMPUTED_VALUE"""),44736.68329861111)</f>
        <v>44736.6833</v>
      </c>
      <c r="F486" s="4" t="str">
        <f>IFERROR(__xludf.DUMMYFUNCTION("""COMPUTED_VALUE""")," ---")</f>
        <v> ---</v>
      </c>
      <c r="G486" s="4" t="str">
        <f>IFERROR(__xludf.DUMMYFUNCTION("""COMPUTED_VALUE"""),"SUSE Linux Enterprise Server 15 SP4")</f>
        <v>SUSE Linux Enterprise Server 15 SP4</v>
      </c>
      <c r="H486" s="7" t="str">
        <f t="shared" si="3"/>
        <v>NO</v>
      </c>
      <c r="I486" s="7" t="str">
        <f t="shared" si="2"/>
        <v>NO</v>
      </c>
    </row>
    <row r="487">
      <c r="A487" s="4">
        <f>IFERROR(__xludf.DUMMYFUNCTION("""COMPUTED_VALUE"""),1199628.0)</f>
        <v>1199628</v>
      </c>
      <c r="B487" s="4" t="str">
        <f>IFERROR(__xludf.DUMMYFUNCTION("""COMPUTED_VALUE"""),"P5 - None")</f>
        <v>P5 - None</v>
      </c>
      <c r="C487" s="5">
        <f>IFERROR(__xludf.DUMMYFUNCTION("""COMPUTED_VALUE"""),44698.5652662037)</f>
        <v>44698.56527</v>
      </c>
      <c r="D487" s="4" t="str">
        <f>IFERROR(__xludf.DUMMYFUNCTION("""COMPUTED_VALUE"""),"RESOLVED")</f>
        <v>RESOLVED</v>
      </c>
      <c r="E487" s="6">
        <f>IFERROR(__xludf.DUMMYFUNCTION("""COMPUTED_VALUE"""),44698.617210648146)</f>
        <v>44698.61721</v>
      </c>
      <c r="F487" s="4" t="str">
        <f>IFERROR(__xludf.DUMMYFUNCTION("""COMPUTED_VALUE""")," ---")</f>
        <v> ---</v>
      </c>
      <c r="G487" s="4" t="str">
        <f>IFERROR(__xludf.DUMMYFUNCTION("""COMPUTED_VALUE"""),"SUSE Linux Enterprise Server 15 SP4")</f>
        <v>SUSE Linux Enterprise Server 15 SP4</v>
      </c>
      <c r="H487" s="7" t="str">
        <f t="shared" si="3"/>
        <v>NO</v>
      </c>
      <c r="I487" s="7" t="str">
        <f t="shared" si="2"/>
        <v>NO</v>
      </c>
    </row>
    <row r="488">
      <c r="A488" s="4">
        <f>IFERROR(__xludf.DUMMYFUNCTION("""COMPUTED_VALUE"""),1199839.0)</f>
        <v>1199839</v>
      </c>
      <c r="B488" s="4" t="str">
        <f>IFERROR(__xludf.DUMMYFUNCTION("""COMPUTED_VALUE"""),"P5 - None")</f>
        <v>P5 - None</v>
      </c>
      <c r="C488" s="5">
        <f>IFERROR(__xludf.DUMMYFUNCTION("""COMPUTED_VALUE"""),44704.62946759259)</f>
        <v>44704.62947</v>
      </c>
      <c r="D488" s="4" t="str">
        <f>IFERROR(__xludf.DUMMYFUNCTION("""COMPUTED_VALUE"""),"RESOLVED")</f>
        <v>RESOLVED</v>
      </c>
      <c r="E488" s="6">
        <f>IFERROR(__xludf.DUMMYFUNCTION("""COMPUTED_VALUE"""),44736.68350694444)</f>
        <v>44736.68351</v>
      </c>
      <c r="F488" s="4" t="str">
        <f>IFERROR(__xludf.DUMMYFUNCTION("""COMPUTED_VALUE""")," ---")</f>
        <v> ---</v>
      </c>
      <c r="G488" s="4" t="str">
        <f>IFERROR(__xludf.DUMMYFUNCTION("""COMPUTED_VALUE"""),"SUSE Linux Enterprise Server 15 SP4")</f>
        <v>SUSE Linux Enterprise Server 15 SP4</v>
      </c>
      <c r="H488" s="7" t="str">
        <f t="shared" si="3"/>
        <v>NO</v>
      </c>
      <c r="I488" s="7" t="str">
        <f t="shared" si="2"/>
        <v>NO</v>
      </c>
    </row>
    <row r="489">
      <c r="A489" s="4">
        <f>IFERROR(__xludf.DUMMYFUNCTION("""COMPUTED_VALUE"""),1200294.0)</f>
        <v>1200294</v>
      </c>
      <c r="B489" s="4" t="str">
        <f>IFERROR(__xludf.DUMMYFUNCTION("""COMPUTED_VALUE"""),"P5 - None")</f>
        <v>P5 - None</v>
      </c>
      <c r="C489" s="5">
        <f>IFERROR(__xludf.DUMMYFUNCTION("""COMPUTED_VALUE"""),44719.623148148145)</f>
        <v>44719.62315</v>
      </c>
      <c r="D489" s="4" t="str">
        <f>IFERROR(__xludf.DUMMYFUNCTION("""COMPUTED_VALUE"""),"RESOLVED")</f>
        <v>RESOLVED</v>
      </c>
      <c r="E489" s="6">
        <f>IFERROR(__xludf.DUMMYFUNCTION("""COMPUTED_VALUE"""),44720.54635416667)</f>
        <v>44720.54635</v>
      </c>
      <c r="F489" s="4" t="str">
        <f>IFERROR(__xludf.DUMMYFUNCTION("""COMPUTED_VALUE""")," ---")</f>
        <v> ---</v>
      </c>
      <c r="G489" s="4" t="str">
        <f>IFERROR(__xludf.DUMMYFUNCTION("""COMPUTED_VALUE"""),"SUSE Linux Enterprise Server 15 SP4")</f>
        <v>SUSE Linux Enterprise Server 15 SP4</v>
      </c>
      <c r="H489" s="7" t="str">
        <f t="shared" si="3"/>
        <v>NO</v>
      </c>
      <c r="I489" s="7" t="str">
        <f t="shared" si="2"/>
        <v>NO</v>
      </c>
    </row>
    <row r="490">
      <c r="A490" s="4">
        <f>IFERROR(__xludf.DUMMYFUNCTION("""COMPUTED_VALUE"""),1188419.0)</f>
        <v>1188419</v>
      </c>
      <c r="B490" s="4" t="str">
        <f>IFERROR(__xludf.DUMMYFUNCTION("""COMPUTED_VALUE"""),"P5 - None")</f>
        <v>P5 - None</v>
      </c>
      <c r="C490" s="5">
        <f>IFERROR(__xludf.DUMMYFUNCTION("""COMPUTED_VALUE"""),44394.63528935185)</f>
        <v>44394.63529</v>
      </c>
      <c r="D490" s="4" t="str">
        <f>IFERROR(__xludf.DUMMYFUNCTION("""COMPUTED_VALUE"""),"RESOLVED")</f>
        <v>RESOLVED</v>
      </c>
      <c r="E490" s="6">
        <f>IFERROR(__xludf.DUMMYFUNCTION("""COMPUTED_VALUE"""),44426.52494212963)</f>
        <v>44426.52494</v>
      </c>
      <c r="F490" s="4" t="str">
        <f>IFERROR(__xludf.DUMMYFUNCTION("""COMPUTED_VALUE""")," ---")</f>
        <v> ---</v>
      </c>
      <c r="G490" s="4" t="str">
        <f>IFERROR(__xludf.DUMMYFUNCTION("""COMPUTED_VALUE"""),"SUSE Linux Enterprise Server 15 SP4")</f>
        <v>SUSE Linux Enterprise Server 15 SP4</v>
      </c>
      <c r="H490" s="7" t="str">
        <f t="shared" si="3"/>
        <v>NO</v>
      </c>
      <c r="I490" s="7" t="str">
        <f t="shared" si="2"/>
        <v>NO</v>
      </c>
    </row>
    <row r="491">
      <c r="A491" s="4">
        <f>IFERROR(__xludf.DUMMYFUNCTION("""COMPUTED_VALUE"""),1190111.0)</f>
        <v>1190111</v>
      </c>
      <c r="B491" s="4" t="str">
        <f>IFERROR(__xludf.DUMMYFUNCTION("""COMPUTED_VALUE"""),"P5 - None")</f>
        <v>P5 - None</v>
      </c>
      <c r="C491" s="5">
        <f>IFERROR(__xludf.DUMMYFUNCTION("""COMPUTED_VALUE"""),44441.52185185185)</f>
        <v>44441.52185</v>
      </c>
      <c r="D491" s="4" t="str">
        <f>IFERROR(__xludf.DUMMYFUNCTION("""COMPUTED_VALUE"""),"RESOLVED")</f>
        <v>RESOLVED</v>
      </c>
      <c r="E491" s="6">
        <f>IFERROR(__xludf.DUMMYFUNCTION("""COMPUTED_VALUE"""),44668.491574074076)</f>
        <v>44668.49157</v>
      </c>
      <c r="F491" s="4" t="str">
        <f>IFERROR(__xludf.DUMMYFUNCTION("""COMPUTED_VALUE""")," ---")</f>
        <v> ---</v>
      </c>
      <c r="G491" s="4" t="str">
        <f>IFERROR(__xludf.DUMMYFUNCTION("""COMPUTED_VALUE"""),"SUSE Linux Enterprise Server 15 SP4")</f>
        <v>SUSE Linux Enterprise Server 15 SP4</v>
      </c>
      <c r="H491" s="7" t="str">
        <f t="shared" si="3"/>
        <v>NO</v>
      </c>
      <c r="I491" s="7" t="str">
        <f t="shared" si="2"/>
        <v>NO</v>
      </c>
    </row>
    <row r="492">
      <c r="A492" s="4">
        <f>IFERROR(__xludf.DUMMYFUNCTION("""COMPUTED_VALUE"""),1192988.0)</f>
        <v>1192988</v>
      </c>
      <c r="B492" s="4" t="str">
        <f>IFERROR(__xludf.DUMMYFUNCTION("""COMPUTED_VALUE"""),"P5 - None")</f>
        <v>P5 - None</v>
      </c>
      <c r="C492" s="5">
        <f>IFERROR(__xludf.DUMMYFUNCTION("""COMPUTED_VALUE"""),44523.48353009259)</f>
        <v>44523.48353</v>
      </c>
      <c r="D492" s="4" t="str">
        <f>IFERROR(__xludf.DUMMYFUNCTION("""COMPUTED_VALUE"""),"RESOLVED")</f>
        <v>RESOLVED</v>
      </c>
      <c r="E492" s="6">
        <f>IFERROR(__xludf.DUMMYFUNCTION("""COMPUTED_VALUE"""),44668.49417824074)</f>
        <v>44668.49418</v>
      </c>
      <c r="F492" s="4" t="str">
        <f>IFERROR(__xludf.DUMMYFUNCTION("""COMPUTED_VALUE""")," ---")</f>
        <v> ---</v>
      </c>
      <c r="G492" s="4" t="str">
        <f>IFERROR(__xludf.DUMMYFUNCTION("""COMPUTED_VALUE"""),"SUSE Linux Enterprise Server 15 SP4")</f>
        <v>SUSE Linux Enterprise Server 15 SP4</v>
      </c>
      <c r="H492" s="7" t="str">
        <f t="shared" si="3"/>
        <v>NO</v>
      </c>
      <c r="I492" s="7" t="str">
        <f t="shared" si="2"/>
        <v>NO</v>
      </c>
    </row>
    <row r="493">
      <c r="A493" s="4">
        <f>IFERROR(__xludf.DUMMYFUNCTION("""COMPUTED_VALUE"""),1198379.0)</f>
        <v>1198379</v>
      </c>
      <c r="B493" s="4" t="str">
        <f>IFERROR(__xludf.DUMMYFUNCTION("""COMPUTED_VALUE"""),"P5 - None")</f>
        <v>P5 - None</v>
      </c>
      <c r="C493" s="5">
        <f>IFERROR(__xludf.DUMMYFUNCTION("""COMPUTED_VALUE"""),44663.35592592593)</f>
        <v>44663.35593</v>
      </c>
      <c r="D493" s="4" t="str">
        <f>IFERROR(__xludf.DUMMYFUNCTION("""COMPUTED_VALUE"""),"RESOLVED")</f>
        <v>RESOLVED</v>
      </c>
      <c r="E493" s="6">
        <f>IFERROR(__xludf.DUMMYFUNCTION("""COMPUTED_VALUE"""),44736.47008101852)</f>
        <v>44736.47008</v>
      </c>
      <c r="F493" s="4" t="str">
        <f>IFERROR(__xludf.DUMMYFUNCTION("""COMPUTED_VALUE""")," ---")</f>
        <v> ---</v>
      </c>
      <c r="G493" s="4" t="str">
        <f>IFERROR(__xludf.DUMMYFUNCTION("""COMPUTED_VALUE"""),"SUSE Linux Enterprise Server 15 SP4")</f>
        <v>SUSE Linux Enterprise Server 15 SP4</v>
      </c>
      <c r="H493" s="7" t="str">
        <f t="shared" si="3"/>
        <v>NO</v>
      </c>
      <c r="I493" s="7" t="str">
        <f t="shared" si="2"/>
        <v>NO</v>
      </c>
    </row>
    <row r="494">
      <c r="A494" s="4">
        <f>IFERROR(__xludf.DUMMYFUNCTION("""COMPUTED_VALUE"""),1193705.0)</f>
        <v>1193705</v>
      </c>
      <c r="B494" s="4" t="str">
        <f>IFERROR(__xludf.DUMMYFUNCTION("""COMPUTED_VALUE"""),"P5 - None")</f>
        <v>P5 - None</v>
      </c>
      <c r="C494" s="5">
        <f>IFERROR(__xludf.DUMMYFUNCTION("""COMPUTED_VALUE"""),44543.89144675926)</f>
        <v>44543.89145</v>
      </c>
      <c r="D494" s="4" t="str">
        <f>IFERROR(__xludf.DUMMYFUNCTION("""COMPUTED_VALUE"""),"RESOLVED")</f>
        <v>RESOLVED</v>
      </c>
      <c r="E494" s="6">
        <f>IFERROR(__xludf.DUMMYFUNCTION("""COMPUTED_VALUE"""),44544.32287037037)</f>
        <v>44544.32287</v>
      </c>
      <c r="F494" s="4" t="str">
        <f>IFERROR(__xludf.DUMMYFUNCTION("""COMPUTED_VALUE""")," ---")</f>
        <v> ---</v>
      </c>
      <c r="G494" s="4" t="str">
        <f>IFERROR(__xludf.DUMMYFUNCTION("""COMPUTED_VALUE"""),"SUSE Linux Enterprise Server 15 SP4")</f>
        <v>SUSE Linux Enterprise Server 15 SP4</v>
      </c>
      <c r="H494" s="7" t="str">
        <f t="shared" si="3"/>
        <v>NO</v>
      </c>
      <c r="I494" s="7" t="str">
        <f t="shared" si="2"/>
        <v>NO</v>
      </c>
    </row>
    <row r="495">
      <c r="A495" s="4">
        <f>IFERROR(__xludf.DUMMYFUNCTION("""COMPUTED_VALUE"""),1191026.0)</f>
        <v>1191026</v>
      </c>
      <c r="B495" s="4" t="str">
        <f>IFERROR(__xludf.DUMMYFUNCTION("""COMPUTED_VALUE"""),"P5 - None")</f>
        <v>P5 - None</v>
      </c>
      <c r="C495" s="5">
        <f>IFERROR(__xludf.DUMMYFUNCTION("""COMPUTED_VALUE"""),44467.447847222225)</f>
        <v>44467.44785</v>
      </c>
      <c r="D495" s="4" t="str">
        <f>IFERROR(__xludf.DUMMYFUNCTION("""COMPUTED_VALUE"""),"RESOLVED")</f>
        <v>RESOLVED</v>
      </c>
      <c r="E495" s="6">
        <f>IFERROR(__xludf.DUMMYFUNCTION("""COMPUTED_VALUE"""),44668.49256944445)</f>
        <v>44668.49257</v>
      </c>
      <c r="F495" s="4" t="str">
        <f>IFERROR(__xludf.DUMMYFUNCTION("""COMPUTED_VALUE""")," ---")</f>
        <v> ---</v>
      </c>
      <c r="G495" s="4" t="str">
        <f>IFERROR(__xludf.DUMMYFUNCTION("""COMPUTED_VALUE"""),"SUSE Linux Enterprise Server 15 SP4")</f>
        <v>SUSE Linux Enterprise Server 15 SP4</v>
      </c>
      <c r="H495" s="7" t="str">
        <f t="shared" si="3"/>
        <v>NO</v>
      </c>
      <c r="I495" s="7" t="str">
        <f t="shared" si="2"/>
        <v>NO</v>
      </c>
    </row>
    <row r="496">
      <c r="A496" s="4">
        <f>IFERROR(__xludf.DUMMYFUNCTION("""COMPUTED_VALUE"""),1193077.0)</f>
        <v>1193077</v>
      </c>
      <c r="B496" s="4" t="str">
        <f>IFERROR(__xludf.DUMMYFUNCTION("""COMPUTED_VALUE"""),"P5 - None")</f>
        <v>P5 - None</v>
      </c>
      <c r="C496" s="5">
        <f>IFERROR(__xludf.DUMMYFUNCTION("""COMPUTED_VALUE"""),44525.42592592593)</f>
        <v>44525.42593</v>
      </c>
      <c r="D496" s="4" t="str">
        <f>IFERROR(__xludf.DUMMYFUNCTION("""COMPUTED_VALUE"""),"RESOLVED")</f>
        <v>RESOLVED</v>
      </c>
      <c r="E496" s="6">
        <f>IFERROR(__xludf.DUMMYFUNCTION("""COMPUTED_VALUE"""),44525.50241898148)</f>
        <v>44525.50242</v>
      </c>
      <c r="F496" s="4" t="str">
        <f>IFERROR(__xludf.DUMMYFUNCTION("""COMPUTED_VALUE""")," ---")</f>
        <v> ---</v>
      </c>
      <c r="G496" s="4" t="str">
        <f>IFERROR(__xludf.DUMMYFUNCTION("""COMPUTED_VALUE"""),"SUSE Linux Enterprise Server 15 SP4")</f>
        <v>SUSE Linux Enterprise Server 15 SP4</v>
      </c>
      <c r="H496" s="7" t="str">
        <f t="shared" si="3"/>
        <v>NO</v>
      </c>
      <c r="I496" s="7" t="str">
        <f t="shared" si="2"/>
        <v>NO</v>
      </c>
    </row>
    <row r="497">
      <c r="A497" s="4">
        <f>IFERROR(__xludf.DUMMYFUNCTION("""COMPUTED_VALUE"""),1191521.0)</f>
        <v>1191521</v>
      </c>
      <c r="B497" s="4" t="str">
        <f>IFERROR(__xludf.DUMMYFUNCTION("""COMPUTED_VALUE"""),"P5 - None")</f>
        <v>P5 - None</v>
      </c>
      <c r="C497" s="5">
        <f>IFERROR(__xludf.DUMMYFUNCTION("""COMPUTED_VALUE"""),44480.05019675926)</f>
        <v>44480.0502</v>
      </c>
      <c r="D497" s="4" t="str">
        <f>IFERROR(__xludf.DUMMYFUNCTION("""COMPUTED_VALUE"""),"VERIFIED")</f>
        <v>VERIFIED</v>
      </c>
      <c r="E497" s="6">
        <f>IFERROR(__xludf.DUMMYFUNCTION("""COMPUTED_VALUE"""),44482.02851851852)</f>
        <v>44482.02852</v>
      </c>
      <c r="F497" s="4" t="str">
        <f>IFERROR(__xludf.DUMMYFUNCTION("""COMPUTED_VALUE"""),"Yes")</f>
        <v>Yes</v>
      </c>
      <c r="G497" s="4" t="str">
        <f>IFERROR(__xludf.DUMMYFUNCTION("""COMPUTED_VALUE"""),"SUSE Linux Enterprise Server 15 SP4")</f>
        <v>SUSE Linux Enterprise Server 15 SP4</v>
      </c>
      <c r="H497" s="7" t="str">
        <f t="shared" si="3"/>
        <v>NO</v>
      </c>
      <c r="I497" s="7" t="str">
        <f t="shared" si="2"/>
        <v>NO</v>
      </c>
    </row>
    <row r="498">
      <c r="H498" s="7"/>
    </row>
    <row r="499">
      <c r="H499" s="7"/>
    </row>
    <row r="500">
      <c r="H500" s="7"/>
    </row>
    <row r="501">
      <c r="H501" s="7"/>
    </row>
    <row r="502">
      <c r="H502" s="7"/>
    </row>
    <row r="503">
      <c r="H503" s="7"/>
    </row>
    <row r="504">
      <c r="H504" s="7"/>
    </row>
    <row r="505">
      <c r="H505" s="7"/>
    </row>
    <row r="506">
      <c r="H506" s="7"/>
    </row>
    <row r="507">
      <c r="H507" s="7"/>
    </row>
    <row r="508">
      <c r="H508" s="7"/>
    </row>
    <row r="509">
      <c r="H509" s="7"/>
    </row>
    <row r="510">
      <c r="H510" s="7"/>
    </row>
    <row r="511">
      <c r="H511" s="7"/>
    </row>
    <row r="512">
      <c r="H512" s="7"/>
    </row>
    <row r="513">
      <c r="H513" s="7"/>
    </row>
    <row r="514">
      <c r="H514" s="7"/>
    </row>
    <row r="515">
      <c r="H515" s="7"/>
    </row>
    <row r="516">
      <c r="H516" s="7"/>
    </row>
    <row r="517">
      <c r="H517" s="7"/>
    </row>
    <row r="518">
      <c r="H518" s="7"/>
    </row>
    <row r="519">
      <c r="H519" s="7"/>
    </row>
    <row r="520">
      <c r="H520" s="7"/>
    </row>
    <row r="521">
      <c r="H521" s="7"/>
    </row>
    <row r="522">
      <c r="H522" s="7"/>
    </row>
    <row r="523">
      <c r="H523" s="7"/>
    </row>
    <row r="524">
      <c r="H524" s="7"/>
    </row>
    <row r="525">
      <c r="H525" s="7"/>
    </row>
    <row r="526">
      <c r="H526" s="7"/>
    </row>
    <row r="527">
      <c r="H527" s="7"/>
    </row>
    <row r="528">
      <c r="H528" s="7"/>
    </row>
    <row r="529">
      <c r="H529" s="7"/>
    </row>
    <row r="530">
      <c r="H530" s="7"/>
    </row>
    <row r="531">
      <c r="H531" s="7"/>
    </row>
    <row r="532">
      <c r="H532" s="7"/>
    </row>
    <row r="533">
      <c r="H533" s="7"/>
    </row>
    <row r="534">
      <c r="H534" s="7"/>
    </row>
    <row r="535">
      <c r="H535" s="7"/>
    </row>
    <row r="536">
      <c r="H536" s="7"/>
    </row>
    <row r="537">
      <c r="H537" s="7"/>
    </row>
    <row r="538">
      <c r="H538" s="7"/>
    </row>
    <row r="539">
      <c r="H539" s="7"/>
    </row>
    <row r="540">
      <c r="H540" s="7"/>
    </row>
    <row r="541">
      <c r="H541" s="7"/>
    </row>
    <row r="542">
      <c r="H542" s="7"/>
    </row>
    <row r="543">
      <c r="H543" s="7"/>
    </row>
    <row r="544">
      <c r="H544" s="7"/>
    </row>
    <row r="545">
      <c r="H545" s="7"/>
    </row>
    <row r="546">
      <c r="H546" s="7"/>
    </row>
    <row r="547">
      <c r="H547" s="7"/>
    </row>
    <row r="548">
      <c r="H548" s="7"/>
    </row>
    <row r="549">
      <c r="H549" s="7"/>
    </row>
    <row r="550">
      <c r="H550" s="7"/>
    </row>
    <row r="551">
      <c r="H551" s="7"/>
    </row>
    <row r="552">
      <c r="H552" s="7"/>
    </row>
    <row r="553">
      <c r="H553" s="7"/>
    </row>
    <row r="554">
      <c r="H554" s="7"/>
    </row>
    <row r="555">
      <c r="H555" s="7"/>
    </row>
    <row r="556">
      <c r="H556" s="7"/>
    </row>
    <row r="557">
      <c r="H557" s="7"/>
    </row>
    <row r="558">
      <c r="H558" s="7"/>
    </row>
    <row r="559">
      <c r="H559" s="7"/>
    </row>
    <row r="560">
      <c r="H560" s="7"/>
    </row>
    <row r="561">
      <c r="H561" s="7"/>
    </row>
    <row r="562">
      <c r="H562" s="7"/>
    </row>
    <row r="563">
      <c r="H563" s="7"/>
    </row>
    <row r="564">
      <c r="H564" s="7"/>
    </row>
    <row r="565">
      <c r="H565" s="7"/>
    </row>
    <row r="566">
      <c r="H566" s="7"/>
    </row>
    <row r="567">
      <c r="H567" s="7"/>
    </row>
    <row r="568">
      <c r="H568" s="7"/>
    </row>
    <row r="569">
      <c r="H569" s="7"/>
    </row>
    <row r="570">
      <c r="H570" s="7"/>
    </row>
    <row r="571">
      <c r="H571" s="7"/>
    </row>
    <row r="572">
      <c r="H572" s="7"/>
    </row>
    <row r="573">
      <c r="H573" s="7"/>
    </row>
    <row r="574">
      <c r="H574" s="7"/>
    </row>
    <row r="575">
      <c r="H575" s="7"/>
    </row>
    <row r="576">
      <c r="H576" s="7"/>
    </row>
    <row r="577">
      <c r="H577" s="7"/>
    </row>
    <row r="578">
      <c r="H578" s="7"/>
    </row>
    <row r="579">
      <c r="H579" s="7"/>
    </row>
    <row r="580">
      <c r="H580" s="7"/>
    </row>
    <row r="581">
      <c r="H581" s="7"/>
    </row>
    <row r="582">
      <c r="H582" s="7"/>
    </row>
    <row r="583">
      <c r="H583" s="7"/>
    </row>
    <row r="584">
      <c r="H584" s="7"/>
    </row>
    <row r="585">
      <c r="H585" s="7"/>
    </row>
    <row r="586">
      <c r="H586" s="7"/>
    </row>
    <row r="587">
      <c r="H587" s="7"/>
    </row>
    <row r="588">
      <c r="H588" s="7"/>
    </row>
    <row r="589">
      <c r="H589" s="7"/>
    </row>
    <row r="590">
      <c r="H590" s="7"/>
    </row>
    <row r="591">
      <c r="H591" s="7"/>
    </row>
    <row r="592">
      <c r="H592" s="7"/>
    </row>
    <row r="593">
      <c r="H593" s="7"/>
    </row>
    <row r="594">
      <c r="H594" s="7"/>
    </row>
    <row r="595">
      <c r="H595" s="7"/>
    </row>
    <row r="596">
      <c r="H596" s="7"/>
    </row>
    <row r="597">
      <c r="H597" s="7"/>
    </row>
    <row r="598">
      <c r="H598" s="7"/>
    </row>
    <row r="599">
      <c r="H599" s="7"/>
    </row>
    <row r="600">
      <c r="H600" s="7"/>
    </row>
    <row r="601">
      <c r="H601" s="7"/>
    </row>
    <row r="602">
      <c r="H602" s="7"/>
    </row>
    <row r="603">
      <c r="H603" s="7"/>
    </row>
    <row r="604">
      <c r="H604" s="7"/>
    </row>
    <row r="605">
      <c r="H605" s="7"/>
    </row>
    <row r="606">
      <c r="H606" s="7"/>
    </row>
    <row r="607">
      <c r="H607" s="7"/>
    </row>
    <row r="608">
      <c r="H608" s="7"/>
    </row>
    <row r="609">
      <c r="H609" s="7"/>
    </row>
    <row r="610">
      <c r="H610" s="7"/>
    </row>
    <row r="611">
      <c r="H611" s="7"/>
    </row>
    <row r="612">
      <c r="H612" s="7"/>
    </row>
    <row r="613">
      <c r="H613" s="7"/>
    </row>
    <row r="614">
      <c r="H614" s="7"/>
    </row>
    <row r="615">
      <c r="H615" s="7"/>
    </row>
    <row r="616">
      <c r="H616" s="7"/>
    </row>
    <row r="617">
      <c r="H617" s="7"/>
    </row>
    <row r="618">
      <c r="H618" s="7"/>
    </row>
    <row r="619">
      <c r="H619" s="7"/>
    </row>
    <row r="620">
      <c r="H620" s="7"/>
    </row>
    <row r="621">
      <c r="H621" s="7"/>
    </row>
    <row r="622">
      <c r="H622" s="7"/>
    </row>
    <row r="623">
      <c r="H623" s="7"/>
    </row>
    <row r="624">
      <c r="H624" s="7"/>
    </row>
    <row r="625">
      <c r="H625" s="7"/>
    </row>
    <row r="626">
      <c r="H626" s="7"/>
    </row>
    <row r="627">
      <c r="H627" s="7"/>
    </row>
    <row r="628">
      <c r="H628" s="7"/>
    </row>
    <row r="629">
      <c r="H629" s="7"/>
    </row>
    <row r="630">
      <c r="H630" s="7"/>
    </row>
    <row r="631">
      <c r="H631" s="7"/>
    </row>
    <row r="632">
      <c r="H632" s="7"/>
    </row>
    <row r="633">
      <c r="H633" s="7"/>
    </row>
    <row r="634">
      <c r="H634" s="7"/>
    </row>
    <row r="635">
      <c r="H635" s="7"/>
    </row>
    <row r="636">
      <c r="H636" s="7"/>
    </row>
    <row r="637">
      <c r="H637" s="7"/>
    </row>
    <row r="638">
      <c r="H638" s="7"/>
    </row>
    <row r="639">
      <c r="H639" s="7"/>
    </row>
    <row r="640">
      <c r="H640" s="7"/>
    </row>
    <row r="641">
      <c r="H641" s="7"/>
    </row>
    <row r="642">
      <c r="H642" s="7"/>
    </row>
    <row r="643">
      <c r="H643" s="7"/>
    </row>
    <row r="644">
      <c r="H644" s="7"/>
    </row>
    <row r="645">
      <c r="H645" s="7"/>
    </row>
    <row r="646">
      <c r="H646" s="7"/>
    </row>
    <row r="647">
      <c r="H647" s="7"/>
    </row>
    <row r="648">
      <c r="H648" s="7"/>
    </row>
    <row r="649">
      <c r="H649" s="7"/>
    </row>
    <row r="650">
      <c r="H650" s="7"/>
    </row>
    <row r="651">
      <c r="H651" s="7"/>
    </row>
    <row r="652">
      <c r="H652" s="7"/>
    </row>
    <row r="653">
      <c r="H653" s="7"/>
    </row>
    <row r="654">
      <c r="H654" s="7"/>
    </row>
    <row r="655">
      <c r="H655" s="7"/>
    </row>
    <row r="656">
      <c r="H656" s="7"/>
    </row>
    <row r="657">
      <c r="H657" s="7"/>
    </row>
    <row r="658">
      <c r="H658" s="7"/>
    </row>
    <row r="659">
      <c r="H659" s="7"/>
    </row>
    <row r="660">
      <c r="H660" s="7"/>
    </row>
    <row r="661">
      <c r="H661" s="7"/>
    </row>
    <row r="662">
      <c r="H662" s="7"/>
    </row>
    <row r="663">
      <c r="H663" s="7"/>
    </row>
    <row r="664">
      <c r="H664" s="7"/>
    </row>
    <row r="665">
      <c r="H665" s="7"/>
    </row>
    <row r="666">
      <c r="H666" s="7"/>
    </row>
    <row r="667">
      <c r="H667" s="7"/>
    </row>
    <row r="668">
      <c r="H668" s="7"/>
    </row>
    <row r="669">
      <c r="H669" s="7"/>
    </row>
    <row r="670">
      <c r="H670" s="7"/>
    </row>
    <row r="671">
      <c r="H671" s="7"/>
    </row>
    <row r="672">
      <c r="H672" s="7"/>
    </row>
    <row r="673">
      <c r="H673" s="7"/>
    </row>
    <row r="674">
      <c r="H674" s="7"/>
    </row>
    <row r="675">
      <c r="H675" s="7"/>
    </row>
    <row r="676">
      <c r="H676" s="7"/>
    </row>
    <row r="677">
      <c r="H677" s="7"/>
    </row>
    <row r="678">
      <c r="H678" s="7"/>
    </row>
    <row r="679">
      <c r="H679" s="7"/>
    </row>
    <row r="680">
      <c r="H680" s="7"/>
    </row>
    <row r="681">
      <c r="H681" s="7"/>
    </row>
    <row r="682">
      <c r="H682" s="7"/>
    </row>
    <row r="683">
      <c r="H683" s="7"/>
    </row>
    <row r="684">
      <c r="H684" s="7"/>
    </row>
    <row r="685">
      <c r="H685" s="7"/>
    </row>
    <row r="686">
      <c r="H686" s="7"/>
    </row>
    <row r="687">
      <c r="H687" s="7"/>
    </row>
    <row r="688">
      <c r="H688" s="7"/>
    </row>
    <row r="689">
      <c r="H689" s="7"/>
    </row>
    <row r="690">
      <c r="H690" s="7"/>
    </row>
    <row r="691">
      <c r="H691" s="7"/>
    </row>
    <row r="692">
      <c r="H692" s="7"/>
    </row>
    <row r="693">
      <c r="H693" s="7"/>
    </row>
    <row r="694">
      <c r="H694" s="7"/>
    </row>
    <row r="695">
      <c r="H695" s="7"/>
    </row>
    <row r="696">
      <c r="H696" s="7"/>
    </row>
    <row r="697">
      <c r="H697" s="7"/>
    </row>
    <row r="698">
      <c r="H698" s="7"/>
    </row>
    <row r="699">
      <c r="H699" s="7"/>
    </row>
    <row r="700">
      <c r="H700" s="7"/>
    </row>
    <row r="701">
      <c r="H701" s="7"/>
    </row>
    <row r="702">
      <c r="H702" s="7"/>
    </row>
    <row r="703">
      <c r="H703" s="7"/>
    </row>
    <row r="704">
      <c r="H704" s="7"/>
    </row>
    <row r="705">
      <c r="H705" s="7"/>
    </row>
    <row r="706">
      <c r="H706" s="7"/>
    </row>
    <row r="707">
      <c r="H707" s="7"/>
    </row>
    <row r="708">
      <c r="H708" s="7"/>
    </row>
    <row r="709">
      <c r="H709" s="7"/>
    </row>
    <row r="710">
      <c r="H710" s="7"/>
    </row>
    <row r="711">
      <c r="H711" s="7"/>
    </row>
    <row r="712">
      <c r="H712" s="7"/>
    </row>
    <row r="713">
      <c r="H713" s="7"/>
    </row>
    <row r="714">
      <c r="H714" s="7"/>
    </row>
    <row r="715">
      <c r="H715" s="7"/>
    </row>
    <row r="716">
      <c r="H716" s="7"/>
    </row>
    <row r="717">
      <c r="H717" s="7"/>
    </row>
    <row r="718">
      <c r="H718" s="7"/>
    </row>
    <row r="719">
      <c r="H719" s="7"/>
    </row>
    <row r="720">
      <c r="H720" s="7"/>
    </row>
    <row r="721">
      <c r="H721" s="7"/>
    </row>
    <row r="722">
      <c r="H722" s="7"/>
    </row>
    <row r="723">
      <c r="H723" s="7"/>
    </row>
    <row r="724">
      <c r="H724" s="7"/>
    </row>
    <row r="725">
      <c r="H725" s="7"/>
    </row>
    <row r="726">
      <c r="H726" s="7"/>
    </row>
    <row r="727">
      <c r="H727" s="7"/>
    </row>
    <row r="728">
      <c r="H728" s="7"/>
    </row>
    <row r="729">
      <c r="H729" s="7"/>
    </row>
    <row r="730">
      <c r="H730" s="7"/>
    </row>
    <row r="731">
      <c r="H731" s="7"/>
    </row>
    <row r="732">
      <c r="H732" s="7"/>
    </row>
    <row r="733">
      <c r="H733" s="7"/>
    </row>
    <row r="734">
      <c r="H734" s="7"/>
    </row>
    <row r="735">
      <c r="H735" s="7"/>
    </row>
    <row r="736">
      <c r="H736" s="7"/>
    </row>
    <row r="737">
      <c r="H737" s="7"/>
    </row>
    <row r="738">
      <c r="H738" s="7"/>
    </row>
    <row r="739">
      <c r="H739" s="7"/>
    </row>
    <row r="740">
      <c r="H740" s="7"/>
    </row>
    <row r="741">
      <c r="H741" s="7"/>
    </row>
    <row r="742">
      <c r="H742" s="7"/>
    </row>
    <row r="743">
      <c r="H743" s="7"/>
    </row>
    <row r="744">
      <c r="H744" s="7"/>
    </row>
    <row r="745">
      <c r="H745" s="7"/>
    </row>
    <row r="746">
      <c r="H746" s="7"/>
    </row>
    <row r="747">
      <c r="H747" s="7"/>
    </row>
    <row r="748">
      <c r="H748" s="7"/>
    </row>
    <row r="749">
      <c r="H749" s="7"/>
    </row>
    <row r="750">
      <c r="H750" s="7"/>
    </row>
    <row r="751">
      <c r="H751" s="7"/>
    </row>
    <row r="752">
      <c r="H752" s="7"/>
    </row>
    <row r="753">
      <c r="H753" s="7"/>
    </row>
    <row r="754">
      <c r="H754" s="7"/>
    </row>
    <row r="755">
      <c r="H755" s="7"/>
    </row>
    <row r="756">
      <c r="H756" s="7"/>
    </row>
    <row r="757">
      <c r="H757" s="7"/>
    </row>
    <row r="758">
      <c r="H758" s="7"/>
    </row>
    <row r="759">
      <c r="H759" s="7"/>
    </row>
    <row r="760">
      <c r="H760" s="7"/>
    </row>
    <row r="761">
      <c r="H761" s="7"/>
    </row>
    <row r="762">
      <c r="H762" s="7"/>
    </row>
    <row r="763">
      <c r="H763" s="7"/>
    </row>
    <row r="764">
      <c r="H764" s="7"/>
    </row>
    <row r="765">
      <c r="H765" s="7"/>
    </row>
    <row r="766">
      <c r="H766" s="7"/>
    </row>
    <row r="767">
      <c r="H767" s="7"/>
    </row>
    <row r="768">
      <c r="H768" s="7"/>
    </row>
    <row r="769">
      <c r="H769" s="7"/>
    </row>
    <row r="770">
      <c r="H770" s="7"/>
    </row>
    <row r="771">
      <c r="H771" s="7"/>
    </row>
    <row r="772">
      <c r="H772" s="7"/>
    </row>
    <row r="773">
      <c r="H773" s="7"/>
    </row>
    <row r="774">
      <c r="H774" s="7"/>
    </row>
    <row r="775">
      <c r="H775" s="7"/>
    </row>
    <row r="776">
      <c r="H776" s="7"/>
    </row>
    <row r="777">
      <c r="H777" s="7"/>
    </row>
    <row r="778">
      <c r="H778" s="7"/>
    </row>
    <row r="779">
      <c r="H779" s="7"/>
    </row>
    <row r="780">
      <c r="H780" s="7"/>
    </row>
    <row r="781">
      <c r="H781" s="7"/>
    </row>
    <row r="782">
      <c r="H782" s="7"/>
    </row>
    <row r="783">
      <c r="H783" s="7"/>
    </row>
    <row r="784">
      <c r="H784" s="7"/>
    </row>
    <row r="785">
      <c r="H785" s="7"/>
    </row>
    <row r="786">
      <c r="H786" s="7"/>
    </row>
    <row r="787">
      <c r="H787" s="7"/>
    </row>
    <row r="788">
      <c r="H788" s="7"/>
    </row>
    <row r="789">
      <c r="H789" s="7"/>
    </row>
    <row r="790">
      <c r="H790" s="7"/>
    </row>
    <row r="791">
      <c r="H791" s="7"/>
    </row>
    <row r="792">
      <c r="H792" s="7"/>
    </row>
    <row r="793">
      <c r="H793" s="7"/>
    </row>
    <row r="794">
      <c r="H794" s="7"/>
    </row>
    <row r="795">
      <c r="H795" s="7"/>
    </row>
    <row r="796">
      <c r="H796" s="7"/>
    </row>
    <row r="797">
      <c r="H797" s="7"/>
    </row>
    <row r="798">
      <c r="H798" s="7"/>
    </row>
    <row r="799">
      <c r="H799" s="7"/>
    </row>
    <row r="800">
      <c r="H800" s="7"/>
    </row>
    <row r="801">
      <c r="H801" s="7"/>
    </row>
    <row r="802">
      <c r="H802" s="7"/>
    </row>
    <row r="803">
      <c r="H803" s="7"/>
    </row>
    <row r="804">
      <c r="H804" s="7"/>
    </row>
    <row r="805">
      <c r="H805" s="7"/>
    </row>
    <row r="806">
      <c r="H806" s="7"/>
    </row>
    <row r="807">
      <c r="H807" s="7"/>
    </row>
    <row r="808">
      <c r="H808" s="7"/>
    </row>
    <row r="809">
      <c r="H809" s="7"/>
    </row>
    <row r="810">
      <c r="H810" s="7"/>
    </row>
    <row r="811">
      <c r="H811" s="7"/>
    </row>
    <row r="812">
      <c r="H812" s="7"/>
    </row>
    <row r="813">
      <c r="H813" s="7"/>
    </row>
    <row r="814">
      <c r="H814" s="7"/>
    </row>
    <row r="815">
      <c r="H815" s="7"/>
    </row>
    <row r="816">
      <c r="H816" s="7"/>
    </row>
    <row r="817">
      <c r="H817" s="7"/>
    </row>
    <row r="818">
      <c r="H818" s="7"/>
    </row>
    <row r="819">
      <c r="H819" s="7"/>
    </row>
    <row r="820">
      <c r="H820" s="7"/>
    </row>
    <row r="821">
      <c r="H821" s="7"/>
    </row>
    <row r="822">
      <c r="H822" s="7"/>
    </row>
    <row r="823">
      <c r="H823" s="7"/>
    </row>
    <row r="824">
      <c r="H824" s="7"/>
    </row>
    <row r="825">
      <c r="H825" s="7"/>
    </row>
    <row r="826">
      <c r="H826" s="7"/>
    </row>
    <row r="827">
      <c r="H827" s="7"/>
    </row>
    <row r="828">
      <c r="H828" s="7"/>
    </row>
    <row r="829">
      <c r="H829" s="7"/>
    </row>
    <row r="830">
      <c r="H830" s="7"/>
    </row>
    <row r="831">
      <c r="H831" s="7"/>
    </row>
    <row r="832">
      <c r="H832" s="7"/>
    </row>
    <row r="833">
      <c r="H833" s="7"/>
    </row>
    <row r="834">
      <c r="H834" s="7"/>
    </row>
    <row r="835">
      <c r="H835" s="7"/>
    </row>
    <row r="836">
      <c r="H836" s="7"/>
    </row>
    <row r="837">
      <c r="H837" s="7"/>
    </row>
    <row r="838">
      <c r="H838" s="7"/>
    </row>
    <row r="839">
      <c r="H839" s="7"/>
    </row>
    <row r="840">
      <c r="H840" s="7"/>
    </row>
    <row r="841">
      <c r="H841" s="7"/>
    </row>
    <row r="842">
      <c r="H842" s="7"/>
    </row>
    <row r="843">
      <c r="H843" s="7"/>
    </row>
    <row r="844">
      <c r="H844" s="7"/>
    </row>
    <row r="845">
      <c r="H845" s="7"/>
    </row>
    <row r="846">
      <c r="H846" s="7"/>
    </row>
    <row r="847">
      <c r="H847" s="7"/>
    </row>
    <row r="848">
      <c r="H848" s="7"/>
    </row>
    <row r="849">
      <c r="H849" s="7"/>
    </row>
    <row r="850">
      <c r="H850" s="7"/>
    </row>
    <row r="851">
      <c r="H851" s="7"/>
    </row>
    <row r="852">
      <c r="H852" s="7"/>
    </row>
    <row r="853">
      <c r="H853" s="7"/>
    </row>
    <row r="854">
      <c r="H854" s="7"/>
    </row>
    <row r="855">
      <c r="H855" s="7"/>
    </row>
    <row r="856">
      <c r="H856" s="7"/>
    </row>
    <row r="857">
      <c r="H857" s="7"/>
    </row>
    <row r="858">
      <c r="H858" s="7"/>
    </row>
    <row r="859">
      <c r="H859" s="7"/>
    </row>
    <row r="860">
      <c r="H860" s="7"/>
    </row>
    <row r="861">
      <c r="H861" s="7"/>
    </row>
    <row r="862">
      <c r="H862" s="7"/>
    </row>
    <row r="863">
      <c r="H863" s="7"/>
    </row>
    <row r="864">
      <c r="H864" s="7"/>
    </row>
    <row r="865">
      <c r="H865" s="7"/>
    </row>
    <row r="866">
      <c r="H866" s="7"/>
    </row>
    <row r="867">
      <c r="H867" s="7"/>
    </row>
    <row r="868">
      <c r="H868" s="7"/>
    </row>
    <row r="869">
      <c r="H869" s="7"/>
    </row>
    <row r="870">
      <c r="H870" s="7"/>
    </row>
    <row r="871">
      <c r="H871" s="7"/>
    </row>
    <row r="872">
      <c r="H872" s="7"/>
    </row>
    <row r="873">
      <c r="H873" s="7"/>
    </row>
    <row r="874">
      <c r="H874" s="7"/>
    </row>
    <row r="875">
      <c r="H875" s="7"/>
    </row>
    <row r="876">
      <c r="H876" s="7"/>
    </row>
    <row r="877">
      <c r="H877" s="7"/>
    </row>
    <row r="878">
      <c r="H878" s="7"/>
    </row>
    <row r="879">
      <c r="H879" s="7"/>
    </row>
    <row r="880">
      <c r="H880" s="7"/>
    </row>
    <row r="881">
      <c r="H881" s="7"/>
    </row>
    <row r="882">
      <c r="H882" s="7"/>
    </row>
    <row r="883">
      <c r="H883" s="7"/>
    </row>
    <row r="884">
      <c r="H884" s="7"/>
    </row>
    <row r="885">
      <c r="H885" s="7"/>
    </row>
    <row r="886">
      <c r="H886" s="7"/>
    </row>
    <row r="887">
      <c r="H887" s="7"/>
    </row>
    <row r="888">
      <c r="H888" s="7"/>
    </row>
    <row r="889">
      <c r="H889" s="7"/>
    </row>
    <row r="890">
      <c r="H890" s="7"/>
    </row>
    <row r="891">
      <c r="H891" s="7"/>
    </row>
    <row r="892">
      <c r="H892" s="7"/>
    </row>
    <row r="893">
      <c r="H893" s="7"/>
    </row>
    <row r="894">
      <c r="H894" s="7"/>
    </row>
    <row r="895">
      <c r="H895" s="7"/>
    </row>
    <row r="896">
      <c r="H896" s="7"/>
    </row>
    <row r="897">
      <c r="H897" s="7"/>
    </row>
    <row r="898">
      <c r="H898" s="7"/>
    </row>
    <row r="899">
      <c r="H899" s="7"/>
    </row>
    <row r="900">
      <c r="H900" s="7"/>
    </row>
    <row r="901">
      <c r="H901" s="7"/>
    </row>
    <row r="902">
      <c r="H902" s="7"/>
    </row>
    <row r="903">
      <c r="H903" s="7"/>
    </row>
    <row r="904">
      <c r="H904" s="7"/>
    </row>
    <row r="905">
      <c r="H905" s="7"/>
    </row>
    <row r="906">
      <c r="H906" s="7"/>
    </row>
    <row r="907">
      <c r="H907" s="7"/>
    </row>
    <row r="908">
      <c r="H908" s="7"/>
    </row>
    <row r="909">
      <c r="H909" s="7"/>
    </row>
    <row r="910">
      <c r="H910" s="7"/>
    </row>
    <row r="911">
      <c r="H911" s="7"/>
    </row>
    <row r="912">
      <c r="H912" s="7"/>
    </row>
    <row r="913">
      <c r="H913" s="7"/>
    </row>
    <row r="914">
      <c r="H914" s="7"/>
    </row>
    <row r="915">
      <c r="H915" s="7"/>
    </row>
    <row r="916">
      <c r="H916" s="7"/>
    </row>
    <row r="917">
      <c r="H917" s="7"/>
    </row>
    <row r="918">
      <c r="H918" s="7"/>
    </row>
    <row r="919">
      <c r="H919" s="7"/>
    </row>
    <row r="920">
      <c r="H920" s="7"/>
    </row>
    <row r="921">
      <c r="H921" s="7"/>
    </row>
    <row r="922">
      <c r="H922" s="7"/>
    </row>
    <row r="923">
      <c r="H923" s="7"/>
    </row>
    <row r="924">
      <c r="H924" s="7"/>
    </row>
    <row r="925">
      <c r="H925" s="7"/>
    </row>
    <row r="926">
      <c r="H926" s="7"/>
    </row>
    <row r="927">
      <c r="H927" s="7"/>
    </row>
    <row r="928">
      <c r="H928" s="7"/>
    </row>
    <row r="929">
      <c r="H929" s="7"/>
    </row>
    <row r="930">
      <c r="H930" s="7"/>
    </row>
    <row r="931">
      <c r="H931" s="7"/>
    </row>
    <row r="932">
      <c r="H932" s="7"/>
    </row>
    <row r="933">
      <c r="H933" s="7"/>
    </row>
    <row r="934">
      <c r="H934" s="7"/>
    </row>
    <row r="935">
      <c r="H935" s="7"/>
    </row>
    <row r="936">
      <c r="H936" s="7"/>
    </row>
    <row r="937">
      <c r="H937" s="7"/>
    </row>
    <row r="938">
      <c r="H938" s="7"/>
    </row>
    <row r="939">
      <c r="H939" s="7"/>
    </row>
    <row r="940">
      <c r="H940" s="7"/>
    </row>
    <row r="941">
      <c r="H941" s="7"/>
    </row>
    <row r="942">
      <c r="H942" s="7"/>
    </row>
    <row r="943">
      <c r="H943" s="7"/>
    </row>
    <row r="944">
      <c r="H944" s="7"/>
    </row>
    <row r="945">
      <c r="H945" s="7"/>
    </row>
    <row r="946">
      <c r="H946" s="7"/>
    </row>
    <row r="947">
      <c r="H947" s="7"/>
    </row>
    <row r="948">
      <c r="H948" s="7"/>
    </row>
    <row r="949">
      <c r="H949" s="7"/>
    </row>
    <row r="950">
      <c r="H950" s="7"/>
    </row>
    <row r="951">
      <c r="H951" s="7"/>
    </row>
    <row r="952">
      <c r="H952" s="7"/>
    </row>
    <row r="953">
      <c r="H953" s="7"/>
    </row>
    <row r="954">
      <c r="H954" s="7"/>
    </row>
    <row r="955">
      <c r="H955" s="7"/>
    </row>
    <row r="956">
      <c r="H956" s="7"/>
    </row>
    <row r="957">
      <c r="H957" s="7"/>
    </row>
    <row r="958">
      <c r="H958" s="7"/>
    </row>
    <row r="959">
      <c r="H959" s="7"/>
    </row>
    <row r="960">
      <c r="H960" s="7"/>
    </row>
    <row r="961">
      <c r="H961" s="7"/>
    </row>
    <row r="962">
      <c r="H962" s="7"/>
    </row>
    <row r="963">
      <c r="H963" s="7"/>
    </row>
    <row r="964">
      <c r="H964" s="7"/>
    </row>
    <row r="965">
      <c r="H965" s="7"/>
    </row>
    <row r="966">
      <c r="H966" s="7"/>
    </row>
    <row r="967">
      <c r="H967" s="7"/>
    </row>
    <row r="968">
      <c r="H968" s="7"/>
    </row>
    <row r="969">
      <c r="H969" s="7"/>
    </row>
    <row r="970">
      <c r="H970" s="7"/>
    </row>
    <row r="971">
      <c r="H971" s="7"/>
    </row>
    <row r="972">
      <c r="H972" s="7"/>
    </row>
    <row r="973">
      <c r="H973" s="7"/>
    </row>
    <row r="974">
      <c r="H974" s="7"/>
    </row>
    <row r="975">
      <c r="H975" s="7"/>
    </row>
    <row r="976">
      <c r="H976" s="7"/>
    </row>
    <row r="977">
      <c r="H977" s="7"/>
    </row>
    <row r="978">
      <c r="H978" s="7"/>
    </row>
    <row r="979">
      <c r="H979" s="7"/>
    </row>
    <row r="980">
      <c r="H980" s="7"/>
    </row>
    <row r="981">
      <c r="H981" s="7"/>
    </row>
    <row r="982">
      <c r="H982" s="7"/>
    </row>
    <row r="983">
      <c r="H983" s="7"/>
    </row>
    <row r="984">
      <c r="H984" s="7"/>
    </row>
    <row r="985">
      <c r="H985" s="7"/>
    </row>
    <row r="986">
      <c r="H986" s="7"/>
    </row>
    <row r="987">
      <c r="H987" s="7"/>
    </row>
    <row r="988">
      <c r="H988" s="7"/>
    </row>
    <row r="989">
      <c r="H989" s="7"/>
    </row>
    <row r="990">
      <c r="H990" s="7"/>
    </row>
    <row r="991">
      <c r="H991" s="7"/>
    </row>
    <row r="992">
      <c r="H992" s="7"/>
    </row>
    <row r="993">
      <c r="H993" s="7"/>
    </row>
    <row r="994">
      <c r="H994" s="7"/>
    </row>
    <row r="995">
      <c r="H995" s="7"/>
    </row>
    <row r="996">
      <c r="H996" s="7"/>
    </row>
    <row r="997">
      <c r="H997" s="7"/>
    </row>
    <row r="998">
      <c r="H998" s="7"/>
    </row>
    <row r="999">
      <c r="H999" s="7"/>
    </row>
    <row r="1000">
      <c r="H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7" max="7" width="33.38"/>
  </cols>
  <sheetData>
    <row r="1">
      <c r="A1" s="8" t="str">
        <f>IFERROR(__xludf.DUMMYFUNCTION("IMPORTRANGE(""https://docs.google.com/spreadsheets/d/1zs_5yuCDBSuzNfg8ffFCOx-3J02TNQ7tXv7z2UvMQuM"",""bugtab_sp3"")"),"Bug ID")</f>
        <v>Bug ID</v>
      </c>
      <c r="B1" s="1" t="str">
        <f>IFERROR(__xludf.DUMMYFUNCTION("""COMPUTED_VALUE"""),"Priority")</f>
        <v>Priority</v>
      </c>
      <c r="C1" s="9" t="str">
        <f>IFERROR(__xludf.DUMMYFUNCTION("""COMPUTED_VALUE"""),"Opened")</f>
        <v>Opened</v>
      </c>
      <c r="D1" s="1" t="str">
        <f>IFERROR(__xludf.DUMMYFUNCTION("""COMPUTED_VALUE"""),"Status")</f>
        <v>Status</v>
      </c>
      <c r="E1" s="1" t="str">
        <f>IFERROR(__xludf.DUMMYFUNCTION("""COMPUTED_VALUE"""),"Changed")</f>
        <v>Changed</v>
      </c>
      <c r="F1" s="1" t="str">
        <f>IFERROR(__xludf.DUMMYFUNCTION("""COMPUTED_VALUE"""),"Blocker")</f>
        <v>Blocker</v>
      </c>
      <c r="G1" s="1" t="str">
        <f>IFERROR(__xludf.DUMMYFUNCTION("""COMPUTED_VALUE"""),"Product")</f>
        <v>Product</v>
      </c>
      <c r="H1" s="2" t="s">
        <v>0</v>
      </c>
      <c r="I1" s="2" t="s">
        <v>1</v>
      </c>
      <c r="J1" s="3">
        <v>44238.0</v>
      </c>
      <c r="K1" s="3">
        <v>44244.0</v>
      </c>
    </row>
    <row r="2">
      <c r="A2" s="4">
        <f>IFERROR(__xludf.DUMMYFUNCTION("""COMPUTED_VALUE"""),1183225.0)</f>
        <v>1183225</v>
      </c>
      <c r="B2" s="4" t="str">
        <f>IFERROR(__xludf.DUMMYFUNCTION("""COMPUTED_VALUE"""),"P1 - Urgent")</f>
        <v>P1 - Urgent</v>
      </c>
      <c r="C2" s="5">
        <f>IFERROR(__xludf.DUMMYFUNCTION("""COMPUTED_VALUE"""),44264.47335648148)</f>
        <v>44264.47336</v>
      </c>
      <c r="D2" s="4" t="str">
        <f>IFERROR(__xludf.DUMMYFUNCTION("""COMPUTED_VALUE"""),"RESOLVED")</f>
        <v>RESOLVED</v>
      </c>
      <c r="E2" s="6">
        <f>IFERROR(__xludf.DUMMYFUNCTION("""COMPUTED_VALUE"""),44384.877650462964)</f>
        <v>44384.87765</v>
      </c>
      <c r="F2" s="4" t="str">
        <f>IFERROR(__xludf.DUMMYFUNCTION("""COMPUTED_VALUE""")," ---")</f>
        <v> ---</v>
      </c>
      <c r="G2" s="4" t="str">
        <f>IFERROR(__xludf.DUMMYFUNCTION("""COMPUTED_VALUE"""),"SUSE Linux Enterprise Server 15 SP3")</f>
        <v>SUSE Linux Enterprise Server 15 SP3</v>
      </c>
      <c r="H2" s="7" t="str">
        <f t="shared" ref="H2:H473" si="2">IF(AND(GTE(C2,DATEVALUE("24/12/2020")), LTE(C2,DATEVALUE("06/01/2021"))), "YES", "NO")</f>
        <v>NO</v>
      </c>
      <c r="I2" s="7" t="str">
        <f t="shared" ref="I2:I473" si="3">IF(AND(GTE($C2,DATEVALUE($J$1)), LTE($C2,DATEVALUE($K$1))), "YES", "NO")</f>
        <v>NO</v>
      </c>
      <c r="J2" s="4">
        <f t="shared" ref="J2:K2" si="1">WEEKNUM(J1)</f>
        <v>7</v>
      </c>
      <c r="K2" s="4">
        <f t="shared" si="1"/>
        <v>8</v>
      </c>
    </row>
    <row r="3">
      <c r="A3" s="4">
        <f>IFERROR(__xludf.DUMMYFUNCTION("""COMPUTED_VALUE"""),1178366.0)</f>
        <v>1178366</v>
      </c>
      <c r="B3" s="4" t="str">
        <f>IFERROR(__xludf.DUMMYFUNCTION("""COMPUTED_VALUE"""),"P1 - Urgent")</f>
        <v>P1 - Urgent</v>
      </c>
      <c r="C3" s="5">
        <f>IFERROR(__xludf.DUMMYFUNCTION("""COMPUTED_VALUE"""),44137.867314814815)</f>
        <v>44137.86731</v>
      </c>
      <c r="D3" s="4" t="str">
        <f>IFERROR(__xludf.DUMMYFUNCTION("""COMPUTED_VALUE"""),"RESOLVED")</f>
        <v>RESOLVED</v>
      </c>
      <c r="E3" s="6">
        <f>IFERROR(__xludf.DUMMYFUNCTION("""COMPUTED_VALUE"""),44668.49010416667)</f>
        <v>44668.4901</v>
      </c>
      <c r="F3" s="4" t="str">
        <f>IFERROR(__xludf.DUMMYFUNCTION("""COMPUTED_VALUE""")," ---")</f>
        <v> ---</v>
      </c>
      <c r="G3" s="4" t="str">
        <f>IFERROR(__xludf.DUMMYFUNCTION("""COMPUTED_VALUE"""),"SUSE Linux Enterprise Server for SAP Applications 15 SP3")</f>
        <v>SUSE Linux Enterprise Server for SAP Applications 15 SP3</v>
      </c>
      <c r="H3" s="7" t="str">
        <f t="shared" si="2"/>
        <v>NO</v>
      </c>
      <c r="I3" s="7" t="str">
        <f t="shared" si="3"/>
        <v>NO</v>
      </c>
    </row>
    <row r="4">
      <c r="A4" s="4">
        <f>IFERROR(__xludf.DUMMYFUNCTION("""COMPUTED_VALUE"""),1183746.0)</f>
        <v>1183746</v>
      </c>
      <c r="B4" s="4" t="str">
        <f>IFERROR(__xludf.DUMMYFUNCTION("""COMPUTED_VALUE"""),"P1 - Urgent")</f>
        <v>P1 - Urgent</v>
      </c>
      <c r="C4" s="5">
        <f>IFERROR(__xludf.DUMMYFUNCTION("""COMPUTED_VALUE"""),44274.13695601852)</f>
        <v>44274.13696</v>
      </c>
      <c r="D4" s="4" t="str">
        <f>IFERROR(__xludf.DUMMYFUNCTION("""COMPUTED_VALUE"""),"RESOLVED")</f>
        <v>RESOLVED</v>
      </c>
      <c r="E4" s="6">
        <f>IFERROR(__xludf.DUMMYFUNCTION("""COMPUTED_VALUE"""),44384.88181712963)</f>
        <v>44384.88182</v>
      </c>
      <c r="F4" s="4" t="str">
        <f>IFERROR(__xludf.DUMMYFUNCTION("""COMPUTED_VALUE""")," ---")</f>
        <v> ---</v>
      </c>
      <c r="G4" s="4" t="str">
        <f>IFERROR(__xludf.DUMMYFUNCTION("""COMPUTED_VALUE"""),"SUSE Linux Enterprise Server 15 SP3")</f>
        <v>SUSE Linux Enterprise Server 15 SP3</v>
      </c>
      <c r="H4" s="7" t="str">
        <f t="shared" si="2"/>
        <v>NO</v>
      </c>
      <c r="I4" s="7" t="str">
        <f t="shared" si="3"/>
        <v>NO</v>
      </c>
    </row>
    <row r="5">
      <c r="A5" s="4">
        <f>IFERROR(__xludf.DUMMYFUNCTION("""COMPUTED_VALUE"""),1181787.0)</f>
        <v>1181787</v>
      </c>
      <c r="B5" s="4" t="str">
        <f>IFERROR(__xludf.DUMMYFUNCTION("""COMPUTED_VALUE"""),"P1 - Urgent")</f>
        <v>P1 - Urgent</v>
      </c>
      <c r="C5" s="5">
        <f>IFERROR(__xludf.DUMMYFUNCTION("""COMPUTED_VALUE"""),44231.4184375)</f>
        <v>44231.41844</v>
      </c>
      <c r="D5" s="4" t="str">
        <f>IFERROR(__xludf.DUMMYFUNCTION("""COMPUTED_VALUE"""),"RESOLVED")</f>
        <v>RESOLVED</v>
      </c>
      <c r="E5" s="6">
        <f>IFERROR(__xludf.DUMMYFUNCTION("""COMPUTED_VALUE"""),44384.86997685185)</f>
        <v>44384.86998</v>
      </c>
      <c r="F5" s="4" t="str">
        <f>IFERROR(__xludf.DUMMYFUNCTION("""COMPUTED_VALUE""")," ---")</f>
        <v> ---</v>
      </c>
      <c r="G5" s="4" t="str">
        <f>IFERROR(__xludf.DUMMYFUNCTION("""COMPUTED_VALUE"""),"SUSE Linux Enterprise Server 15 SP3")</f>
        <v>SUSE Linux Enterprise Server 15 SP3</v>
      </c>
      <c r="H5" s="7" t="str">
        <f t="shared" si="2"/>
        <v>NO</v>
      </c>
      <c r="I5" s="7" t="str">
        <f t="shared" si="3"/>
        <v>NO</v>
      </c>
    </row>
    <row r="6">
      <c r="A6" s="4">
        <f>IFERROR(__xludf.DUMMYFUNCTION("""COMPUTED_VALUE"""),1177589.0)</f>
        <v>1177589</v>
      </c>
      <c r="B6" s="4" t="str">
        <f>IFERROR(__xludf.DUMMYFUNCTION("""COMPUTED_VALUE"""),"P1 - Urgent")</f>
        <v>P1 - Urgent</v>
      </c>
      <c r="C6" s="5">
        <f>IFERROR(__xludf.DUMMYFUNCTION("""COMPUTED_VALUE"""),44116.53461805556)</f>
        <v>44116.53462</v>
      </c>
      <c r="D6" s="4" t="str">
        <f>IFERROR(__xludf.DUMMYFUNCTION("""COMPUTED_VALUE"""),"RESOLVED")</f>
        <v>RESOLVED</v>
      </c>
      <c r="E6" s="6">
        <f>IFERROR(__xludf.DUMMYFUNCTION("""COMPUTED_VALUE"""),44365.26626157408)</f>
        <v>44365.26626</v>
      </c>
      <c r="F6" s="4" t="str">
        <f>IFERROR(__xludf.DUMMYFUNCTION("""COMPUTED_VALUE""")," ---")</f>
        <v> ---</v>
      </c>
      <c r="G6" s="4" t="str">
        <f>IFERROR(__xludf.DUMMYFUNCTION("""COMPUTED_VALUE"""),"SUSE Linux Enterprise Server 15 SP3")</f>
        <v>SUSE Linux Enterprise Server 15 SP3</v>
      </c>
      <c r="H6" s="7" t="str">
        <f t="shared" si="2"/>
        <v>NO</v>
      </c>
      <c r="I6" s="7" t="str">
        <f t="shared" si="3"/>
        <v>NO</v>
      </c>
    </row>
    <row r="7">
      <c r="A7" s="4">
        <f>IFERROR(__xludf.DUMMYFUNCTION("""COMPUTED_VALUE"""),1183386.0)</f>
        <v>1183386</v>
      </c>
      <c r="B7" s="4" t="str">
        <f>IFERROR(__xludf.DUMMYFUNCTION("""COMPUTED_VALUE"""),"P1 - Urgent")</f>
        <v>P1 - Urgent</v>
      </c>
      <c r="C7" s="5">
        <f>IFERROR(__xludf.DUMMYFUNCTION("""COMPUTED_VALUE"""),44266.563206018516)</f>
        <v>44266.56321</v>
      </c>
      <c r="D7" s="4" t="str">
        <f>IFERROR(__xludf.DUMMYFUNCTION("""COMPUTED_VALUE"""),"RESOLVED")</f>
        <v>RESOLVED</v>
      </c>
      <c r="E7" s="6">
        <f>IFERROR(__xludf.DUMMYFUNCTION("""COMPUTED_VALUE"""),44388.72351851852)</f>
        <v>44388.72352</v>
      </c>
      <c r="F7" s="4" t="str">
        <f>IFERROR(__xludf.DUMMYFUNCTION("""COMPUTED_VALUE""")," ---")</f>
        <v> ---</v>
      </c>
      <c r="G7" s="4" t="str">
        <f>IFERROR(__xludf.DUMMYFUNCTION("""COMPUTED_VALUE"""),"SUSE Linux Enterprise Server 15 SP3")</f>
        <v>SUSE Linux Enterprise Server 15 SP3</v>
      </c>
      <c r="H7" s="7" t="str">
        <f t="shared" si="2"/>
        <v>NO</v>
      </c>
      <c r="I7" s="7" t="str">
        <f t="shared" si="3"/>
        <v>NO</v>
      </c>
    </row>
    <row r="8">
      <c r="A8" s="4">
        <f>IFERROR(__xludf.DUMMYFUNCTION("""COMPUTED_VALUE"""),1177095.0)</f>
        <v>1177095</v>
      </c>
      <c r="B8" s="4" t="str">
        <f>IFERROR(__xludf.DUMMYFUNCTION("""COMPUTED_VALUE"""),"P1 - Urgent")</f>
        <v>P1 - Urgent</v>
      </c>
      <c r="C8" s="5">
        <f>IFERROR(__xludf.DUMMYFUNCTION("""COMPUTED_VALUE"""),44103.60344907407)</f>
        <v>44103.60345</v>
      </c>
      <c r="D8" s="4" t="str">
        <f>IFERROR(__xludf.DUMMYFUNCTION("""COMPUTED_VALUE"""),"RESOLVED")</f>
        <v>RESOLVED</v>
      </c>
      <c r="E8" s="6">
        <f>IFERROR(__xludf.DUMMYFUNCTION("""COMPUTED_VALUE"""),44384.85061342592)</f>
        <v>44384.85061</v>
      </c>
      <c r="F8" s="4" t="str">
        <f>IFERROR(__xludf.DUMMYFUNCTION("""COMPUTED_VALUE""")," ---")</f>
        <v> ---</v>
      </c>
      <c r="G8" s="4" t="str">
        <f>IFERROR(__xludf.DUMMYFUNCTION("""COMPUTED_VALUE"""),"SUSE Linux Enterprise Server 15 SP3")</f>
        <v>SUSE Linux Enterprise Server 15 SP3</v>
      </c>
      <c r="H8" s="7" t="str">
        <f t="shared" si="2"/>
        <v>NO</v>
      </c>
      <c r="I8" s="7" t="str">
        <f t="shared" si="3"/>
        <v>NO</v>
      </c>
    </row>
    <row r="9">
      <c r="A9" s="4">
        <f>IFERROR(__xludf.DUMMYFUNCTION("""COMPUTED_VALUE"""),1184470.0)</f>
        <v>1184470</v>
      </c>
      <c r="B9" s="4" t="str">
        <f>IFERROR(__xludf.DUMMYFUNCTION("""COMPUTED_VALUE"""),"P1 - Urgent")</f>
        <v>P1 - Urgent</v>
      </c>
      <c r="C9" s="5">
        <f>IFERROR(__xludf.DUMMYFUNCTION("""COMPUTED_VALUE"""),44293.86105324074)</f>
        <v>44293.86105</v>
      </c>
      <c r="D9" s="4" t="str">
        <f>IFERROR(__xludf.DUMMYFUNCTION("""COMPUTED_VALUE"""),"RESOLVED")</f>
        <v>RESOLVED</v>
      </c>
      <c r="E9" s="6">
        <f>IFERROR(__xludf.DUMMYFUNCTION("""COMPUTED_VALUE"""),44536.434699074074)</f>
        <v>44536.4347</v>
      </c>
      <c r="F9" s="4" t="str">
        <f>IFERROR(__xludf.DUMMYFUNCTION("""COMPUTED_VALUE""")," ---")</f>
        <v> ---</v>
      </c>
      <c r="G9" s="4" t="str">
        <f>IFERROR(__xludf.DUMMYFUNCTION("""COMPUTED_VALUE"""),"SUSE Linux Enterprise Server 15 SP3")</f>
        <v>SUSE Linux Enterprise Server 15 SP3</v>
      </c>
      <c r="H9" s="7" t="str">
        <f t="shared" si="2"/>
        <v>NO</v>
      </c>
      <c r="I9" s="7" t="str">
        <f t="shared" si="3"/>
        <v>NO</v>
      </c>
    </row>
    <row r="10">
      <c r="A10" s="4">
        <f>IFERROR(__xludf.DUMMYFUNCTION("""COMPUTED_VALUE"""),1180889.0)</f>
        <v>1180889</v>
      </c>
      <c r="B10" s="4" t="str">
        <f>IFERROR(__xludf.DUMMYFUNCTION("""COMPUTED_VALUE"""),"P1 - Urgent")</f>
        <v>P1 - Urgent</v>
      </c>
      <c r="C10" s="5">
        <f>IFERROR(__xludf.DUMMYFUNCTION("""COMPUTED_VALUE"""),44209.56334490741)</f>
        <v>44209.56334</v>
      </c>
      <c r="D10" s="4" t="str">
        <f>IFERROR(__xludf.DUMMYFUNCTION("""COMPUTED_VALUE"""),"RESOLVED")</f>
        <v>RESOLVED</v>
      </c>
      <c r="E10" s="6">
        <f>IFERROR(__xludf.DUMMYFUNCTION("""COMPUTED_VALUE"""),44384.8659375)</f>
        <v>44384.86594</v>
      </c>
      <c r="F10" s="4" t="str">
        <f>IFERROR(__xludf.DUMMYFUNCTION("""COMPUTED_VALUE""")," ---")</f>
        <v> ---</v>
      </c>
      <c r="G10" s="4" t="str">
        <f>IFERROR(__xludf.DUMMYFUNCTION("""COMPUTED_VALUE"""),"SUSE Linux Enterprise Server 15 SP3")</f>
        <v>SUSE Linux Enterprise Server 15 SP3</v>
      </c>
      <c r="H10" s="7" t="str">
        <f t="shared" si="2"/>
        <v>NO</v>
      </c>
      <c r="I10" s="7" t="str">
        <f t="shared" si="3"/>
        <v>NO</v>
      </c>
    </row>
    <row r="11">
      <c r="A11" s="4">
        <f>IFERROR(__xludf.DUMMYFUNCTION("""COMPUTED_VALUE"""),1177185.0)</f>
        <v>1177185</v>
      </c>
      <c r="B11" s="4" t="str">
        <f>IFERROR(__xludf.DUMMYFUNCTION("""COMPUTED_VALUE"""),"P1 - Urgent")</f>
        <v>P1 - Urgent</v>
      </c>
      <c r="C11" s="5">
        <f>IFERROR(__xludf.DUMMYFUNCTION("""COMPUTED_VALUE"""),44105.46145833333)</f>
        <v>44105.46146</v>
      </c>
      <c r="D11" s="4" t="str">
        <f>IFERROR(__xludf.DUMMYFUNCTION("""COMPUTED_VALUE"""),"RESOLVED")</f>
        <v>RESOLVED</v>
      </c>
      <c r="E11" s="6">
        <f>IFERROR(__xludf.DUMMYFUNCTION("""COMPUTED_VALUE"""),44384.85105324074)</f>
        <v>44384.85105</v>
      </c>
      <c r="F11" s="4" t="str">
        <f>IFERROR(__xludf.DUMMYFUNCTION("""COMPUTED_VALUE""")," ---")</f>
        <v> ---</v>
      </c>
      <c r="G11" s="4" t="str">
        <f>IFERROR(__xludf.DUMMYFUNCTION("""COMPUTED_VALUE"""),"SUSE Linux Enterprise Server 15 SP3")</f>
        <v>SUSE Linux Enterprise Server 15 SP3</v>
      </c>
      <c r="H11" s="7" t="str">
        <f t="shared" si="2"/>
        <v>NO</v>
      </c>
      <c r="I11" s="7" t="str">
        <f t="shared" si="3"/>
        <v>NO</v>
      </c>
    </row>
    <row r="12">
      <c r="A12" s="4">
        <f>IFERROR(__xludf.DUMMYFUNCTION("""COMPUTED_VALUE"""),1178404.0)</f>
        <v>1178404</v>
      </c>
      <c r="B12" s="4" t="str">
        <f>IFERROR(__xludf.DUMMYFUNCTION("""COMPUTED_VALUE"""),"P1 - Urgent")</f>
        <v>P1 - Urgent</v>
      </c>
      <c r="C12" s="5">
        <f>IFERROR(__xludf.DUMMYFUNCTION("""COMPUTED_VALUE"""),44138.70230324074)</f>
        <v>44138.7023</v>
      </c>
      <c r="D12" s="4" t="str">
        <f>IFERROR(__xludf.DUMMYFUNCTION("""COMPUTED_VALUE"""),"RESOLVED")</f>
        <v>RESOLVED</v>
      </c>
      <c r="E12" s="6">
        <f>IFERROR(__xludf.DUMMYFUNCTION("""COMPUTED_VALUE"""),44384.85680555556)</f>
        <v>44384.85681</v>
      </c>
      <c r="F12" s="4" t="str">
        <f>IFERROR(__xludf.DUMMYFUNCTION("""COMPUTED_VALUE""")," ---")</f>
        <v> ---</v>
      </c>
      <c r="G12" s="4" t="str">
        <f>IFERROR(__xludf.DUMMYFUNCTION("""COMPUTED_VALUE"""),"SUSE Linux Enterprise Server 15 SP3")</f>
        <v>SUSE Linux Enterprise Server 15 SP3</v>
      </c>
      <c r="H12" s="7" t="str">
        <f t="shared" si="2"/>
        <v>NO</v>
      </c>
      <c r="I12" s="7" t="str">
        <f t="shared" si="3"/>
        <v>NO</v>
      </c>
    </row>
    <row r="13">
      <c r="A13" s="4">
        <f>IFERROR(__xludf.DUMMYFUNCTION("""COMPUTED_VALUE"""),1180347.0)</f>
        <v>1180347</v>
      </c>
      <c r="B13" s="4" t="str">
        <f>IFERROR(__xludf.DUMMYFUNCTION("""COMPUTED_VALUE"""),"P1 - Urgent")</f>
        <v>P1 - Urgent</v>
      </c>
      <c r="C13" s="5">
        <f>IFERROR(__xludf.DUMMYFUNCTION("""COMPUTED_VALUE"""),44190.1544212963)</f>
        <v>44190.15442</v>
      </c>
      <c r="D13" s="4" t="str">
        <f>IFERROR(__xludf.DUMMYFUNCTION("""COMPUTED_VALUE"""),"RESOLVED")</f>
        <v>RESOLVED</v>
      </c>
      <c r="E13" s="6">
        <f>IFERROR(__xludf.DUMMYFUNCTION("""COMPUTED_VALUE"""),44482.68082175926)</f>
        <v>44482.68082</v>
      </c>
      <c r="F13" s="4" t="str">
        <f>IFERROR(__xludf.DUMMYFUNCTION("""COMPUTED_VALUE""")," ---")</f>
        <v> ---</v>
      </c>
      <c r="G13" s="4" t="str">
        <f>IFERROR(__xludf.DUMMYFUNCTION("""COMPUTED_VALUE"""),"SUSE Linux Enterprise Server 15 SP3")</f>
        <v>SUSE Linux Enterprise Server 15 SP3</v>
      </c>
      <c r="H13" s="7" t="str">
        <f t="shared" si="2"/>
        <v>YES</v>
      </c>
      <c r="I13" s="7" t="str">
        <f t="shared" si="3"/>
        <v>NO</v>
      </c>
    </row>
    <row r="14">
      <c r="A14" s="4">
        <f>IFERROR(__xludf.DUMMYFUNCTION("""COMPUTED_VALUE"""),1182348.0)</f>
        <v>1182348</v>
      </c>
      <c r="B14" s="4" t="str">
        <f>IFERROR(__xludf.DUMMYFUNCTION("""COMPUTED_VALUE"""),"P1 - Urgent")</f>
        <v>P1 - Urgent</v>
      </c>
      <c r="C14" s="5">
        <f>IFERROR(__xludf.DUMMYFUNCTION("""COMPUTED_VALUE"""),44244.310381944444)</f>
        <v>44244.31038</v>
      </c>
      <c r="D14" s="4" t="str">
        <f>IFERROR(__xludf.DUMMYFUNCTION("""COMPUTED_VALUE"""),"RESOLVED")</f>
        <v>RESOLVED</v>
      </c>
      <c r="E14" s="6">
        <f>IFERROR(__xludf.DUMMYFUNCTION("""COMPUTED_VALUE"""),44365.266539351855)</f>
        <v>44365.26654</v>
      </c>
      <c r="F14" s="4" t="str">
        <f>IFERROR(__xludf.DUMMYFUNCTION("""COMPUTED_VALUE""")," ---")</f>
        <v> ---</v>
      </c>
      <c r="G14" s="4" t="str">
        <f>IFERROR(__xludf.DUMMYFUNCTION("""COMPUTED_VALUE"""),"SUSE Linux Enterprise Server 15 SP3")</f>
        <v>SUSE Linux Enterprise Server 15 SP3</v>
      </c>
      <c r="H14" s="7" t="str">
        <f t="shared" si="2"/>
        <v>NO</v>
      </c>
      <c r="I14" s="7" t="str">
        <f t="shared" si="3"/>
        <v>NO</v>
      </c>
    </row>
    <row r="15">
      <c r="A15" s="4">
        <f>IFERROR(__xludf.DUMMYFUNCTION("""COMPUTED_VALUE"""),1183577.0)</f>
        <v>1183577</v>
      </c>
      <c r="B15" s="4" t="str">
        <f>IFERROR(__xludf.DUMMYFUNCTION("""COMPUTED_VALUE"""),"P1 - Urgent")</f>
        <v>P1 - Urgent</v>
      </c>
      <c r="C15" s="5">
        <f>IFERROR(__xludf.DUMMYFUNCTION("""COMPUTED_VALUE"""),44271.384722222225)</f>
        <v>44271.38472</v>
      </c>
      <c r="D15" s="4" t="str">
        <f>IFERROR(__xludf.DUMMYFUNCTION("""COMPUTED_VALUE"""),"RESOLVED")</f>
        <v>RESOLVED</v>
      </c>
      <c r="E15" s="6">
        <f>IFERROR(__xludf.DUMMYFUNCTION("""COMPUTED_VALUE"""),44365.26497685185)</f>
        <v>44365.26498</v>
      </c>
      <c r="F15" s="4" t="str">
        <f>IFERROR(__xludf.DUMMYFUNCTION("""COMPUTED_VALUE""")," ---")</f>
        <v> ---</v>
      </c>
      <c r="G15" s="4" t="str">
        <f>IFERROR(__xludf.DUMMYFUNCTION("""COMPUTED_VALUE"""),"SUSE Linux Enterprise Server 15 SP3")</f>
        <v>SUSE Linux Enterprise Server 15 SP3</v>
      </c>
      <c r="H15" s="7" t="str">
        <f t="shared" si="2"/>
        <v>NO</v>
      </c>
      <c r="I15" s="7" t="str">
        <f t="shared" si="3"/>
        <v>NO</v>
      </c>
    </row>
    <row r="16">
      <c r="A16" s="4">
        <f>IFERROR(__xludf.DUMMYFUNCTION("""COMPUTED_VALUE"""),1184111.0)</f>
        <v>1184111</v>
      </c>
      <c r="B16" s="4" t="str">
        <f>IFERROR(__xludf.DUMMYFUNCTION("""COMPUTED_VALUE"""),"P1 - Urgent")</f>
        <v>P1 - Urgent</v>
      </c>
      <c r="C16" s="5">
        <f>IFERROR(__xludf.DUMMYFUNCTION("""COMPUTED_VALUE"""),44284.38381944445)</f>
        <v>44284.38382</v>
      </c>
      <c r="D16" s="4" t="str">
        <f>IFERROR(__xludf.DUMMYFUNCTION("""COMPUTED_VALUE"""),"RESOLVED")</f>
        <v>RESOLVED</v>
      </c>
      <c r="E16" s="6">
        <f>IFERROR(__xludf.DUMMYFUNCTION("""COMPUTED_VALUE"""),44384.88319444445)</f>
        <v>44384.88319</v>
      </c>
      <c r="F16" s="4" t="str">
        <f>IFERROR(__xludf.DUMMYFUNCTION("""COMPUTED_VALUE""")," ---")</f>
        <v> ---</v>
      </c>
      <c r="G16" s="4" t="str">
        <f>IFERROR(__xludf.DUMMYFUNCTION("""COMPUTED_VALUE"""),"SUSE Linux Enterprise Server 15 SP3")</f>
        <v>SUSE Linux Enterprise Server 15 SP3</v>
      </c>
      <c r="H16" s="7" t="str">
        <f t="shared" si="2"/>
        <v>NO</v>
      </c>
      <c r="I16" s="7" t="str">
        <f t="shared" si="3"/>
        <v>NO</v>
      </c>
    </row>
    <row r="17">
      <c r="A17" s="4">
        <f>IFERROR(__xludf.DUMMYFUNCTION("""COMPUTED_VALUE"""),1185038.0)</f>
        <v>1185038</v>
      </c>
      <c r="B17" s="4" t="str">
        <f>IFERROR(__xludf.DUMMYFUNCTION("""COMPUTED_VALUE"""),"P1 - Urgent")</f>
        <v>P1 - Urgent</v>
      </c>
      <c r="C17" s="5">
        <f>IFERROR(__xludf.DUMMYFUNCTION("""COMPUTED_VALUE"""),44306.75568287037)</f>
        <v>44306.75568</v>
      </c>
      <c r="D17" s="4" t="str">
        <f>IFERROR(__xludf.DUMMYFUNCTION("""COMPUTED_VALUE"""),"RESOLVED")</f>
        <v>RESOLVED</v>
      </c>
      <c r="E17" s="6">
        <f>IFERROR(__xludf.DUMMYFUNCTION("""COMPUTED_VALUE"""),44545.40282407407)</f>
        <v>44545.40282</v>
      </c>
      <c r="F17" s="4" t="str">
        <f>IFERROR(__xludf.DUMMYFUNCTION("""COMPUTED_VALUE""")," ---")</f>
        <v> ---</v>
      </c>
      <c r="G17" s="4" t="str">
        <f>IFERROR(__xludf.DUMMYFUNCTION("""COMPUTED_VALUE"""),"SUSE Linux Enterprise Server 15 SP3")</f>
        <v>SUSE Linux Enterprise Server 15 SP3</v>
      </c>
      <c r="H17" s="7" t="str">
        <f t="shared" si="2"/>
        <v>NO</v>
      </c>
      <c r="I17" s="7" t="str">
        <f t="shared" si="3"/>
        <v>NO</v>
      </c>
    </row>
    <row r="18">
      <c r="A18" s="4">
        <f>IFERROR(__xludf.DUMMYFUNCTION("""COMPUTED_VALUE"""),1185832.0)</f>
        <v>1185832</v>
      </c>
      <c r="B18" s="4" t="str">
        <f>IFERROR(__xludf.DUMMYFUNCTION("""COMPUTED_VALUE"""),"P1 - Urgent")</f>
        <v>P1 - Urgent</v>
      </c>
      <c r="C18" s="5">
        <f>IFERROR(__xludf.DUMMYFUNCTION("""COMPUTED_VALUE"""),44326.418217592596)</f>
        <v>44326.41822</v>
      </c>
      <c r="D18" s="4" t="str">
        <f>IFERROR(__xludf.DUMMYFUNCTION("""COMPUTED_VALUE"""),"RESOLVED")</f>
        <v>RESOLVED</v>
      </c>
      <c r="E18" s="6">
        <f>IFERROR(__xludf.DUMMYFUNCTION("""COMPUTED_VALUE"""),44365.26200231481)</f>
        <v>44365.262</v>
      </c>
      <c r="F18" s="4" t="str">
        <f>IFERROR(__xludf.DUMMYFUNCTION("""COMPUTED_VALUE""")," ---")</f>
        <v> ---</v>
      </c>
      <c r="G18" s="4" t="str">
        <f>IFERROR(__xludf.DUMMYFUNCTION("""COMPUTED_VALUE"""),"SUSE Linux Enterprise Server 15 SP3")</f>
        <v>SUSE Linux Enterprise Server 15 SP3</v>
      </c>
      <c r="H18" s="7" t="str">
        <f t="shared" si="2"/>
        <v>NO</v>
      </c>
      <c r="I18" s="7" t="str">
        <f t="shared" si="3"/>
        <v>NO</v>
      </c>
    </row>
    <row r="19">
      <c r="A19" s="4">
        <f>IFERROR(__xludf.DUMMYFUNCTION("""COMPUTED_VALUE"""),1187711.0)</f>
        <v>1187711</v>
      </c>
      <c r="B19" s="4" t="str">
        <f>IFERROR(__xludf.DUMMYFUNCTION("""COMPUTED_VALUE"""),"P1 - Urgent")</f>
        <v>P1 - Urgent</v>
      </c>
      <c r="C19" s="5">
        <f>IFERROR(__xludf.DUMMYFUNCTION("""COMPUTED_VALUE"""),44372.385243055556)</f>
        <v>44372.38524</v>
      </c>
      <c r="D19" s="4" t="str">
        <f>IFERROR(__xludf.DUMMYFUNCTION("""COMPUTED_VALUE"""),"RESOLVED")</f>
        <v>RESOLVED</v>
      </c>
      <c r="E19" s="6">
        <f>IFERROR(__xludf.DUMMYFUNCTION("""COMPUTED_VALUE"""),44384.898726851854)</f>
        <v>44384.89873</v>
      </c>
      <c r="F19" s="4" t="str">
        <f>IFERROR(__xludf.DUMMYFUNCTION("""COMPUTED_VALUE"""),"Yes")</f>
        <v>Yes</v>
      </c>
      <c r="G19" s="4" t="str">
        <f>IFERROR(__xludf.DUMMYFUNCTION("""COMPUTED_VALUE"""),"SUSE Linux Enterprise Server 15 SP3")</f>
        <v>SUSE Linux Enterprise Server 15 SP3</v>
      </c>
      <c r="H19" s="7" t="str">
        <f t="shared" si="2"/>
        <v>NO</v>
      </c>
      <c r="I19" s="7" t="str">
        <f t="shared" si="3"/>
        <v>NO</v>
      </c>
    </row>
    <row r="20">
      <c r="A20" s="4">
        <f>IFERROR(__xludf.DUMMYFUNCTION("""COMPUTED_VALUE"""),1187747.0)</f>
        <v>1187747</v>
      </c>
      <c r="B20" s="4" t="str">
        <f>IFERROR(__xludf.DUMMYFUNCTION("""COMPUTED_VALUE"""),"P1 - Urgent")</f>
        <v>P1 - Urgent</v>
      </c>
      <c r="C20" s="5">
        <f>IFERROR(__xludf.DUMMYFUNCTION("""COMPUTED_VALUE"""),44375.33888888889)</f>
        <v>44375.33889</v>
      </c>
      <c r="D20" s="4" t="str">
        <f>IFERROR(__xludf.DUMMYFUNCTION("""COMPUTED_VALUE"""),"RESOLVED")</f>
        <v>RESOLVED</v>
      </c>
      <c r="E20" s="6">
        <f>IFERROR(__xludf.DUMMYFUNCTION("""COMPUTED_VALUE"""),44375.597291666665)</f>
        <v>44375.59729</v>
      </c>
      <c r="F20" s="4" t="str">
        <f>IFERROR(__xludf.DUMMYFUNCTION("""COMPUTED_VALUE"""),"Yes")</f>
        <v>Yes</v>
      </c>
      <c r="G20" s="4" t="str">
        <f>IFERROR(__xludf.DUMMYFUNCTION("""COMPUTED_VALUE"""),"PUBLIC SUSE Linux Enterprise Server 15 SP3")</f>
        <v>PUBLIC SUSE Linux Enterprise Server 15 SP3</v>
      </c>
      <c r="H20" s="7" t="str">
        <f t="shared" si="2"/>
        <v>NO</v>
      </c>
      <c r="I20" s="7" t="str">
        <f t="shared" si="3"/>
        <v>NO</v>
      </c>
    </row>
    <row r="21">
      <c r="A21" s="4">
        <f>IFERROR(__xludf.DUMMYFUNCTION("""COMPUTED_VALUE"""),1187750.0)</f>
        <v>1187750</v>
      </c>
      <c r="B21" s="4" t="str">
        <f>IFERROR(__xludf.DUMMYFUNCTION("""COMPUTED_VALUE"""),"P1 - Urgent")</f>
        <v>P1 - Urgent</v>
      </c>
      <c r="C21" s="5">
        <f>IFERROR(__xludf.DUMMYFUNCTION("""COMPUTED_VALUE"""),44375.347083333334)</f>
        <v>44375.34708</v>
      </c>
      <c r="D21" s="4" t="str">
        <f>IFERROR(__xludf.DUMMYFUNCTION("""COMPUTED_VALUE"""),"RESOLVED")</f>
        <v>RESOLVED</v>
      </c>
      <c r="E21" s="6">
        <f>IFERROR(__xludf.DUMMYFUNCTION("""COMPUTED_VALUE"""),44375.38150462963)</f>
        <v>44375.3815</v>
      </c>
      <c r="F21" s="4" t="str">
        <f>IFERROR(__xludf.DUMMYFUNCTION("""COMPUTED_VALUE"""),"Yes")</f>
        <v>Yes</v>
      </c>
      <c r="G21" s="4" t="str">
        <f>IFERROR(__xludf.DUMMYFUNCTION("""COMPUTED_VALUE"""),"PUBLIC SUSE Linux Enterprise Server 15 SP3")</f>
        <v>PUBLIC SUSE Linux Enterprise Server 15 SP3</v>
      </c>
      <c r="H21" s="7" t="str">
        <f t="shared" si="2"/>
        <v>NO</v>
      </c>
      <c r="I21" s="7" t="str">
        <f t="shared" si="3"/>
        <v>NO</v>
      </c>
    </row>
    <row r="22">
      <c r="A22" s="4">
        <f>IFERROR(__xludf.DUMMYFUNCTION("""COMPUTED_VALUE"""),1179863.0)</f>
        <v>1179863</v>
      </c>
      <c r="B22" s="4" t="str">
        <f>IFERROR(__xludf.DUMMYFUNCTION("""COMPUTED_VALUE"""),"P1 - Urgent")</f>
        <v>P1 - Urgent</v>
      </c>
      <c r="C22" s="5">
        <f>IFERROR(__xludf.DUMMYFUNCTION("""COMPUTED_VALUE"""),44174.82440972222)</f>
        <v>44174.82441</v>
      </c>
      <c r="D22" s="4" t="str">
        <f>IFERROR(__xludf.DUMMYFUNCTION("""COMPUTED_VALUE"""),"RESOLVED")</f>
        <v>RESOLVED</v>
      </c>
      <c r="E22" s="6">
        <f>IFERROR(__xludf.DUMMYFUNCTION("""COMPUTED_VALUE"""),44384.863287037035)</f>
        <v>44384.86329</v>
      </c>
      <c r="F22" s="4" t="str">
        <f>IFERROR(__xludf.DUMMYFUNCTION("""COMPUTED_VALUE"""),"Yes")</f>
        <v>Yes</v>
      </c>
      <c r="G22" s="4" t="str">
        <f>IFERROR(__xludf.DUMMYFUNCTION("""COMPUTED_VALUE"""),"SUSE Linux Enterprise Server 15 SP3")</f>
        <v>SUSE Linux Enterprise Server 15 SP3</v>
      </c>
      <c r="H22" s="7" t="str">
        <f t="shared" si="2"/>
        <v>NO</v>
      </c>
      <c r="I22" s="7" t="str">
        <f t="shared" si="3"/>
        <v>NO</v>
      </c>
    </row>
    <row r="23">
      <c r="A23" s="4">
        <f>IFERROR(__xludf.DUMMYFUNCTION("""COMPUTED_VALUE"""),1182697.0)</f>
        <v>1182697</v>
      </c>
      <c r="B23" s="4" t="str">
        <f>IFERROR(__xludf.DUMMYFUNCTION("""COMPUTED_VALUE"""),"P1 - Urgent")</f>
        <v>P1 - Urgent</v>
      </c>
      <c r="C23" s="5">
        <f>IFERROR(__xludf.DUMMYFUNCTION("""COMPUTED_VALUE"""),44251.647997685184)</f>
        <v>44251.648</v>
      </c>
      <c r="D23" s="4" t="str">
        <f>IFERROR(__xludf.DUMMYFUNCTION("""COMPUTED_VALUE"""),"RESOLVED")</f>
        <v>RESOLVED</v>
      </c>
      <c r="E23" s="6">
        <f>IFERROR(__xludf.DUMMYFUNCTION("""COMPUTED_VALUE"""),44384.8758912037)</f>
        <v>44384.87589</v>
      </c>
      <c r="F23" s="4" t="str">
        <f>IFERROR(__xludf.DUMMYFUNCTION("""COMPUTED_VALUE""")," ---")</f>
        <v> ---</v>
      </c>
      <c r="G23" s="4" t="str">
        <f>IFERROR(__xludf.DUMMYFUNCTION("""COMPUTED_VALUE"""),"SUSE Linux Enterprise Server 15 SP3")</f>
        <v>SUSE Linux Enterprise Server 15 SP3</v>
      </c>
      <c r="H23" s="7" t="str">
        <f t="shared" si="2"/>
        <v>NO</v>
      </c>
      <c r="I23" s="7" t="str">
        <f t="shared" si="3"/>
        <v>NO</v>
      </c>
    </row>
    <row r="24">
      <c r="A24" s="4">
        <f>IFERROR(__xludf.DUMMYFUNCTION("""COMPUTED_VALUE"""),1177399.0)</f>
        <v>1177399</v>
      </c>
      <c r="B24" s="4" t="str">
        <f>IFERROR(__xludf.DUMMYFUNCTION("""COMPUTED_VALUE"""),"P1 - Urgent")</f>
        <v>P1 - Urgent</v>
      </c>
      <c r="C24" s="5">
        <f>IFERROR(__xludf.DUMMYFUNCTION("""COMPUTED_VALUE"""),44110.93696759259)</f>
        <v>44110.93697</v>
      </c>
      <c r="D24" s="4" t="str">
        <f>IFERROR(__xludf.DUMMYFUNCTION("""COMPUTED_VALUE"""),"RESOLVED")</f>
        <v>RESOLVED</v>
      </c>
      <c r="E24" s="6">
        <f>IFERROR(__xludf.DUMMYFUNCTION("""COMPUTED_VALUE"""),44482.68053240741)</f>
        <v>44482.68053</v>
      </c>
      <c r="F24" s="4" t="str">
        <f>IFERROR(__xludf.DUMMYFUNCTION("""COMPUTED_VALUE""")," ---")</f>
        <v> ---</v>
      </c>
      <c r="G24" s="4" t="str">
        <f>IFERROR(__xludf.DUMMYFUNCTION("""COMPUTED_VALUE"""),"SUSE Linux Enterprise Server 15 SP3")</f>
        <v>SUSE Linux Enterprise Server 15 SP3</v>
      </c>
      <c r="H24" s="7" t="str">
        <f t="shared" si="2"/>
        <v>NO</v>
      </c>
      <c r="I24" s="7" t="str">
        <f t="shared" si="3"/>
        <v>NO</v>
      </c>
    </row>
    <row r="25">
      <c r="A25" s="4">
        <f>IFERROR(__xludf.DUMMYFUNCTION("""COMPUTED_VALUE"""),1177547.0)</f>
        <v>1177547</v>
      </c>
      <c r="B25" s="4" t="str">
        <f>IFERROR(__xludf.DUMMYFUNCTION("""COMPUTED_VALUE"""),"P1 - Urgent")</f>
        <v>P1 - Urgent</v>
      </c>
      <c r="C25" s="5">
        <f>IFERROR(__xludf.DUMMYFUNCTION("""COMPUTED_VALUE"""),44114.625972222224)</f>
        <v>44114.62597</v>
      </c>
      <c r="D25" s="4" t="str">
        <f>IFERROR(__xludf.DUMMYFUNCTION("""COMPUTED_VALUE"""),"RESOLVED")</f>
        <v>RESOLVED</v>
      </c>
      <c r="E25" s="6">
        <f>IFERROR(__xludf.DUMMYFUNCTION("""COMPUTED_VALUE"""),44384.85302083333)</f>
        <v>44384.85302</v>
      </c>
      <c r="F25" s="4" t="str">
        <f>IFERROR(__xludf.DUMMYFUNCTION("""COMPUTED_VALUE""")," ---")</f>
        <v> ---</v>
      </c>
      <c r="G25" s="4" t="str">
        <f>IFERROR(__xludf.DUMMYFUNCTION("""COMPUTED_VALUE"""),"SUSE Linux Enterprise Server 15 SP3")</f>
        <v>SUSE Linux Enterprise Server 15 SP3</v>
      </c>
      <c r="H25" s="7" t="str">
        <f t="shared" si="2"/>
        <v>NO</v>
      </c>
      <c r="I25" s="7" t="str">
        <f t="shared" si="3"/>
        <v>NO</v>
      </c>
    </row>
    <row r="26">
      <c r="A26" s="4">
        <f>IFERROR(__xludf.DUMMYFUNCTION("""COMPUTED_VALUE"""),1182485.0)</f>
        <v>1182485</v>
      </c>
      <c r="B26" s="4" t="str">
        <f>IFERROR(__xludf.DUMMYFUNCTION("""COMPUTED_VALUE"""),"P1 - Urgent")</f>
        <v>P1 - Urgent</v>
      </c>
      <c r="C26" s="5">
        <f>IFERROR(__xludf.DUMMYFUNCTION("""COMPUTED_VALUE"""),44246.4037962963)</f>
        <v>44246.4038</v>
      </c>
      <c r="D26" s="4" t="str">
        <f>IFERROR(__xludf.DUMMYFUNCTION("""COMPUTED_VALUE"""),"RESOLVED")</f>
        <v>RESOLVED</v>
      </c>
      <c r="E26" s="6">
        <f>IFERROR(__xludf.DUMMYFUNCTION("""COMPUTED_VALUE"""),44384.87415509259)</f>
        <v>44384.87416</v>
      </c>
      <c r="F26" s="4" t="str">
        <f>IFERROR(__xludf.DUMMYFUNCTION("""COMPUTED_VALUE""")," ---")</f>
        <v> ---</v>
      </c>
      <c r="G26" s="4" t="str">
        <f>IFERROR(__xludf.DUMMYFUNCTION("""COMPUTED_VALUE"""),"SUSE Linux Enterprise Server 15 SP3")</f>
        <v>SUSE Linux Enterprise Server 15 SP3</v>
      </c>
      <c r="H26" s="7" t="str">
        <f t="shared" si="2"/>
        <v>NO</v>
      </c>
      <c r="I26" s="7" t="str">
        <f t="shared" si="3"/>
        <v>NO</v>
      </c>
    </row>
    <row r="27">
      <c r="A27" s="4">
        <f>IFERROR(__xludf.DUMMYFUNCTION("""COMPUTED_VALUE"""),1182602.0)</f>
        <v>1182602</v>
      </c>
      <c r="B27" s="4" t="str">
        <f>IFERROR(__xludf.DUMMYFUNCTION("""COMPUTED_VALUE"""),"P1 - Urgent")</f>
        <v>P1 - Urgent</v>
      </c>
      <c r="C27" s="5">
        <f>IFERROR(__xludf.DUMMYFUNCTION("""COMPUTED_VALUE"""),44250.417546296296)</f>
        <v>44250.41755</v>
      </c>
      <c r="D27" s="4" t="str">
        <f>IFERROR(__xludf.DUMMYFUNCTION("""COMPUTED_VALUE"""),"RESOLVED")</f>
        <v>RESOLVED</v>
      </c>
      <c r="E27" s="6">
        <f>IFERROR(__xludf.DUMMYFUNCTION("""COMPUTED_VALUE"""),44384.87513888889)</f>
        <v>44384.87514</v>
      </c>
      <c r="F27" s="4" t="str">
        <f>IFERROR(__xludf.DUMMYFUNCTION("""COMPUTED_VALUE"""),"Yes")</f>
        <v>Yes</v>
      </c>
      <c r="G27" s="4" t="str">
        <f>IFERROR(__xludf.DUMMYFUNCTION("""COMPUTED_VALUE"""),"SUSE Linux Enterprise Server 15 SP3")</f>
        <v>SUSE Linux Enterprise Server 15 SP3</v>
      </c>
      <c r="H27" s="7" t="str">
        <f t="shared" si="2"/>
        <v>NO</v>
      </c>
      <c r="I27" s="7" t="str">
        <f t="shared" si="3"/>
        <v>NO</v>
      </c>
    </row>
    <row r="28">
      <c r="A28" s="4">
        <f>IFERROR(__xludf.DUMMYFUNCTION("""COMPUTED_VALUE"""),1182632.0)</f>
        <v>1182632</v>
      </c>
      <c r="B28" s="4" t="str">
        <f>IFERROR(__xludf.DUMMYFUNCTION("""COMPUTED_VALUE"""),"P1 - Urgent")</f>
        <v>P1 - Urgent</v>
      </c>
      <c r="C28" s="5">
        <f>IFERROR(__xludf.DUMMYFUNCTION("""COMPUTED_VALUE"""),44250.875601851854)</f>
        <v>44250.8756</v>
      </c>
      <c r="D28" s="4" t="str">
        <f>IFERROR(__xludf.DUMMYFUNCTION("""COMPUTED_VALUE"""),"RESOLVED")</f>
        <v>RESOLVED</v>
      </c>
      <c r="E28" s="6">
        <f>IFERROR(__xludf.DUMMYFUNCTION("""COMPUTED_VALUE"""),44384.875439814816)</f>
        <v>44384.87544</v>
      </c>
      <c r="F28" s="4" t="str">
        <f>IFERROR(__xludf.DUMMYFUNCTION("""COMPUTED_VALUE"""),"Yes")</f>
        <v>Yes</v>
      </c>
      <c r="G28" s="4" t="str">
        <f>IFERROR(__xludf.DUMMYFUNCTION("""COMPUTED_VALUE"""),"SUSE Linux Enterprise Server 15 SP3")</f>
        <v>SUSE Linux Enterprise Server 15 SP3</v>
      </c>
      <c r="H28" s="7" t="str">
        <f t="shared" si="2"/>
        <v>NO</v>
      </c>
      <c r="I28" s="7" t="str">
        <f t="shared" si="3"/>
        <v>NO</v>
      </c>
    </row>
    <row r="29">
      <c r="A29" s="4">
        <f>IFERROR(__xludf.DUMMYFUNCTION("""COMPUTED_VALUE"""),1183023.0)</f>
        <v>1183023</v>
      </c>
      <c r="B29" s="4" t="str">
        <f>IFERROR(__xludf.DUMMYFUNCTION("""COMPUTED_VALUE"""),"P1 - Urgent")</f>
        <v>P1 - Urgent</v>
      </c>
      <c r="C29" s="5">
        <f>IFERROR(__xludf.DUMMYFUNCTION("""COMPUTED_VALUE"""),44259.4590625)</f>
        <v>44259.45906</v>
      </c>
      <c r="D29" s="4" t="str">
        <f>IFERROR(__xludf.DUMMYFUNCTION("""COMPUTED_VALUE"""),"RESOLVED")</f>
        <v>RESOLVED</v>
      </c>
      <c r="E29" s="6">
        <f>IFERROR(__xludf.DUMMYFUNCTION("""COMPUTED_VALUE"""),44384.877175925925)</f>
        <v>44384.87718</v>
      </c>
      <c r="F29" s="4" t="str">
        <f>IFERROR(__xludf.DUMMYFUNCTION("""COMPUTED_VALUE""")," ---")</f>
        <v> ---</v>
      </c>
      <c r="G29" s="4" t="str">
        <f>IFERROR(__xludf.DUMMYFUNCTION("""COMPUTED_VALUE"""),"SUSE Linux Enterprise Server 15 SP3")</f>
        <v>SUSE Linux Enterprise Server 15 SP3</v>
      </c>
      <c r="H29" s="7" t="str">
        <f t="shared" si="2"/>
        <v>NO</v>
      </c>
      <c r="I29" s="7" t="str">
        <f t="shared" si="3"/>
        <v>NO</v>
      </c>
    </row>
    <row r="30">
      <c r="A30" s="4">
        <f>IFERROR(__xludf.DUMMYFUNCTION("""COMPUTED_VALUE"""),1183270.0)</f>
        <v>1183270</v>
      </c>
      <c r="B30" s="4" t="str">
        <f>IFERROR(__xludf.DUMMYFUNCTION("""COMPUTED_VALUE"""),"P1 - Urgent")</f>
        <v>P1 - Urgent</v>
      </c>
      <c r="C30" s="5">
        <f>IFERROR(__xludf.DUMMYFUNCTION("""COMPUTED_VALUE"""),44265.38964120371)</f>
        <v>44265.38964</v>
      </c>
      <c r="D30" s="4" t="str">
        <f>IFERROR(__xludf.DUMMYFUNCTION("""COMPUTED_VALUE"""),"RESOLVED")</f>
        <v>RESOLVED</v>
      </c>
      <c r="E30" s="6">
        <f>IFERROR(__xludf.DUMMYFUNCTION("""COMPUTED_VALUE"""),44287.474965277775)</f>
        <v>44287.47497</v>
      </c>
      <c r="F30" s="4" t="str">
        <f>IFERROR(__xludf.DUMMYFUNCTION("""COMPUTED_VALUE"""),"Yes")</f>
        <v>Yes</v>
      </c>
      <c r="G30" s="4" t="str">
        <f>IFERROR(__xludf.DUMMYFUNCTION("""COMPUTED_VALUE"""),"SUSE Linux Enterprise Server 15 SP3")</f>
        <v>SUSE Linux Enterprise Server 15 SP3</v>
      </c>
      <c r="H30" s="7" t="str">
        <f t="shared" si="2"/>
        <v>NO</v>
      </c>
      <c r="I30" s="7" t="str">
        <f t="shared" si="3"/>
        <v>NO</v>
      </c>
    </row>
    <row r="31">
      <c r="A31" s="4">
        <f>IFERROR(__xludf.DUMMYFUNCTION("""COMPUTED_VALUE"""),1183871.0)</f>
        <v>1183871</v>
      </c>
      <c r="B31" s="4" t="str">
        <f>IFERROR(__xludf.DUMMYFUNCTION("""COMPUTED_VALUE"""),"P1 - Urgent")</f>
        <v>P1 - Urgent</v>
      </c>
      <c r="C31" s="5">
        <f>IFERROR(__xludf.DUMMYFUNCTION("""COMPUTED_VALUE"""),44277.731944444444)</f>
        <v>44277.73194</v>
      </c>
      <c r="D31" s="4" t="str">
        <f>IFERROR(__xludf.DUMMYFUNCTION("""COMPUTED_VALUE"""),"RESOLVED")</f>
        <v>RESOLVED</v>
      </c>
      <c r="E31" s="6">
        <f>IFERROR(__xludf.DUMMYFUNCTION("""COMPUTED_VALUE"""),44425.681493055556)</f>
        <v>44425.68149</v>
      </c>
      <c r="F31" s="4" t="str">
        <f>IFERROR(__xludf.DUMMYFUNCTION("""COMPUTED_VALUE""")," ---")</f>
        <v> ---</v>
      </c>
      <c r="G31" s="4" t="str">
        <f>IFERROR(__xludf.DUMMYFUNCTION("""COMPUTED_VALUE"""),"SUSE Linux Enterprise Server 15 SP3")</f>
        <v>SUSE Linux Enterprise Server 15 SP3</v>
      </c>
      <c r="H31" s="7" t="str">
        <f t="shared" si="2"/>
        <v>NO</v>
      </c>
      <c r="I31" s="7" t="str">
        <f t="shared" si="3"/>
        <v>NO</v>
      </c>
    </row>
    <row r="32">
      <c r="A32" s="4">
        <f>IFERROR(__xludf.DUMMYFUNCTION("""COMPUTED_VALUE"""),1184570.0)</f>
        <v>1184570</v>
      </c>
      <c r="B32" s="4" t="str">
        <f>IFERROR(__xludf.DUMMYFUNCTION("""COMPUTED_VALUE"""),"P1 - Urgent")</f>
        <v>P1 - Urgent</v>
      </c>
      <c r="C32" s="5">
        <f>IFERROR(__xludf.DUMMYFUNCTION("""COMPUTED_VALUE"""),44296.34116898148)</f>
        <v>44296.34117</v>
      </c>
      <c r="D32" s="4" t="str">
        <f>IFERROR(__xludf.DUMMYFUNCTION("""COMPUTED_VALUE"""),"RESOLVED")</f>
        <v>RESOLVED</v>
      </c>
      <c r="E32" s="6">
        <f>IFERROR(__xludf.DUMMYFUNCTION("""COMPUTED_VALUE"""),44384.88454861111)</f>
        <v>44384.88455</v>
      </c>
      <c r="F32" s="4" t="str">
        <f>IFERROR(__xludf.DUMMYFUNCTION("""COMPUTED_VALUE"""),"Yes")</f>
        <v>Yes</v>
      </c>
      <c r="G32" s="4" t="str">
        <f>IFERROR(__xludf.DUMMYFUNCTION("""COMPUTED_VALUE"""),"SUSE Linux Enterprise Server 15 SP3")</f>
        <v>SUSE Linux Enterprise Server 15 SP3</v>
      </c>
      <c r="H32" s="7" t="str">
        <f t="shared" si="2"/>
        <v>NO</v>
      </c>
      <c r="I32" s="7" t="str">
        <f t="shared" si="3"/>
        <v>NO</v>
      </c>
    </row>
    <row r="33">
      <c r="A33" s="4">
        <f>IFERROR(__xludf.DUMMYFUNCTION("""COMPUTED_VALUE"""),1184647.0)</f>
        <v>1184647</v>
      </c>
      <c r="B33" s="4" t="str">
        <f>IFERROR(__xludf.DUMMYFUNCTION("""COMPUTED_VALUE"""),"P1 - Urgent")</f>
        <v>P1 - Urgent</v>
      </c>
      <c r="C33" s="5">
        <f>IFERROR(__xludf.DUMMYFUNCTION("""COMPUTED_VALUE"""),44299.3212037037)</f>
        <v>44299.3212</v>
      </c>
      <c r="D33" s="4" t="str">
        <f>IFERROR(__xludf.DUMMYFUNCTION("""COMPUTED_VALUE"""),"RESOLVED")</f>
        <v>RESOLVED</v>
      </c>
      <c r="E33" s="6">
        <f>IFERROR(__xludf.DUMMYFUNCTION("""COMPUTED_VALUE"""),44384.88486111111)</f>
        <v>44384.88486</v>
      </c>
      <c r="F33" s="4" t="str">
        <f>IFERROR(__xludf.DUMMYFUNCTION("""COMPUTED_VALUE"""),"Yes")</f>
        <v>Yes</v>
      </c>
      <c r="G33" s="4" t="str">
        <f>IFERROR(__xludf.DUMMYFUNCTION("""COMPUTED_VALUE"""),"SUSE Linux Enterprise Server 15 SP3")</f>
        <v>SUSE Linux Enterprise Server 15 SP3</v>
      </c>
      <c r="H33" s="7" t="str">
        <f t="shared" si="2"/>
        <v>NO</v>
      </c>
      <c r="I33" s="7" t="str">
        <f t="shared" si="3"/>
        <v>NO</v>
      </c>
    </row>
    <row r="34">
      <c r="A34" s="4">
        <f>IFERROR(__xludf.DUMMYFUNCTION("""COMPUTED_VALUE"""),1178648.0)</f>
        <v>1178648</v>
      </c>
      <c r="B34" s="4" t="str">
        <f>IFERROR(__xludf.DUMMYFUNCTION("""COMPUTED_VALUE"""),"P1 - Urgent")</f>
        <v>P1 - Urgent</v>
      </c>
      <c r="C34" s="5">
        <f>IFERROR(__xludf.DUMMYFUNCTION("""COMPUTED_VALUE"""),44146.27128472222)</f>
        <v>44146.27128</v>
      </c>
      <c r="D34" s="4" t="str">
        <f>IFERROR(__xludf.DUMMYFUNCTION("""COMPUTED_VALUE"""),"RESOLVED")</f>
        <v>RESOLVED</v>
      </c>
      <c r="E34" s="6">
        <f>IFERROR(__xludf.DUMMYFUNCTION("""COMPUTED_VALUE"""),44384.85784722222)</f>
        <v>44384.85785</v>
      </c>
      <c r="F34" s="4" t="str">
        <f>IFERROR(__xludf.DUMMYFUNCTION("""COMPUTED_VALUE""")," ---")</f>
        <v> ---</v>
      </c>
      <c r="G34" s="4" t="str">
        <f>IFERROR(__xludf.DUMMYFUNCTION("""COMPUTED_VALUE"""),"SUSE Linux Enterprise Server 15 SP3")</f>
        <v>SUSE Linux Enterprise Server 15 SP3</v>
      </c>
      <c r="H34" s="7" t="str">
        <f t="shared" si="2"/>
        <v>NO</v>
      </c>
      <c r="I34" s="7" t="str">
        <f t="shared" si="3"/>
        <v>NO</v>
      </c>
    </row>
    <row r="35">
      <c r="A35" s="4">
        <f>IFERROR(__xludf.DUMMYFUNCTION("""COMPUTED_VALUE"""),1178420.0)</f>
        <v>1178420</v>
      </c>
      <c r="B35" s="4" t="str">
        <f>IFERROR(__xludf.DUMMYFUNCTION("""COMPUTED_VALUE"""),"P1 - Urgent")</f>
        <v>P1 - Urgent</v>
      </c>
      <c r="C35" s="5">
        <f>IFERROR(__xludf.DUMMYFUNCTION("""COMPUTED_VALUE"""),44139.35466435185)</f>
        <v>44139.35466</v>
      </c>
      <c r="D35" s="4" t="str">
        <f>IFERROR(__xludf.DUMMYFUNCTION("""COMPUTED_VALUE"""),"RESOLVED")</f>
        <v>RESOLVED</v>
      </c>
      <c r="E35" s="6">
        <f>IFERROR(__xludf.DUMMYFUNCTION("""COMPUTED_VALUE"""),44384.85696759259)</f>
        <v>44384.85697</v>
      </c>
      <c r="F35" s="4" t="str">
        <f>IFERROR(__xludf.DUMMYFUNCTION("""COMPUTED_VALUE""")," ---")</f>
        <v> ---</v>
      </c>
      <c r="G35" s="4" t="str">
        <f>IFERROR(__xludf.DUMMYFUNCTION("""COMPUTED_VALUE"""),"SUSE Linux Enterprise Server 15 SP3")</f>
        <v>SUSE Linux Enterprise Server 15 SP3</v>
      </c>
      <c r="H35" s="7" t="str">
        <f t="shared" si="2"/>
        <v>NO</v>
      </c>
      <c r="I35" s="7" t="str">
        <f t="shared" si="3"/>
        <v>NO</v>
      </c>
    </row>
    <row r="36">
      <c r="A36" s="4">
        <f>IFERROR(__xludf.DUMMYFUNCTION("""COMPUTED_VALUE"""),1183260.0)</f>
        <v>1183260</v>
      </c>
      <c r="B36" s="4" t="str">
        <f>IFERROR(__xludf.DUMMYFUNCTION("""COMPUTED_VALUE"""),"P1 - Urgent")</f>
        <v>P1 - Urgent</v>
      </c>
      <c r="C36" s="5">
        <f>IFERROR(__xludf.DUMMYFUNCTION("""COMPUTED_VALUE"""),44265.30743055556)</f>
        <v>44265.30743</v>
      </c>
      <c r="D36" s="4" t="str">
        <f>IFERROR(__xludf.DUMMYFUNCTION("""COMPUTED_VALUE"""),"RESOLVED")</f>
        <v>RESOLVED</v>
      </c>
      <c r="E36" s="6">
        <f>IFERROR(__xludf.DUMMYFUNCTION("""COMPUTED_VALUE"""),44365.26311342593)</f>
        <v>44365.26311</v>
      </c>
      <c r="F36" s="4" t="str">
        <f>IFERROR(__xludf.DUMMYFUNCTION("""COMPUTED_VALUE""")," ---")</f>
        <v> ---</v>
      </c>
      <c r="G36" s="4" t="str">
        <f>IFERROR(__xludf.DUMMYFUNCTION("""COMPUTED_VALUE"""),"SUSE Linux Enterprise Server 15 SP3")</f>
        <v>SUSE Linux Enterprise Server 15 SP3</v>
      </c>
      <c r="H36" s="7" t="str">
        <f t="shared" si="2"/>
        <v>NO</v>
      </c>
      <c r="I36" s="7" t="str">
        <f t="shared" si="3"/>
        <v>NO</v>
      </c>
    </row>
    <row r="37">
      <c r="A37" s="4">
        <f>IFERROR(__xludf.DUMMYFUNCTION("""COMPUTED_VALUE"""),1182887.0)</f>
        <v>1182887</v>
      </c>
      <c r="B37" s="4" t="str">
        <f>IFERROR(__xludf.DUMMYFUNCTION("""COMPUTED_VALUE"""),"P1 - Urgent")</f>
        <v>P1 - Urgent</v>
      </c>
      <c r="C37" s="5">
        <f>IFERROR(__xludf.DUMMYFUNCTION("""COMPUTED_VALUE"""),44257.202048611114)</f>
        <v>44257.20205</v>
      </c>
      <c r="D37" s="4" t="str">
        <f>IFERROR(__xludf.DUMMYFUNCTION("""COMPUTED_VALUE"""),"RESOLVED")</f>
        <v>RESOLVED</v>
      </c>
      <c r="E37" s="6">
        <f>IFERROR(__xludf.DUMMYFUNCTION("""COMPUTED_VALUE"""),44365.2655787037)</f>
        <v>44365.26558</v>
      </c>
      <c r="F37" s="4" t="str">
        <f>IFERROR(__xludf.DUMMYFUNCTION("""COMPUTED_VALUE"""),"Yes")</f>
        <v>Yes</v>
      </c>
      <c r="G37" s="4" t="str">
        <f>IFERROR(__xludf.DUMMYFUNCTION("""COMPUTED_VALUE"""),"SUSE Linux Enterprise Server 15 SP3")</f>
        <v>SUSE Linux Enterprise Server 15 SP3</v>
      </c>
      <c r="H37" s="7" t="str">
        <f t="shared" si="2"/>
        <v>NO</v>
      </c>
      <c r="I37" s="7" t="str">
        <f t="shared" si="3"/>
        <v>NO</v>
      </c>
    </row>
    <row r="38">
      <c r="A38" s="4">
        <f>IFERROR(__xludf.DUMMYFUNCTION("""COMPUTED_VALUE"""),1183773.0)</f>
        <v>1183773</v>
      </c>
      <c r="B38" s="4" t="str">
        <f>IFERROR(__xludf.DUMMYFUNCTION("""COMPUTED_VALUE"""),"P1 - Urgent")</f>
        <v>P1 - Urgent</v>
      </c>
      <c r="C38" s="5">
        <f>IFERROR(__xludf.DUMMYFUNCTION("""COMPUTED_VALUE"""),44274.42085648148)</f>
        <v>44274.42086</v>
      </c>
      <c r="D38" s="4" t="str">
        <f>IFERROR(__xludf.DUMMYFUNCTION("""COMPUTED_VALUE"""),"RESOLVED")</f>
        <v>RESOLVED</v>
      </c>
      <c r="E38" s="6">
        <f>IFERROR(__xludf.DUMMYFUNCTION("""COMPUTED_VALUE"""),44384.88212962963)</f>
        <v>44384.88213</v>
      </c>
      <c r="F38" s="4" t="str">
        <f>IFERROR(__xludf.DUMMYFUNCTION("""COMPUTED_VALUE""")," ---")</f>
        <v> ---</v>
      </c>
      <c r="G38" s="4" t="str">
        <f>IFERROR(__xludf.DUMMYFUNCTION("""COMPUTED_VALUE"""),"SUSE Linux Enterprise Server 15 SP3")</f>
        <v>SUSE Linux Enterprise Server 15 SP3</v>
      </c>
      <c r="H38" s="7" t="str">
        <f t="shared" si="2"/>
        <v>NO</v>
      </c>
      <c r="I38" s="7" t="str">
        <f t="shared" si="3"/>
        <v>NO</v>
      </c>
    </row>
    <row r="39">
      <c r="A39" s="4">
        <f>IFERROR(__xludf.DUMMYFUNCTION("""COMPUTED_VALUE"""),1178242.0)</f>
        <v>1178242</v>
      </c>
      <c r="B39" s="4" t="str">
        <f>IFERROR(__xludf.DUMMYFUNCTION("""COMPUTED_VALUE"""),"P1 - Urgent")</f>
        <v>P1 - Urgent</v>
      </c>
      <c r="C39" s="5">
        <f>IFERROR(__xludf.DUMMYFUNCTION("""COMPUTED_VALUE"""),44132.95584490741)</f>
        <v>44132.95584</v>
      </c>
      <c r="D39" s="4" t="str">
        <f>IFERROR(__xludf.DUMMYFUNCTION("""COMPUTED_VALUE"""),"RESOLVED")</f>
        <v>RESOLVED</v>
      </c>
      <c r="E39" s="6">
        <f>IFERROR(__xludf.DUMMYFUNCTION("""COMPUTED_VALUE"""),44365.26526620371)</f>
        <v>44365.26527</v>
      </c>
      <c r="F39" s="4" t="str">
        <f>IFERROR(__xludf.DUMMYFUNCTION("""COMPUTED_VALUE""")," ---")</f>
        <v> ---</v>
      </c>
      <c r="G39" s="4" t="str">
        <f>IFERROR(__xludf.DUMMYFUNCTION("""COMPUTED_VALUE"""),"SUSE Linux Enterprise Server 15 SP3")</f>
        <v>SUSE Linux Enterprise Server 15 SP3</v>
      </c>
      <c r="H39" s="7" t="str">
        <f t="shared" si="2"/>
        <v>NO</v>
      </c>
      <c r="I39" s="7" t="str">
        <f t="shared" si="3"/>
        <v>NO</v>
      </c>
    </row>
    <row r="40">
      <c r="A40" s="4">
        <f>IFERROR(__xludf.DUMMYFUNCTION("""COMPUTED_VALUE"""),1184685.0)</f>
        <v>1184685</v>
      </c>
      <c r="B40" s="4" t="str">
        <f>IFERROR(__xludf.DUMMYFUNCTION("""COMPUTED_VALUE"""),"P1 - Urgent")</f>
        <v>P1 - Urgent</v>
      </c>
      <c r="C40" s="5">
        <f>IFERROR(__xludf.DUMMYFUNCTION("""COMPUTED_VALUE"""),44299.77793981481)</f>
        <v>44299.77794</v>
      </c>
      <c r="D40" s="4" t="str">
        <f>IFERROR(__xludf.DUMMYFUNCTION("""COMPUTED_VALUE"""),"RESOLVED")</f>
        <v>RESOLVED</v>
      </c>
      <c r="E40" s="6">
        <f>IFERROR(__xludf.DUMMYFUNCTION("""COMPUTED_VALUE"""),44398.568761574075)</f>
        <v>44398.56876</v>
      </c>
      <c r="F40" s="4" t="str">
        <f>IFERROR(__xludf.DUMMYFUNCTION("""COMPUTED_VALUE""")," ---")</f>
        <v> ---</v>
      </c>
      <c r="G40" s="4" t="str">
        <f>IFERROR(__xludf.DUMMYFUNCTION("""COMPUTED_VALUE"""),"SUSE Linux Enterprise Server 15 SP3")</f>
        <v>SUSE Linux Enterprise Server 15 SP3</v>
      </c>
      <c r="H40" s="7" t="str">
        <f t="shared" si="2"/>
        <v>NO</v>
      </c>
      <c r="I40" s="7" t="str">
        <f t="shared" si="3"/>
        <v>NO</v>
      </c>
    </row>
    <row r="41">
      <c r="A41" s="4">
        <f>IFERROR(__xludf.DUMMYFUNCTION("""COMPUTED_VALUE"""),1181225.0)</f>
        <v>1181225</v>
      </c>
      <c r="B41" s="4" t="str">
        <f>IFERROR(__xludf.DUMMYFUNCTION("""COMPUTED_VALUE"""),"P1 - Urgent")</f>
        <v>P1 - Urgent</v>
      </c>
      <c r="C41" s="5">
        <f>IFERROR(__xludf.DUMMYFUNCTION("""COMPUTED_VALUE"""),44217.459965277776)</f>
        <v>44217.45997</v>
      </c>
      <c r="D41" s="4" t="str">
        <f>IFERROR(__xludf.DUMMYFUNCTION("""COMPUTED_VALUE"""),"RESOLVED")</f>
        <v>RESOLVED</v>
      </c>
      <c r="E41" s="6">
        <f>IFERROR(__xludf.DUMMYFUNCTION("""COMPUTED_VALUE"""),44292.579976851855)</f>
        <v>44292.57998</v>
      </c>
      <c r="F41" s="4" t="str">
        <f>IFERROR(__xludf.DUMMYFUNCTION("""COMPUTED_VALUE""")," ---")</f>
        <v> ---</v>
      </c>
      <c r="G41" s="4" t="str">
        <f>IFERROR(__xludf.DUMMYFUNCTION("""COMPUTED_VALUE"""),"SUSE Linux Enterprise Server 15 SP3")</f>
        <v>SUSE Linux Enterprise Server 15 SP3</v>
      </c>
      <c r="H41" s="7" t="str">
        <f t="shared" si="2"/>
        <v>NO</v>
      </c>
      <c r="I41" s="7" t="str">
        <f t="shared" si="3"/>
        <v>NO</v>
      </c>
    </row>
    <row r="42">
      <c r="A42" s="4">
        <f>IFERROR(__xludf.DUMMYFUNCTION("""COMPUTED_VALUE"""),1179585.0)</f>
        <v>1179585</v>
      </c>
      <c r="B42" s="4" t="str">
        <f>IFERROR(__xludf.DUMMYFUNCTION("""COMPUTED_VALUE"""),"P1 - Urgent")</f>
        <v>P1 - Urgent</v>
      </c>
      <c r="C42" s="5">
        <f>IFERROR(__xludf.DUMMYFUNCTION("""COMPUTED_VALUE"""),44169.33383101852)</f>
        <v>44169.33383</v>
      </c>
      <c r="D42" s="4" t="str">
        <f>IFERROR(__xludf.DUMMYFUNCTION("""COMPUTED_VALUE"""),"RESOLVED")</f>
        <v>RESOLVED</v>
      </c>
      <c r="E42" s="6">
        <f>IFERROR(__xludf.DUMMYFUNCTION("""COMPUTED_VALUE"""),44384.86071759259)</f>
        <v>44384.86072</v>
      </c>
      <c r="F42" s="4" t="str">
        <f>IFERROR(__xludf.DUMMYFUNCTION("""COMPUTED_VALUE"""),"Yes")</f>
        <v>Yes</v>
      </c>
      <c r="G42" s="4" t="str">
        <f>IFERROR(__xludf.DUMMYFUNCTION("""COMPUTED_VALUE"""),"SUSE Linux Enterprise Server 15 SP3")</f>
        <v>SUSE Linux Enterprise Server 15 SP3</v>
      </c>
      <c r="H42" s="7" t="str">
        <f t="shared" si="2"/>
        <v>NO</v>
      </c>
      <c r="I42" s="7" t="str">
        <f t="shared" si="3"/>
        <v>NO</v>
      </c>
    </row>
    <row r="43">
      <c r="A43" s="4">
        <f>IFERROR(__xludf.DUMMYFUNCTION("""COMPUTED_VALUE"""),1183756.0)</f>
        <v>1183756</v>
      </c>
      <c r="B43" s="4" t="str">
        <f>IFERROR(__xludf.DUMMYFUNCTION("""COMPUTED_VALUE"""),"P1 - Urgent")</f>
        <v>P1 - Urgent</v>
      </c>
      <c r="C43" s="5">
        <f>IFERROR(__xludf.DUMMYFUNCTION("""COMPUTED_VALUE"""),44274.3621875)</f>
        <v>44274.36219</v>
      </c>
      <c r="D43" s="4" t="str">
        <f>IFERROR(__xludf.DUMMYFUNCTION("""COMPUTED_VALUE"""),"RESOLVED")</f>
        <v>RESOLVED</v>
      </c>
      <c r="E43" s="6">
        <f>IFERROR(__xludf.DUMMYFUNCTION("""COMPUTED_VALUE"""),44384.88197916667)</f>
        <v>44384.88198</v>
      </c>
      <c r="F43" s="4" t="str">
        <f>IFERROR(__xludf.DUMMYFUNCTION("""COMPUTED_VALUE""")," ---")</f>
        <v> ---</v>
      </c>
      <c r="G43" s="4" t="str">
        <f>IFERROR(__xludf.DUMMYFUNCTION("""COMPUTED_VALUE"""),"SUSE Linux Enterprise Server 15 SP3")</f>
        <v>SUSE Linux Enterprise Server 15 SP3</v>
      </c>
      <c r="H43" s="7" t="str">
        <f t="shared" si="2"/>
        <v>NO</v>
      </c>
      <c r="I43" s="7" t="str">
        <f t="shared" si="3"/>
        <v>NO</v>
      </c>
    </row>
    <row r="44">
      <c r="A44" s="4">
        <f>IFERROR(__xludf.DUMMYFUNCTION("""COMPUTED_VALUE"""),1179425.0)</f>
        <v>1179425</v>
      </c>
      <c r="B44" s="4" t="str">
        <f>IFERROR(__xludf.DUMMYFUNCTION("""COMPUTED_VALUE"""),"P1 - Urgent")</f>
        <v>P1 - Urgent</v>
      </c>
      <c r="C44" s="5">
        <f>IFERROR(__xludf.DUMMYFUNCTION("""COMPUTED_VALUE"""),44165.634884259256)</f>
        <v>44165.63488</v>
      </c>
      <c r="D44" s="4" t="str">
        <f>IFERROR(__xludf.DUMMYFUNCTION("""COMPUTED_VALUE"""),"VERIFIED")</f>
        <v>VERIFIED</v>
      </c>
      <c r="E44" s="6">
        <f>IFERROR(__xludf.DUMMYFUNCTION("""COMPUTED_VALUE"""),44384.859826388885)</f>
        <v>44384.85983</v>
      </c>
      <c r="F44" s="4" t="str">
        <f>IFERROR(__xludf.DUMMYFUNCTION("""COMPUTED_VALUE""")," ---")</f>
        <v> ---</v>
      </c>
      <c r="G44" s="4" t="str">
        <f>IFERROR(__xludf.DUMMYFUNCTION("""COMPUTED_VALUE"""),"SUSE Linux Enterprise Server 15 SP3")</f>
        <v>SUSE Linux Enterprise Server 15 SP3</v>
      </c>
      <c r="H44" s="7" t="str">
        <f t="shared" si="2"/>
        <v>NO</v>
      </c>
      <c r="I44" s="7" t="str">
        <f t="shared" si="3"/>
        <v>NO</v>
      </c>
    </row>
    <row r="45">
      <c r="A45" s="4">
        <f>IFERROR(__xludf.DUMMYFUNCTION("""COMPUTED_VALUE"""),1177434.0)</f>
        <v>1177434</v>
      </c>
      <c r="B45" s="4" t="str">
        <f>IFERROR(__xludf.DUMMYFUNCTION("""COMPUTED_VALUE"""),"P1 - Urgent")</f>
        <v>P1 - Urgent</v>
      </c>
      <c r="C45" s="5">
        <f>IFERROR(__xludf.DUMMYFUNCTION("""COMPUTED_VALUE"""),44111.57340277778)</f>
        <v>44111.5734</v>
      </c>
      <c r="D45" s="4" t="str">
        <f>IFERROR(__xludf.DUMMYFUNCTION("""COMPUTED_VALUE"""),"VERIFIED")</f>
        <v>VERIFIED</v>
      </c>
      <c r="E45" s="6">
        <f>IFERROR(__xludf.DUMMYFUNCTION("""COMPUTED_VALUE"""),44384.85255787037)</f>
        <v>44384.85256</v>
      </c>
      <c r="F45" s="4" t="str">
        <f>IFERROR(__xludf.DUMMYFUNCTION("""COMPUTED_VALUE""")," ---")</f>
        <v> ---</v>
      </c>
      <c r="G45" s="4" t="str">
        <f>IFERROR(__xludf.DUMMYFUNCTION("""COMPUTED_VALUE"""),"SUSE Linux Enterprise Server 15 SP3")</f>
        <v>SUSE Linux Enterprise Server 15 SP3</v>
      </c>
      <c r="H45" s="7" t="str">
        <f t="shared" si="2"/>
        <v>NO</v>
      </c>
      <c r="I45" s="7" t="str">
        <f t="shared" si="3"/>
        <v>NO</v>
      </c>
    </row>
    <row r="46">
      <c r="A46" s="4">
        <f>IFERROR(__xludf.DUMMYFUNCTION("""COMPUTED_VALUE"""),1176657.0)</f>
        <v>1176657</v>
      </c>
      <c r="B46" s="4" t="str">
        <f>IFERROR(__xludf.DUMMYFUNCTION("""COMPUTED_VALUE"""),"P1 - Urgent")</f>
        <v>P1 - Urgent</v>
      </c>
      <c r="C46" s="5">
        <f>IFERROR(__xludf.DUMMYFUNCTION("""COMPUTED_VALUE"""),44091.116006944445)</f>
        <v>44091.11601</v>
      </c>
      <c r="D46" s="4" t="str">
        <f>IFERROR(__xludf.DUMMYFUNCTION("""COMPUTED_VALUE"""),"VERIFIED")</f>
        <v>VERIFIED</v>
      </c>
      <c r="E46" s="6">
        <f>IFERROR(__xludf.DUMMYFUNCTION("""COMPUTED_VALUE"""),44365.26299768518)</f>
        <v>44365.263</v>
      </c>
      <c r="F46" s="4" t="str">
        <f>IFERROR(__xludf.DUMMYFUNCTION("""COMPUTED_VALUE""")," ---")</f>
        <v> ---</v>
      </c>
      <c r="G46" s="4" t="str">
        <f>IFERROR(__xludf.DUMMYFUNCTION("""COMPUTED_VALUE"""),"SUSE Linux Enterprise Server 15 SP3")</f>
        <v>SUSE Linux Enterprise Server 15 SP3</v>
      </c>
      <c r="H46" s="7" t="str">
        <f t="shared" si="2"/>
        <v>NO</v>
      </c>
      <c r="I46" s="7" t="str">
        <f t="shared" si="3"/>
        <v>NO</v>
      </c>
    </row>
    <row r="47">
      <c r="A47" s="4">
        <f>IFERROR(__xludf.DUMMYFUNCTION("""COMPUTED_VALUE"""),1177415.0)</f>
        <v>1177415</v>
      </c>
      <c r="B47" s="4" t="str">
        <f>IFERROR(__xludf.DUMMYFUNCTION("""COMPUTED_VALUE"""),"P1 - Urgent")</f>
        <v>P1 - Urgent</v>
      </c>
      <c r="C47" s="5">
        <f>IFERROR(__xludf.DUMMYFUNCTION("""COMPUTED_VALUE"""),44111.388865740744)</f>
        <v>44111.38887</v>
      </c>
      <c r="D47" s="4" t="str">
        <f>IFERROR(__xludf.DUMMYFUNCTION("""COMPUTED_VALUE"""),"VERIFIED")</f>
        <v>VERIFIED</v>
      </c>
      <c r="E47" s="6">
        <f>IFERROR(__xludf.DUMMYFUNCTION("""COMPUTED_VALUE"""),44365.26636574074)</f>
        <v>44365.26637</v>
      </c>
      <c r="F47" s="4" t="str">
        <f>IFERROR(__xludf.DUMMYFUNCTION("""COMPUTED_VALUE"""),"Yes")</f>
        <v>Yes</v>
      </c>
      <c r="G47" s="4" t="str">
        <f>IFERROR(__xludf.DUMMYFUNCTION("""COMPUTED_VALUE"""),"SUSE Linux Enterprise Server 15 SP3")</f>
        <v>SUSE Linux Enterprise Server 15 SP3</v>
      </c>
      <c r="H47" s="7" t="str">
        <f t="shared" si="2"/>
        <v>NO</v>
      </c>
      <c r="I47" s="7" t="str">
        <f t="shared" si="3"/>
        <v>NO</v>
      </c>
    </row>
    <row r="48">
      <c r="A48" s="4">
        <f>IFERROR(__xludf.DUMMYFUNCTION("""COMPUTED_VALUE"""),1177437.0)</f>
        <v>1177437</v>
      </c>
      <c r="B48" s="4" t="str">
        <f>IFERROR(__xludf.DUMMYFUNCTION("""COMPUTED_VALUE"""),"P1 - Urgent")</f>
        <v>P1 - Urgent</v>
      </c>
      <c r="C48" s="5">
        <f>IFERROR(__xludf.DUMMYFUNCTION("""COMPUTED_VALUE"""),44111.599594907406)</f>
        <v>44111.59959</v>
      </c>
      <c r="D48" s="4" t="str">
        <f>IFERROR(__xludf.DUMMYFUNCTION("""COMPUTED_VALUE"""),"VERIFIED")</f>
        <v>VERIFIED</v>
      </c>
      <c r="E48" s="6">
        <f>IFERROR(__xludf.DUMMYFUNCTION("""COMPUTED_VALUE"""),44621.648460648146)</f>
        <v>44621.64846</v>
      </c>
      <c r="F48" s="4" t="str">
        <f>IFERROR(__xludf.DUMMYFUNCTION("""COMPUTED_VALUE""")," ---")</f>
        <v> ---</v>
      </c>
      <c r="G48" s="4" t="str">
        <f>IFERROR(__xludf.DUMMYFUNCTION("""COMPUTED_VALUE"""),"SUSE Linux Enterprise Server 15 SP3")</f>
        <v>SUSE Linux Enterprise Server 15 SP3</v>
      </c>
      <c r="H48" s="7" t="str">
        <f t="shared" si="2"/>
        <v>NO</v>
      </c>
      <c r="I48" s="7" t="str">
        <f t="shared" si="3"/>
        <v>NO</v>
      </c>
    </row>
    <row r="49">
      <c r="A49" s="4">
        <f>IFERROR(__xludf.DUMMYFUNCTION("""COMPUTED_VALUE"""),1177591.0)</f>
        <v>1177591</v>
      </c>
      <c r="B49" s="4" t="str">
        <f>IFERROR(__xludf.DUMMYFUNCTION("""COMPUTED_VALUE"""),"P1 - Urgent")</f>
        <v>P1 - Urgent</v>
      </c>
      <c r="C49" s="5">
        <f>IFERROR(__xludf.DUMMYFUNCTION("""COMPUTED_VALUE"""),44116.565474537034)</f>
        <v>44116.56547</v>
      </c>
      <c r="D49" s="4" t="str">
        <f>IFERROR(__xludf.DUMMYFUNCTION("""COMPUTED_VALUE"""),"VERIFIED")</f>
        <v>VERIFIED</v>
      </c>
      <c r="E49" s="6">
        <f>IFERROR(__xludf.DUMMYFUNCTION("""COMPUTED_VALUE"""),44384.85309027778)</f>
        <v>44384.85309</v>
      </c>
      <c r="F49" s="4" t="str">
        <f>IFERROR(__xludf.DUMMYFUNCTION("""COMPUTED_VALUE"""),"Yes")</f>
        <v>Yes</v>
      </c>
      <c r="G49" s="4" t="str">
        <f>IFERROR(__xludf.DUMMYFUNCTION("""COMPUTED_VALUE"""),"SUSE Linux Enterprise Server 15 SP3")</f>
        <v>SUSE Linux Enterprise Server 15 SP3</v>
      </c>
      <c r="H49" s="7" t="str">
        <f t="shared" si="2"/>
        <v>NO</v>
      </c>
      <c r="I49" s="7" t="str">
        <f t="shared" si="3"/>
        <v>NO</v>
      </c>
    </row>
    <row r="50">
      <c r="A50" s="4">
        <f>IFERROR(__xludf.DUMMYFUNCTION("""COMPUTED_VALUE"""),1181284.0)</f>
        <v>1181284</v>
      </c>
      <c r="B50" s="4" t="str">
        <f>IFERROR(__xludf.DUMMYFUNCTION("""COMPUTED_VALUE"""),"P1 - Urgent")</f>
        <v>P1 - Urgent</v>
      </c>
      <c r="C50" s="5">
        <f>IFERROR(__xludf.DUMMYFUNCTION("""COMPUTED_VALUE"""),44218.50744212963)</f>
        <v>44218.50744</v>
      </c>
      <c r="D50" s="4" t="str">
        <f>IFERROR(__xludf.DUMMYFUNCTION("""COMPUTED_VALUE"""),"VERIFIED")</f>
        <v>VERIFIED</v>
      </c>
      <c r="E50" s="6">
        <f>IFERROR(__xludf.DUMMYFUNCTION("""COMPUTED_VALUE"""),44384.86824074074)</f>
        <v>44384.86824</v>
      </c>
      <c r="F50" s="4" t="str">
        <f>IFERROR(__xludf.DUMMYFUNCTION("""COMPUTED_VALUE""")," ---")</f>
        <v> ---</v>
      </c>
      <c r="G50" s="4" t="str">
        <f>IFERROR(__xludf.DUMMYFUNCTION("""COMPUTED_VALUE"""),"SUSE Linux Enterprise Server 15 SP3")</f>
        <v>SUSE Linux Enterprise Server 15 SP3</v>
      </c>
      <c r="H50" s="7" t="str">
        <f t="shared" si="2"/>
        <v>NO</v>
      </c>
      <c r="I50" s="7" t="str">
        <f t="shared" si="3"/>
        <v>NO</v>
      </c>
    </row>
    <row r="51">
      <c r="A51" s="4">
        <f>IFERROR(__xludf.DUMMYFUNCTION("""COMPUTED_VALUE"""),1181913.0)</f>
        <v>1181913</v>
      </c>
      <c r="B51" s="4" t="str">
        <f>IFERROR(__xludf.DUMMYFUNCTION("""COMPUTED_VALUE"""),"P1 - Urgent")</f>
        <v>P1 - Urgent</v>
      </c>
      <c r="C51" s="5">
        <f>IFERROR(__xludf.DUMMYFUNCTION("""COMPUTED_VALUE"""),44235.3090625)</f>
        <v>44235.30906</v>
      </c>
      <c r="D51" s="4" t="str">
        <f>IFERROR(__xludf.DUMMYFUNCTION("""COMPUTED_VALUE"""),"VERIFIED")</f>
        <v>VERIFIED</v>
      </c>
      <c r="E51" s="6">
        <f>IFERROR(__xludf.DUMMYFUNCTION("""COMPUTED_VALUE"""),44504.55582175926)</f>
        <v>44504.55582</v>
      </c>
      <c r="F51" s="4" t="str">
        <f>IFERROR(__xludf.DUMMYFUNCTION("""COMPUTED_VALUE""")," ---")</f>
        <v> ---</v>
      </c>
      <c r="G51" s="4" t="str">
        <f>IFERROR(__xludf.DUMMYFUNCTION("""COMPUTED_VALUE"""),"SUSE Linux Enterprise Server 15 SP3")</f>
        <v>SUSE Linux Enterprise Server 15 SP3</v>
      </c>
      <c r="H51" s="7" t="str">
        <f t="shared" si="2"/>
        <v>NO</v>
      </c>
      <c r="I51" s="7" t="str">
        <f t="shared" si="3"/>
        <v>NO</v>
      </c>
    </row>
    <row r="52">
      <c r="A52" s="4">
        <f>IFERROR(__xludf.DUMMYFUNCTION("""COMPUTED_VALUE"""),1185857.0)</f>
        <v>1185857</v>
      </c>
      <c r="B52" s="4" t="str">
        <f>IFERROR(__xludf.DUMMYFUNCTION("""COMPUTED_VALUE"""),"P1 - Urgent")</f>
        <v>P1 - Urgent</v>
      </c>
      <c r="C52" s="5">
        <f>IFERROR(__xludf.DUMMYFUNCTION("""COMPUTED_VALUE"""),44326.56361111111)</f>
        <v>44326.56361</v>
      </c>
      <c r="D52" s="4" t="str">
        <f>IFERROR(__xludf.DUMMYFUNCTION("""COMPUTED_VALUE"""),"VERIFIED")</f>
        <v>VERIFIED</v>
      </c>
      <c r="E52" s="6">
        <f>IFERROR(__xludf.DUMMYFUNCTION("""COMPUTED_VALUE"""),44539.556805555556)</f>
        <v>44539.55681</v>
      </c>
      <c r="F52" s="4" t="str">
        <f>IFERROR(__xludf.DUMMYFUNCTION("""COMPUTED_VALUE""")," ---")</f>
        <v> ---</v>
      </c>
      <c r="G52" s="4" t="str">
        <f>IFERROR(__xludf.DUMMYFUNCTION("""COMPUTED_VALUE"""),"SUSE Linux Enterprise Server 15 SP3")</f>
        <v>SUSE Linux Enterprise Server 15 SP3</v>
      </c>
      <c r="H52" s="7" t="str">
        <f t="shared" si="2"/>
        <v>NO</v>
      </c>
      <c r="I52" s="7" t="str">
        <f t="shared" si="3"/>
        <v>NO</v>
      </c>
    </row>
    <row r="53">
      <c r="A53" s="4">
        <f>IFERROR(__xludf.DUMMYFUNCTION("""COMPUTED_VALUE"""),1178381.0)</f>
        <v>1178381</v>
      </c>
      <c r="B53" s="4" t="str">
        <f>IFERROR(__xludf.DUMMYFUNCTION("""COMPUTED_VALUE"""),"P2 - High")</f>
        <v>P2 - High</v>
      </c>
      <c r="C53" s="5">
        <f>IFERROR(__xludf.DUMMYFUNCTION("""COMPUTED_VALUE"""),44138.33864583333)</f>
        <v>44138.33865</v>
      </c>
      <c r="D53" s="4" t="str">
        <f>IFERROR(__xludf.DUMMYFUNCTION("""COMPUTED_VALUE"""),"NEW")</f>
        <v>NEW</v>
      </c>
      <c r="E53" s="6">
        <f>IFERROR(__xludf.DUMMYFUNCTION("""COMPUTED_VALUE"""),44356.476539351854)</f>
        <v>44356.47654</v>
      </c>
      <c r="F53" s="4" t="str">
        <f>IFERROR(__xludf.DUMMYFUNCTION("""COMPUTED_VALUE""")," ---")</f>
        <v> ---</v>
      </c>
      <c r="G53" s="4" t="str">
        <f>IFERROR(__xludf.DUMMYFUNCTION("""COMPUTED_VALUE"""),"SUSE Linux Enterprise Server 15 SP3")</f>
        <v>SUSE Linux Enterprise Server 15 SP3</v>
      </c>
      <c r="H53" s="7" t="str">
        <f t="shared" si="2"/>
        <v>NO</v>
      </c>
      <c r="I53" s="7" t="str">
        <f t="shared" si="3"/>
        <v>NO</v>
      </c>
    </row>
    <row r="54">
      <c r="A54" s="4">
        <f>IFERROR(__xludf.DUMMYFUNCTION("""COMPUTED_VALUE"""),1180172.0)</f>
        <v>1180172</v>
      </c>
      <c r="B54" s="4" t="str">
        <f>IFERROR(__xludf.DUMMYFUNCTION("""COMPUTED_VALUE"""),"P2 - High")</f>
        <v>P2 - High</v>
      </c>
      <c r="C54" s="5">
        <f>IFERROR(__xludf.DUMMYFUNCTION("""COMPUTED_VALUE"""),44182.58997685185)</f>
        <v>44182.58998</v>
      </c>
      <c r="D54" s="4" t="str">
        <f>IFERROR(__xludf.DUMMYFUNCTION("""COMPUTED_VALUE"""),"NEW")</f>
        <v>NEW</v>
      </c>
      <c r="E54" s="6">
        <f>IFERROR(__xludf.DUMMYFUNCTION("""COMPUTED_VALUE"""),44636.76657407408)</f>
        <v>44636.76657</v>
      </c>
      <c r="F54" s="4" t="str">
        <f>IFERROR(__xludf.DUMMYFUNCTION("""COMPUTED_VALUE""")," ---")</f>
        <v> ---</v>
      </c>
      <c r="G54" s="4" t="str">
        <f>IFERROR(__xludf.DUMMYFUNCTION("""COMPUTED_VALUE"""),"SUSE Linux Enterprise Server 15 SP3")</f>
        <v>SUSE Linux Enterprise Server 15 SP3</v>
      </c>
      <c r="H54" s="7" t="str">
        <f t="shared" si="2"/>
        <v>NO</v>
      </c>
      <c r="I54" s="7" t="str">
        <f t="shared" si="3"/>
        <v>NO</v>
      </c>
    </row>
    <row r="55">
      <c r="A55" s="4">
        <f>IFERROR(__xludf.DUMMYFUNCTION("""COMPUTED_VALUE"""),1181588.0)</f>
        <v>1181588</v>
      </c>
      <c r="B55" s="4" t="str">
        <f>IFERROR(__xludf.DUMMYFUNCTION("""COMPUTED_VALUE"""),"P2 - High")</f>
        <v>P2 - High</v>
      </c>
      <c r="C55" s="5">
        <f>IFERROR(__xludf.DUMMYFUNCTION("""COMPUTED_VALUE"""),44225.84519675926)</f>
        <v>44225.8452</v>
      </c>
      <c r="D55" s="4" t="str">
        <f>IFERROR(__xludf.DUMMYFUNCTION("""COMPUTED_VALUE"""),"NEW")</f>
        <v>NEW</v>
      </c>
      <c r="E55" s="6">
        <f>IFERROR(__xludf.DUMMYFUNCTION("""COMPUTED_VALUE"""),44628.99622685185)</f>
        <v>44628.99623</v>
      </c>
      <c r="F55" s="4" t="str">
        <f>IFERROR(__xludf.DUMMYFUNCTION("""COMPUTED_VALUE""")," ---")</f>
        <v> ---</v>
      </c>
      <c r="G55" s="4" t="str">
        <f>IFERROR(__xludf.DUMMYFUNCTION("""COMPUTED_VALUE"""),"SUSE Linux Enterprise Server 15 SP3")</f>
        <v>SUSE Linux Enterprise Server 15 SP3</v>
      </c>
      <c r="H55" s="7" t="str">
        <f t="shared" si="2"/>
        <v>NO</v>
      </c>
      <c r="I55" s="7" t="str">
        <f t="shared" si="3"/>
        <v>NO</v>
      </c>
    </row>
    <row r="56">
      <c r="A56" s="4">
        <f>IFERROR(__xludf.DUMMYFUNCTION("""COMPUTED_VALUE"""),1182566.0)</f>
        <v>1182566</v>
      </c>
      <c r="B56" s="4" t="str">
        <f>IFERROR(__xludf.DUMMYFUNCTION("""COMPUTED_VALUE"""),"P2 - High")</f>
        <v>P2 - High</v>
      </c>
      <c r="C56" s="5">
        <f>IFERROR(__xludf.DUMMYFUNCTION("""COMPUTED_VALUE"""),44249.5287962963)</f>
        <v>44249.5288</v>
      </c>
      <c r="D56" s="4" t="str">
        <f>IFERROR(__xludf.DUMMYFUNCTION("""COMPUTED_VALUE"""),"NEW")</f>
        <v>NEW</v>
      </c>
      <c r="E56" s="6">
        <f>IFERROR(__xludf.DUMMYFUNCTION("""COMPUTED_VALUE"""),44603.031180555554)</f>
        <v>44603.03118</v>
      </c>
      <c r="F56" s="4" t="str">
        <f>IFERROR(__xludf.DUMMYFUNCTION("""COMPUTED_VALUE""")," ---")</f>
        <v> ---</v>
      </c>
      <c r="G56" s="4" t="str">
        <f>IFERROR(__xludf.DUMMYFUNCTION("""COMPUTED_VALUE"""),"SUSE Linux Enterprise Server 15 SP3")</f>
        <v>SUSE Linux Enterprise Server 15 SP3</v>
      </c>
      <c r="H56" s="7" t="str">
        <f t="shared" si="2"/>
        <v>NO</v>
      </c>
      <c r="I56" s="7" t="str">
        <f t="shared" si="3"/>
        <v>NO</v>
      </c>
    </row>
    <row r="57">
      <c r="A57" s="4">
        <f>IFERROR(__xludf.DUMMYFUNCTION("""COMPUTED_VALUE"""),1177546.0)</f>
        <v>1177546</v>
      </c>
      <c r="B57" s="4" t="str">
        <f>IFERROR(__xludf.DUMMYFUNCTION("""COMPUTED_VALUE"""),"P2 - High")</f>
        <v>P2 - High</v>
      </c>
      <c r="C57" s="5">
        <f>IFERROR(__xludf.DUMMYFUNCTION("""COMPUTED_VALUE"""),44114.4225)</f>
        <v>44114.4225</v>
      </c>
      <c r="D57" s="4" t="str">
        <f>IFERROR(__xludf.DUMMYFUNCTION("""COMPUTED_VALUE"""),"NEW")</f>
        <v>NEW</v>
      </c>
      <c r="E57" s="6">
        <f>IFERROR(__xludf.DUMMYFUNCTION("""COMPUTED_VALUE"""),44356.47545138889)</f>
        <v>44356.47545</v>
      </c>
      <c r="F57" s="4" t="str">
        <f>IFERROR(__xludf.DUMMYFUNCTION("""COMPUTED_VALUE""")," ---")</f>
        <v> ---</v>
      </c>
      <c r="G57" s="4" t="str">
        <f>IFERROR(__xludf.DUMMYFUNCTION("""COMPUTED_VALUE"""),"SUSE Linux Enterprise Server 15 SP3")</f>
        <v>SUSE Linux Enterprise Server 15 SP3</v>
      </c>
      <c r="H57" s="7" t="str">
        <f t="shared" si="2"/>
        <v>NO</v>
      </c>
      <c r="I57" s="7" t="str">
        <f t="shared" si="3"/>
        <v>NO</v>
      </c>
    </row>
    <row r="58">
      <c r="A58" s="4">
        <f>IFERROR(__xludf.DUMMYFUNCTION("""COMPUTED_VALUE"""),1180909.0)</f>
        <v>1180909</v>
      </c>
      <c r="B58" s="4" t="str">
        <f>IFERROR(__xludf.DUMMYFUNCTION("""COMPUTED_VALUE"""),"P2 - High")</f>
        <v>P2 - High</v>
      </c>
      <c r="C58" s="5">
        <f>IFERROR(__xludf.DUMMYFUNCTION("""COMPUTED_VALUE"""),44210.11976851852)</f>
        <v>44210.11977</v>
      </c>
      <c r="D58" s="4" t="str">
        <f>IFERROR(__xludf.DUMMYFUNCTION("""COMPUTED_VALUE"""),"NEW")</f>
        <v>NEW</v>
      </c>
      <c r="E58" s="6">
        <f>IFERROR(__xludf.DUMMYFUNCTION("""COMPUTED_VALUE"""),44719.60704861111)</f>
        <v>44719.60705</v>
      </c>
      <c r="F58" s="4" t="str">
        <f>IFERROR(__xludf.DUMMYFUNCTION("""COMPUTED_VALUE"""),"Yes")</f>
        <v>Yes</v>
      </c>
      <c r="G58" s="4" t="str">
        <f>IFERROR(__xludf.DUMMYFUNCTION("""COMPUTED_VALUE"""),"SUSE Linux Enterprise Server 15 SP3")</f>
        <v>SUSE Linux Enterprise Server 15 SP3</v>
      </c>
      <c r="H58" s="7" t="str">
        <f t="shared" si="2"/>
        <v>NO</v>
      </c>
      <c r="I58" s="7" t="str">
        <f t="shared" si="3"/>
        <v>NO</v>
      </c>
    </row>
    <row r="59">
      <c r="A59" s="4">
        <f>IFERROR(__xludf.DUMMYFUNCTION("""COMPUTED_VALUE"""),1186885.0)</f>
        <v>1186885</v>
      </c>
      <c r="B59" s="4" t="str">
        <f>IFERROR(__xludf.DUMMYFUNCTION("""COMPUTED_VALUE"""),"P2 - High")</f>
        <v>P2 - High</v>
      </c>
      <c r="C59" s="5">
        <f>IFERROR(__xludf.DUMMYFUNCTION("""COMPUTED_VALUE"""),44351.777719907404)</f>
        <v>44351.77772</v>
      </c>
      <c r="D59" s="4" t="str">
        <f>IFERROR(__xludf.DUMMYFUNCTION("""COMPUTED_VALUE"""),"NEW")</f>
        <v>NEW</v>
      </c>
      <c r="E59" s="6">
        <f>IFERROR(__xludf.DUMMYFUNCTION("""COMPUTED_VALUE"""),44414.31164351852)</f>
        <v>44414.31164</v>
      </c>
      <c r="F59" s="4" t="str">
        <f>IFERROR(__xludf.DUMMYFUNCTION("""COMPUTED_VALUE"""),"Yes")</f>
        <v>Yes</v>
      </c>
      <c r="G59" s="4" t="str">
        <f>IFERROR(__xludf.DUMMYFUNCTION("""COMPUTED_VALUE"""),"SUSE Linux Enterprise Server 15 SP3")</f>
        <v>SUSE Linux Enterprise Server 15 SP3</v>
      </c>
      <c r="H59" s="7" t="str">
        <f t="shared" si="2"/>
        <v>NO</v>
      </c>
      <c r="I59" s="7" t="str">
        <f t="shared" si="3"/>
        <v>NO</v>
      </c>
    </row>
    <row r="60">
      <c r="A60" s="4">
        <f>IFERROR(__xludf.DUMMYFUNCTION("""COMPUTED_VALUE"""),1176661.0)</f>
        <v>1176661</v>
      </c>
      <c r="B60" s="4" t="str">
        <f>IFERROR(__xludf.DUMMYFUNCTION("""COMPUTED_VALUE"""),"P2 - High")</f>
        <v>P2 - High</v>
      </c>
      <c r="C60" s="5">
        <f>IFERROR(__xludf.DUMMYFUNCTION("""COMPUTED_VALUE"""),44091.28204861111)</f>
        <v>44091.28205</v>
      </c>
      <c r="D60" s="4" t="str">
        <f>IFERROR(__xludf.DUMMYFUNCTION("""COMPUTED_VALUE"""),"NEW")</f>
        <v>NEW</v>
      </c>
      <c r="E60" s="6">
        <f>IFERROR(__xludf.DUMMYFUNCTION("""COMPUTED_VALUE"""),44356.47584490741)</f>
        <v>44356.47584</v>
      </c>
      <c r="F60" s="4" t="str">
        <f>IFERROR(__xludf.DUMMYFUNCTION("""COMPUTED_VALUE""")," ---")</f>
        <v> ---</v>
      </c>
      <c r="G60" s="4" t="str">
        <f>IFERROR(__xludf.DUMMYFUNCTION("""COMPUTED_VALUE"""),"SUSE Linux Enterprise Server 15 SP3")</f>
        <v>SUSE Linux Enterprise Server 15 SP3</v>
      </c>
      <c r="H60" s="7" t="str">
        <f t="shared" si="2"/>
        <v>NO</v>
      </c>
      <c r="I60" s="7" t="str">
        <f t="shared" si="3"/>
        <v>NO</v>
      </c>
    </row>
    <row r="61">
      <c r="A61" s="4">
        <f>IFERROR(__xludf.DUMMYFUNCTION("""COMPUTED_VALUE"""),1183395.0)</f>
        <v>1183395</v>
      </c>
      <c r="B61" s="4" t="str">
        <f>IFERROR(__xludf.DUMMYFUNCTION("""COMPUTED_VALUE"""),"P2 - High")</f>
        <v>P2 - High</v>
      </c>
      <c r="C61" s="5">
        <f>IFERROR(__xludf.DUMMYFUNCTION("""COMPUTED_VALUE"""),44266.62099537037)</f>
        <v>44266.621</v>
      </c>
      <c r="D61" s="4" t="str">
        <f>IFERROR(__xludf.DUMMYFUNCTION("""COMPUTED_VALUE"""),"NEW")</f>
        <v>NEW</v>
      </c>
      <c r="E61" s="6">
        <f>IFERROR(__xludf.DUMMYFUNCTION("""COMPUTED_VALUE"""),44519.97162037037)</f>
        <v>44519.97162</v>
      </c>
      <c r="F61" s="4" t="str">
        <f>IFERROR(__xludf.DUMMYFUNCTION("""COMPUTED_VALUE""")," ---")</f>
        <v> ---</v>
      </c>
      <c r="G61" s="4" t="str">
        <f>IFERROR(__xludf.DUMMYFUNCTION("""COMPUTED_VALUE"""),"SUSE Linux Enterprise Server 15 SP3")</f>
        <v>SUSE Linux Enterprise Server 15 SP3</v>
      </c>
      <c r="H61" s="7" t="str">
        <f t="shared" si="2"/>
        <v>NO</v>
      </c>
      <c r="I61" s="7" t="str">
        <f t="shared" si="3"/>
        <v>NO</v>
      </c>
    </row>
    <row r="62">
      <c r="A62" s="4">
        <f>IFERROR(__xludf.DUMMYFUNCTION("""COMPUTED_VALUE"""),1183396.0)</f>
        <v>1183396</v>
      </c>
      <c r="B62" s="4" t="str">
        <f>IFERROR(__xludf.DUMMYFUNCTION("""COMPUTED_VALUE"""),"P2 - High")</f>
        <v>P2 - High</v>
      </c>
      <c r="C62" s="5">
        <f>IFERROR(__xludf.DUMMYFUNCTION("""COMPUTED_VALUE"""),44266.624398148146)</f>
        <v>44266.6244</v>
      </c>
      <c r="D62" s="4" t="str">
        <f>IFERROR(__xludf.DUMMYFUNCTION("""COMPUTED_VALUE"""),"NEW")</f>
        <v>NEW</v>
      </c>
      <c r="E62" s="6">
        <f>IFERROR(__xludf.DUMMYFUNCTION("""COMPUTED_VALUE"""),44519.97341435185)</f>
        <v>44519.97341</v>
      </c>
      <c r="F62" s="4" t="str">
        <f>IFERROR(__xludf.DUMMYFUNCTION("""COMPUTED_VALUE""")," ---")</f>
        <v> ---</v>
      </c>
      <c r="G62" s="4" t="str">
        <f>IFERROR(__xludf.DUMMYFUNCTION("""COMPUTED_VALUE"""),"SUSE Linux Enterprise Server 15 SP3")</f>
        <v>SUSE Linux Enterprise Server 15 SP3</v>
      </c>
      <c r="H62" s="7" t="str">
        <f t="shared" si="2"/>
        <v>NO</v>
      </c>
      <c r="I62" s="7" t="str">
        <f t="shared" si="3"/>
        <v>NO</v>
      </c>
    </row>
    <row r="63">
      <c r="A63" s="4">
        <f>IFERROR(__xludf.DUMMYFUNCTION("""COMPUTED_VALUE"""),1183462.0)</f>
        <v>1183462</v>
      </c>
      <c r="B63" s="4" t="str">
        <f>IFERROR(__xludf.DUMMYFUNCTION("""COMPUTED_VALUE"""),"P2 - High")</f>
        <v>P2 - High</v>
      </c>
      <c r="C63" s="5">
        <f>IFERROR(__xludf.DUMMYFUNCTION("""COMPUTED_VALUE"""),44267.72922453703)</f>
        <v>44267.72922</v>
      </c>
      <c r="D63" s="4" t="str">
        <f>IFERROR(__xludf.DUMMYFUNCTION("""COMPUTED_VALUE"""),"NEW")</f>
        <v>NEW</v>
      </c>
      <c r="E63" s="6">
        <f>IFERROR(__xludf.DUMMYFUNCTION("""COMPUTED_VALUE"""),44356.47666666667)</f>
        <v>44356.47667</v>
      </c>
      <c r="F63" s="4" t="str">
        <f>IFERROR(__xludf.DUMMYFUNCTION("""COMPUTED_VALUE""")," ---")</f>
        <v> ---</v>
      </c>
      <c r="G63" s="4" t="str">
        <f>IFERROR(__xludf.DUMMYFUNCTION("""COMPUTED_VALUE"""),"SUSE Linux Enterprise Server 15 SP3")</f>
        <v>SUSE Linux Enterprise Server 15 SP3</v>
      </c>
      <c r="H63" s="7" t="str">
        <f t="shared" si="2"/>
        <v>NO</v>
      </c>
      <c r="I63" s="7" t="str">
        <f t="shared" si="3"/>
        <v>NO</v>
      </c>
    </row>
    <row r="64">
      <c r="A64" s="4">
        <f>IFERROR(__xludf.DUMMYFUNCTION("""COMPUTED_VALUE"""),1187640.0)</f>
        <v>1187640</v>
      </c>
      <c r="B64" s="4" t="str">
        <f>IFERROR(__xludf.DUMMYFUNCTION("""COMPUTED_VALUE"""),"P2 - High")</f>
        <v>P2 - High</v>
      </c>
      <c r="C64" s="5">
        <f>IFERROR(__xludf.DUMMYFUNCTION("""COMPUTED_VALUE"""),44370.32833333333)</f>
        <v>44370.32833</v>
      </c>
      <c r="D64" s="4" t="str">
        <f>IFERROR(__xludf.DUMMYFUNCTION("""COMPUTED_VALUE"""),"NEW")</f>
        <v>NEW</v>
      </c>
      <c r="E64" s="6">
        <f>IFERROR(__xludf.DUMMYFUNCTION("""COMPUTED_VALUE"""),44384.564421296294)</f>
        <v>44384.56442</v>
      </c>
      <c r="F64" s="4" t="str">
        <f>IFERROR(__xludf.DUMMYFUNCTION("""COMPUTED_VALUE""")," ---")</f>
        <v> ---</v>
      </c>
      <c r="G64" s="4" t="str">
        <f>IFERROR(__xludf.DUMMYFUNCTION("""COMPUTED_VALUE"""),"SUSE Linux Enterprise Server 15 SP3")</f>
        <v>SUSE Linux Enterprise Server 15 SP3</v>
      </c>
      <c r="H64" s="7" t="str">
        <f t="shared" si="2"/>
        <v>NO</v>
      </c>
      <c r="I64" s="7" t="str">
        <f t="shared" si="3"/>
        <v>NO</v>
      </c>
    </row>
    <row r="65">
      <c r="A65" s="4">
        <f>IFERROR(__xludf.DUMMYFUNCTION("""COMPUTED_VALUE"""),1179250.0)</f>
        <v>1179250</v>
      </c>
      <c r="B65" s="4" t="str">
        <f>IFERROR(__xludf.DUMMYFUNCTION("""COMPUTED_VALUE"""),"P2 - High")</f>
        <v>P2 - High</v>
      </c>
      <c r="C65" s="5">
        <f>IFERROR(__xludf.DUMMYFUNCTION("""COMPUTED_VALUE"""),44161.43759259259)</f>
        <v>44161.43759</v>
      </c>
      <c r="D65" s="4" t="str">
        <f>IFERROR(__xludf.DUMMYFUNCTION("""COMPUTED_VALUE"""),"NEW")</f>
        <v>NEW</v>
      </c>
      <c r="E65" s="6">
        <f>IFERROR(__xludf.DUMMYFUNCTION("""COMPUTED_VALUE"""),44221.66050925926)</f>
        <v>44221.66051</v>
      </c>
      <c r="F65" s="4" t="str">
        <f>IFERROR(__xludf.DUMMYFUNCTION("""COMPUTED_VALUE""")," ---")</f>
        <v> ---</v>
      </c>
      <c r="G65" s="4" t="str">
        <f>IFERROR(__xludf.DUMMYFUNCTION("""COMPUTED_VALUE"""),"SUSE Linux Enterprise Server 15 SP3")</f>
        <v>SUSE Linux Enterprise Server 15 SP3</v>
      </c>
      <c r="H65" s="7" t="str">
        <f t="shared" si="2"/>
        <v>NO</v>
      </c>
      <c r="I65" s="7" t="str">
        <f t="shared" si="3"/>
        <v>NO</v>
      </c>
    </row>
    <row r="66">
      <c r="A66" s="4">
        <f>IFERROR(__xludf.DUMMYFUNCTION("""COMPUTED_VALUE"""),1181179.0)</f>
        <v>1181179</v>
      </c>
      <c r="B66" s="4" t="str">
        <f>IFERROR(__xludf.DUMMYFUNCTION("""COMPUTED_VALUE"""),"P2 - High")</f>
        <v>P2 - High</v>
      </c>
      <c r="C66" s="5">
        <f>IFERROR(__xludf.DUMMYFUNCTION("""COMPUTED_VALUE"""),44216.66730324074)</f>
        <v>44216.6673</v>
      </c>
      <c r="D66" s="4" t="str">
        <f>IFERROR(__xludf.DUMMYFUNCTION("""COMPUTED_VALUE"""),"NEW")</f>
        <v>NEW</v>
      </c>
      <c r="E66" s="6">
        <f>IFERROR(__xludf.DUMMYFUNCTION("""COMPUTED_VALUE"""),44447.68119212963)</f>
        <v>44447.68119</v>
      </c>
      <c r="F66" s="4" t="str">
        <f>IFERROR(__xludf.DUMMYFUNCTION("""COMPUTED_VALUE""")," ---")</f>
        <v> ---</v>
      </c>
      <c r="G66" s="4" t="str">
        <f>IFERROR(__xludf.DUMMYFUNCTION("""COMPUTED_VALUE"""),"SUSE Linux Enterprise Server 15 SP3")</f>
        <v>SUSE Linux Enterprise Server 15 SP3</v>
      </c>
      <c r="H66" s="7" t="str">
        <f t="shared" si="2"/>
        <v>NO</v>
      </c>
      <c r="I66" s="7" t="str">
        <f t="shared" si="3"/>
        <v>NO</v>
      </c>
    </row>
    <row r="67">
      <c r="A67" s="4">
        <f>IFERROR(__xludf.DUMMYFUNCTION("""COMPUTED_VALUE"""),1178414.0)</f>
        <v>1178414</v>
      </c>
      <c r="B67" s="4" t="str">
        <f>IFERROR(__xludf.DUMMYFUNCTION("""COMPUTED_VALUE"""),"P2 - High")</f>
        <v>P2 - High</v>
      </c>
      <c r="C67" s="5">
        <f>IFERROR(__xludf.DUMMYFUNCTION("""COMPUTED_VALUE"""),44139.054131944446)</f>
        <v>44139.05413</v>
      </c>
      <c r="D67" s="4" t="str">
        <f>IFERROR(__xludf.DUMMYFUNCTION("""COMPUTED_VALUE"""),"NEW")</f>
        <v>NEW</v>
      </c>
      <c r="E67" s="6">
        <f>IFERROR(__xludf.DUMMYFUNCTION("""COMPUTED_VALUE"""),44427.105266203704)</f>
        <v>44427.10527</v>
      </c>
      <c r="F67" s="4" t="str">
        <f>IFERROR(__xludf.DUMMYFUNCTION("""COMPUTED_VALUE"""),"Yes")</f>
        <v>Yes</v>
      </c>
      <c r="G67" s="4" t="str">
        <f>IFERROR(__xludf.DUMMYFUNCTION("""COMPUTED_VALUE"""),"SUSE Linux Enterprise Server 15 SP3")</f>
        <v>SUSE Linux Enterprise Server 15 SP3</v>
      </c>
      <c r="H67" s="7" t="str">
        <f t="shared" si="2"/>
        <v>NO</v>
      </c>
      <c r="I67" s="7" t="str">
        <f t="shared" si="3"/>
        <v>NO</v>
      </c>
    </row>
    <row r="68">
      <c r="A68" s="4">
        <f>IFERROR(__xludf.DUMMYFUNCTION("""COMPUTED_VALUE"""),1176771.0)</f>
        <v>1176771</v>
      </c>
      <c r="B68" s="4" t="str">
        <f>IFERROR(__xludf.DUMMYFUNCTION("""COMPUTED_VALUE"""),"P2 - High")</f>
        <v>P2 - High</v>
      </c>
      <c r="C68" s="5">
        <f>IFERROR(__xludf.DUMMYFUNCTION("""COMPUTED_VALUE"""),44095.478993055556)</f>
        <v>44095.47899</v>
      </c>
      <c r="D68" s="4" t="str">
        <f>IFERROR(__xludf.DUMMYFUNCTION("""COMPUTED_VALUE"""),"NEW")</f>
        <v>NEW</v>
      </c>
      <c r="E68" s="6">
        <f>IFERROR(__xludf.DUMMYFUNCTION("""COMPUTED_VALUE"""),44398.568333333336)</f>
        <v>44398.56833</v>
      </c>
      <c r="F68" s="4" t="str">
        <f>IFERROR(__xludf.DUMMYFUNCTION("""COMPUTED_VALUE""")," ---")</f>
        <v> ---</v>
      </c>
      <c r="G68" s="4" t="str">
        <f>IFERROR(__xludf.DUMMYFUNCTION("""COMPUTED_VALUE"""),"SUSE Linux Enterprise Server 15 SP3")</f>
        <v>SUSE Linux Enterprise Server 15 SP3</v>
      </c>
      <c r="H68" s="7" t="str">
        <f t="shared" si="2"/>
        <v>NO</v>
      </c>
      <c r="I68" s="7" t="str">
        <f t="shared" si="3"/>
        <v>NO</v>
      </c>
    </row>
    <row r="69">
      <c r="A69" s="4">
        <f>IFERROR(__xludf.DUMMYFUNCTION("""COMPUTED_VALUE"""),1187168.0)</f>
        <v>1187168</v>
      </c>
      <c r="B69" s="4" t="str">
        <f>IFERROR(__xludf.DUMMYFUNCTION("""COMPUTED_VALUE"""),"P2 - High")</f>
        <v>P2 - High</v>
      </c>
      <c r="C69" s="5">
        <f>IFERROR(__xludf.DUMMYFUNCTION("""COMPUTED_VALUE"""),44357.455625)</f>
        <v>44357.45563</v>
      </c>
      <c r="D69" s="4" t="str">
        <f>IFERROR(__xludf.DUMMYFUNCTION("""COMPUTED_VALUE"""),"NEW")</f>
        <v>NEW</v>
      </c>
      <c r="E69" s="6">
        <f>IFERROR(__xludf.DUMMYFUNCTION("""COMPUTED_VALUE"""),44700.05677083333)</f>
        <v>44700.05677</v>
      </c>
      <c r="F69" s="4" t="str">
        <f>IFERROR(__xludf.DUMMYFUNCTION("""COMPUTED_VALUE""")," ---")</f>
        <v> ---</v>
      </c>
      <c r="G69" s="4" t="str">
        <f>IFERROR(__xludf.DUMMYFUNCTION("""COMPUTED_VALUE"""),"SUSE Linux Enterprise Server 15 SP3")</f>
        <v>SUSE Linux Enterprise Server 15 SP3</v>
      </c>
      <c r="H69" s="7" t="str">
        <f t="shared" si="2"/>
        <v>NO</v>
      </c>
      <c r="I69" s="7" t="str">
        <f t="shared" si="3"/>
        <v>NO</v>
      </c>
    </row>
    <row r="70">
      <c r="A70" s="4">
        <f>IFERROR(__xludf.DUMMYFUNCTION("""COMPUTED_VALUE"""),1176853.0)</f>
        <v>1176853</v>
      </c>
      <c r="B70" s="4" t="str">
        <f>IFERROR(__xludf.DUMMYFUNCTION("""COMPUTED_VALUE"""),"P2 - High")</f>
        <v>P2 - High</v>
      </c>
      <c r="C70" s="5">
        <f>IFERROR(__xludf.DUMMYFUNCTION("""COMPUTED_VALUE"""),44097.40744212963)</f>
        <v>44097.40744</v>
      </c>
      <c r="D70" s="4" t="str">
        <f>IFERROR(__xludf.DUMMYFUNCTION("""COMPUTED_VALUE"""),"NEW")</f>
        <v>NEW</v>
      </c>
      <c r="E70" s="6">
        <f>IFERROR(__xludf.DUMMYFUNCTION("""COMPUTED_VALUE"""),44723.02274305555)</f>
        <v>44723.02274</v>
      </c>
      <c r="F70" s="4" t="str">
        <f>IFERROR(__xludf.DUMMYFUNCTION("""COMPUTED_VALUE""")," ---")</f>
        <v> ---</v>
      </c>
      <c r="G70" s="4" t="str">
        <f>IFERROR(__xludf.DUMMYFUNCTION("""COMPUTED_VALUE"""),"SUSE Linux Enterprise Server 15 SP3")</f>
        <v>SUSE Linux Enterprise Server 15 SP3</v>
      </c>
      <c r="H70" s="7" t="str">
        <f t="shared" si="2"/>
        <v>NO</v>
      </c>
      <c r="I70" s="7" t="str">
        <f t="shared" si="3"/>
        <v>NO</v>
      </c>
    </row>
    <row r="71">
      <c r="A71" s="4">
        <f>IFERROR(__xludf.DUMMYFUNCTION("""COMPUTED_VALUE"""),1177610.0)</f>
        <v>1177610</v>
      </c>
      <c r="B71" s="4" t="str">
        <f>IFERROR(__xludf.DUMMYFUNCTION("""COMPUTED_VALUE"""),"P2 - High")</f>
        <v>P2 - High</v>
      </c>
      <c r="C71" s="5">
        <f>IFERROR(__xludf.DUMMYFUNCTION("""COMPUTED_VALUE"""),44117.29204861111)</f>
        <v>44117.29205</v>
      </c>
      <c r="D71" s="4" t="str">
        <f>IFERROR(__xludf.DUMMYFUNCTION("""COMPUTED_VALUE"""),"NEW")</f>
        <v>NEW</v>
      </c>
      <c r="E71" s="6">
        <f>IFERROR(__xludf.DUMMYFUNCTION("""COMPUTED_VALUE"""),44383.60053240741)</f>
        <v>44383.60053</v>
      </c>
      <c r="F71" s="4" t="str">
        <f>IFERROR(__xludf.DUMMYFUNCTION("""COMPUTED_VALUE""")," ---")</f>
        <v> ---</v>
      </c>
      <c r="G71" s="4" t="str">
        <f>IFERROR(__xludf.DUMMYFUNCTION("""COMPUTED_VALUE"""),"SUSE Linux Enterprise Server 15 SP3")</f>
        <v>SUSE Linux Enterprise Server 15 SP3</v>
      </c>
      <c r="H71" s="7" t="str">
        <f t="shared" si="2"/>
        <v>NO</v>
      </c>
      <c r="I71" s="7" t="str">
        <f t="shared" si="3"/>
        <v>NO</v>
      </c>
    </row>
    <row r="72">
      <c r="A72" s="4">
        <f>IFERROR(__xludf.DUMMYFUNCTION("""COMPUTED_VALUE"""),1178781.0)</f>
        <v>1178781</v>
      </c>
      <c r="B72" s="4" t="str">
        <f>IFERROR(__xludf.DUMMYFUNCTION("""COMPUTED_VALUE"""),"P2 - High")</f>
        <v>P2 - High</v>
      </c>
      <c r="C72" s="5">
        <f>IFERROR(__xludf.DUMMYFUNCTION("""COMPUTED_VALUE"""),44148.632199074076)</f>
        <v>44148.6322</v>
      </c>
      <c r="D72" s="4" t="str">
        <f>IFERROR(__xludf.DUMMYFUNCTION("""COMPUTED_VALUE"""),"NEW")</f>
        <v>NEW</v>
      </c>
      <c r="E72" s="6">
        <f>IFERROR(__xludf.DUMMYFUNCTION("""COMPUTED_VALUE"""),44356.477013888885)</f>
        <v>44356.47701</v>
      </c>
      <c r="F72" s="4" t="str">
        <f>IFERROR(__xludf.DUMMYFUNCTION("""COMPUTED_VALUE""")," ---")</f>
        <v> ---</v>
      </c>
      <c r="G72" s="4" t="str">
        <f>IFERROR(__xludf.DUMMYFUNCTION("""COMPUTED_VALUE"""),"SUSE Linux Enterprise Server 15 SP3")</f>
        <v>SUSE Linux Enterprise Server 15 SP3</v>
      </c>
      <c r="H72" s="7" t="str">
        <f t="shared" si="2"/>
        <v>NO</v>
      </c>
      <c r="I72" s="7" t="str">
        <f t="shared" si="3"/>
        <v>NO</v>
      </c>
    </row>
    <row r="73">
      <c r="A73" s="4">
        <f>IFERROR(__xludf.DUMMYFUNCTION("""COMPUTED_VALUE"""),1182595.0)</f>
        <v>1182595</v>
      </c>
      <c r="B73" s="4" t="str">
        <f>IFERROR(__xludf.DUMMYFUNCTION("""COMPUTED_VALUE"""),"P2 - High")</f>
        <v>P2 - High</v>
      </c>
      <c r="C73" s="5">
        <f>IFERROR(__xludf.DUMMYFUNCTION("""COMPUTED_VALUE"""),44250.3644212963)</f>
        <v>44250.36442</v>
      </c>
      <c r="D73" s="4" t="str">
        <f>IFERROR(__xludf.DUMMYFUNCTION("""COMPUTED_VALUE"""),"CONFIRMED")</f>
        <v>CONFIRMED</v>
      </c>
      <c r="E73" s="6">
        <f>IFERROR(__xludf.DUMMYFUNCTION("""COMPUTED_VALUE"""),44636.77322916667)</f>
        <v>44636.77323</v>
      </c>
      <c r="F73" s="4" t="str">
        <f>IFERROR(__xludf.DUMMYFUNCTION("""COMPUTED_VALUE""")," ---")</f>
        <v> ---</v>
      </c>
      <c r="G73" s="4" t="str">
        <f>IFERROR(__xludf.DUMMYFUNCTION("""COMPUTED_VALUE"""),"SUSE Linux Enterprise Server 15 SP3")</f>
        <v>SUSE Linux Enterprise Server 15 SP3</v>
      </c>
      <c r="H73" s="7" t="str">
        <f t="shared" si="2"/>
        <v>NO</v>
      </c>
      <c r="I73" s="7" t="str">
        <f t="shared" si="3"/>
        <v>NO</v>
      </c>
    </row>
    <row r="74">
      <c r="A74" s="4">
        <f>IFERROR(__xludf.DUMMYFUNCTION("""COMPUTED_VALUE"""),1183558.0)</f>
        <v>1183558</v>
      </c>
      <c r="B74" s="4" t="str">
        <f>IFERROR(__xludf.DUMMYFUNCTION("""COMPUTED_VALUE"""),"P2 - High")</f>
        <v>P2 - High</v>
      </c>
      <c r="C74" s="5">
        <f>IFERROR(__xludf.DUMMYFUNCTION("""COMPUTED_VALUE"""),44270.84074074074)</f>
        <v>44270.84074</v>
      </c>
      <c r="D74" s="4" t="str">
        <f>IFERROR(__xludf.DUMMYFUNCTION("""COMPUTED_VALUE"""),"CONFIRMED")</f>
        <v>CONFIRMED</v>
      </c>
      <c r="E74" s="6">
        <f>IFERROR(__xludf.DUMMYFUNCTION("""COMPUTED_VALUE"""),44341.456979166665)</f>
        <v>44341.45698</v>
      </c>
      <c r="F74" s="4" t="str">
        <f>IFERROR(__xludf.DUMMYFUNCTION("""COMPUTED_VALUE""")," ---")</f>
        <v> ---</v>
      </c>
      <c r="G74" s="4" t="str">
        <f>IFERROR(__xludf.DUMMYFUNCTION("""COMPUTED_VALUE"""),"SUSE Linux Enterprise Server 15 SP3")</f>
        <v>SUSE Linux Enterprise Server 15 SP3</v>
      </c>
      <c r="H74" s="7" t="str">
        <f t="shared" si="2"/>
        <v>NO</v>
      </c>
      <c r="I74" s="7" t="str">
        <f t="shared" si="3"/>
        <v>NO</v>
      </c>
    </row>
    <row r="75">
      <c r="A75" s="4">
        <f>IFERROR(__xludf.DUMMYFUNCTION("""COMPUTED_VALUE"""),1184336.0)</f>
        <v>1184336</v>
      </c>
      <c r="B75" s="4" t="str">
        <f>IFERROR(__xludf.DUMMYFUNCTION("""COMPUTED_VALUE"""),"P2 - High")</f>
        <v>P2 - High</v>
      </c>
      <c r="C75" s="5">
        <f>IFERROR(__xludf.DUMMYFUNCTION("""COMPUTED_VALUE"""),44291.54157407407)</f>
        <v>44291.54157</v>
      </c>
      <c r="D75" s="4" t="str">
        <f>IFERROR(__xludf.DUMMYFUNCTION("""COMPUTED_VALUE"""),"CONFIRMED")</f>
        <v>CONFIRMED</v>
      </c>
      <c r="E75" s="6">
        <f>IFERROR(__xludf.DUMMYFUNCTION("""COMPUTED_VALUE"""),44666.20940972222)</f>
        <v>44666.20941</v>
      </c>
      <c r="F75" s="4" t="str">
        <f>IFERROR(__xludf.DUMMYFUNCTION("""COMPUTED_VALUE""")," ---")</f>
        <v> ---</v>
      </c>
      <c r="G75" s="4" t="str">
        <f>IFERROR(__xludf.DUMMYFUNCTION("""COMPUTED_VALUE"""),"SUSE Linux Enterprise Server 15 SP3")</f>
        <v>SUSE Linux Enterprise Server 15 SP3</v>
      </c>
      <c r="H75" s="7" t="str">
        <f t="shared" si="2"/>
        <v>NO</v>
      </c>
      <c r="I75" s="7" t="str">
        <f t="shared" si="3"/>
        <v>NO</v>
      </c>
    </row>
    <row r="76">
      <c r="A76" s="4">
        <f>IFERROR(__xludf.DUMMYFUNCTION("""COMPUTED_VALUE"""),1174649.0)</f>
        <v>1174649</v>
      </c>
      <c r="B76" s="4" t="str">
        <f>IFERROR(__xludf.DUMMYFUNCTION("""COMPUTED_VALUE"""),"P2 - High")</f>
        <v>P2 - High</v>
      </c>
      <c r="C76" s="5">
        <f>IFERROR(__xludf.DUMMYFUNCTION("""COMPUTED_VALUE"""),44041.42046296296)</f>
        <v>44041.42046</v>
      </c>
      <c r="D76" s="4" t="str">
        <f>IFERROR(__xludf.DUMMYFUNCTION("""COMPUTED_VALUE"""),"IN_PROGRESS")</f>
        <v>IN_PROGRESS</v>
      </c>
      <c r="E76" s="6">
        <f>IFERROR(__xludf.DUMMYFUNCTION("""COMPUTED_VALUE"""),44532.540625)</f>
        <v>44532.54063</v>
      </c>
      <c r="F76" s="4" t="str">
        <f>IFERROR(__xludf.DUMMYFUNCTION("""COMPUTED_VALUE""")," ---")</f>
        <v> ---</v>
      </c>
      <c r="G76" s="4" t="str">
        <f>IFERROR(__xludf.DUMMYFUNCTION("""COMPUTED_VALUE"""),"SUSE Linux Enterprise Server 15 SP3")</f>
        <v>SUSE Linux Enterprise Server 15 SP3</v>
      </c>
      <c r="H76" s="7" t="str">
        <f t="shared" si="2"/>
        <v>NO</v>
      </c>
      <c r="I76" s="7" t="str">
        <f t="shared" si="3"/>
        <v>NO</v>
      </c>
    </row>
    <row r="77">
      <c r="A77" s="4">
        <f>IFERROR(__xludf.DUMMYFUNCTION("""COMPUTED_VALUE"""),1180762.0)</f>
        <v>1180762</v>
      </c>
      <c r="B77" s="4" t="str">
        <f>IFERROR(__xludf.DUMMYFUNCTION("""COMPUTED_VALUE"""),"P2 - High")</f>
        <v>P2 - High</v>
      </c>
      <c r="C77" s="5">
        <f>IFERROR(__xludf.DUMMYFUNCTION("""COMPUTED_VALUE"""),44207.421319444446)</f>
        <v>44207.42132</v>
      </c>
      <c r="D77" s="4" t="str">
        <f>IFERROR(__xludf.DUMMYFUNCTION("""COMPUTED_VALUE"""),"IN_PROGRESS")</f>
        <v>IN_PROGRESS</v>
      </c>
      <c r="E77" s="6">
        <f>IFERROR(__xludf.DUMMYFUNCTION("""COMPUTED_VALUE"""),44650.571921296294)</f>
        <v>44650.57192</v>
      </c>
      <c r="F77" s="4" t="str">
        <f>IFERROR(__xludf.DUMMYFUNCTION("""COMPUTED_VALUE""")," ---")</f>
        <v> ---</v>
      </c>
      <c r="G77" s="4" t="str">
        <f>IFERROR(__xludf.DUMMYFUNCTION("""COMPUTED_VALUE"""),"SUSE Linux Enterprise Server 15 SP3")</f>
        <v>SUSE Linux Enterprise Server 15 SP3</v>
      </c>
      <c r="H77" s="7" t="str">
        <f t="shared" si="2"/>
        <v>NO</v>
      </c>
      <c r="I77" s="7" t="str">
        <f t="shared" si="3"/>
        <v>NO</v>
      </c>
    </row>
    <row r="78">
      <c r="A78" s="4">
        <f>IFERROR(__xludf.DUMMYFUNCTION("""COMPUTED_VALUE"""),1185701.0)</f>
        <v>1185701</v>
      </c>
      <c r="B78" s="4" t="str">
        <f>IFERROR(__xludf.DUMMYFUNCTION("""COMPUTED_VALUE"""),"P2 - High")</f>
        <v>P2 - High</v>
      </c>
      <c r="C78" s="5">
        <f>IFERROR(__xludf.DUMMYFUNCTION("""COMPUTED_VALUE"""),44322.33592592592)</f>
        <v>44322.33593</v>
      </c>
      <c r="D78" s="4" t="str">
        <f>IFERROR(__xludf.DUMMYFUNCTION("""COMPUTED_VALUE"""),"IN_PROGRESS")</f>
        <v>IN_PROGRESS</v>
      </c>
      <c r="E78" s="6">
        <f>IFERROR(__xludf.DUMMYFUNCTION("""COMPUTED_VALUE"""),44624.93037037037)</f>
        <v>44624.93037</v>
      </c>
      <c r="F78" s="4" t="str">
        <f>IFERROR(__xludf.DUMMYFUNCTION("""COMPUTED_VALUE""")," ---")</f>
        <v> ---</v>
      </c>
      <c r="G78" s="4" t="str">
        <f>IFERROR(__xludf.DUMMYFUNCTION("""COMPUTED_VALUE"""),"PUBLIC SUSE Linux Enterprise Server 15 SP3")</f>
        <v>PUBLIC SUSE Linux Enterprise Server 15 SP3</v>
      </c>
      <c r="H78" s="7" t="str">
        <f t="shared" si="2"/>
        <v>NO</v>
      </c>
      <c r="I78" s="7" t="str">
        <f t="shared" si="3"/>
        <v>NO</v>
      </c>
    </row>
    <row r="79">
      <c r="A79" s="4">
        <f>IFERROR(__xludf.DUMMYFUNCTION("""COMPUTED_VALUE"""),1185269.0)</f>
        <v>1185269</v>
      </c>
      <c r="B79" s="4" t="str">
        <f>IFERROR(__xludf.DUMMYFUNCTION("""COMPUTED_VALUE"""),"P2 - High")</f>
        <v>P2 - High</v>
      </c>
      <c r="C79" s="5">
        <f>IFERROR(__xludf.DUMMYFUNCTION("""COMPUTED_VALUE"""),44311.35799768518)</f>
        <v>44311.358</v>
      </c>
      <c r="D79" s="4" t="str">
        <f>IFERROR(__xludf.DUMMYFUNCTION("""COMPUTED_VALUE"""),"IN_PROGRESS")</f>
        <v>IN_PROGRESS</v>
      </c>
      <c r="E79" s="6">
        <f>IFERROR(__xludf.DUMMYFUNCTION("""COMPUTED_VALUE"""),44388.73038194444)</f>
        <v>44388.73038</v>
      </c>
      <c r="F79" s="4" t="str">
        <f>IFERROR(__xludf.DUMMYFUNCTION("""COMPUTED_VALUE""")," ---")</f>
        <v> ---</v>
      </c>
      <c r="G79" s="4" t="str">
        <f>IFERROR(__xludf.DUMMYFUNCTION("""COMPUTED_VALUE"""),"SUSE Linux Enterprise Server 15 SP3")</f>
        <v>SUSE Linux Enterprise Server 15 SP3</v>
      </c>
      <c r="H79" s="7" t="str">
        <f t="shared" si="2"/>
        <v>NO</v>
      </c>
      <c r="I79" s="7" t="str">
        <f t="shared" si="3"/>
        <v>NO</v>
      </c>
    </row>
    <row r="80">
      <c r="A80" s="4">
        <f>IFERROR(__xludf.DUMMYFUNCTION("""COMPUTED_VALUE"""),1185678.0)</f>
        <v>1185678</v>
      </c>
      <c r="B80" s="4" t="str">
        <f>IFERROR(__xludf.DUMMYFUNCTION("""COMPUTED_VALUE"""),"P2 - High")</f>
        <v>P2 - High</v>
      </c>
      <c r="C80" s="5">
        <f>IFERROR(__xludf.DUMMYFUNCTION("""COMPUTED_VALUE"""),44321.66111111111)</f>
        <v>44321.66111</v>
      </c>
      <c r="D80" s="4" t="str">
        <f>IFERROR(__xludf.DUMMYFUNCTION("""COMPUTED_VALUE"""),"IN_PROGRESS")</f>
        <v>IN_PROGRESS</v>
      </c>
      <c r="E80" s="6">
        <f>IFERROR(__xludf.DUMMYFUNCTION("""COMPUTED_VALUE"""),44399.28569444444)</f>
        <v>44399.28569</v>
      </c>
      <c r="F80" s="4" t="str">
        <f>IFERROR(__xludf.DUMMYFUNCTION("""COMPUTED_VALUE""")," ---")</f>
        <v> ---</v>
      </c>
      <c r="G80" s="4" t="str">
        <f>IFERROR(__xludf.DUMMYFUNCTION("""COMPUTED_VALUE"""),"SUSE Linux Enterprise Server 15 SP3")</f>
        <v>SUSE Linux Enterprise Server 15 SP3</v>
      </c>
      <c r="H80" s="7" t="str">
        <f t="shared" si="2"/>
        <v>NO</v>
      </c>
      <c r="I80" s="7" t="str">
        <f t="shared" si="3"/>
        <v>NO</v>
      </c>
    </row>
    <row r="81">
      <c r="A81" s="4">
        <f>IFERROR(__xludf.DUMMYFUNCTION("""COMPUTED_VALUE"""),1183392.0)</f>
        <v>1183392</v>
      </c>
      <c r="B81" s="4" t="str">
        <f>IFERROR(__xludf.DUMMYFUNCTION("""COMPUTED_VALUE"""),"P2 - High")</f>
        <v>P2 - High</v>
      </c>
      <c r="C81" s="5">
        <f>IFERROR(__xludf.DUMMYFUNCTION("""COMPUTED_VALUE"""),44266.60988425926)</f>
        <v>44266.60988</v>
      </c>
      <c r="D81" s="4" t="str">
        <f>IFERROR(__xludf.DUMMYFUNCTION("""COMPUTED_VALUE"""),"REOPENED")</f>
        <v>REOPENED</v>
      </c>
      <c r="E81" s="6">
        <f>IFERROR(__xludf.DUMMYFUNCTION("""COMPUTED_VALUE"""),44668.49041666667)</f>
        <v>44668.49042</v>
      </c>
      <c r="F81" s="4" t="str">
        <f>IFERROR(__xludf.DUMMYFUNCTION("""COMPUTED_VALUE""")," ---")</f>
        <v> ---</v>
      </c>
      <c r="G81" s="4" t="str">
        <f>IFERROR(__xludf.DUMMYFUNCTION("""COMPUTED_VALUE"""),"SUSE Linux Enterprise Server 15 SP3")</f>
        <v>SUSE Linux Enterprise Server 15 SP3</v>
      </c>
      <c r="H81" s="7" t="str">
        <f t="shared" si="2"/>
        <v>NO</v>
      </c>
      <c r="I81" s="7" t="str">
        <f t="shared" si="3"/>
        <v>NO</v>
      </c>
    </row>
    <row r="82">
      <c r="A82" s="4">
        <f>IFERROR(__xludf.DUMMYFUNCTION("""COMPUTED_VALUE"""),1186716.0)</f>
        <v>1186716</v>
      </c>
      <c r="B82" s="4" t="str">
        <f>IFERROR(__xludf.DUMMYFUNCTION("""COMPUTED_VALUE"""),"P2 - High")</f>
        <v>P2 - High</v>
      </c>
      <c r="C82" s="5">
        <f>IFERROR(__xludf.DUMMYFUNCTION("""COMPUTED_VALUE"""),44349.22001157407)</f>
        <v>44349.22001</v>
      </c>
      <c r="D82" s="4" t="str">
        <f>IFERROR(__xludf.DUMMYFUNCTION("""COMPUTED_VALUE"""),"REOPENED")</f>
        <v>REOPENED</v>
      </c>
      <c r="E82" s="6">
        <f>IFERROR(__xludf.DUMMYFUNCTION("""COMPUTED_VALUE"""),44600.60673611111)</f>
        <v>44600.60674</v>
      </c>
      <c r="F82" s="4" t="str">
        <f>IFERROR(__xludf.DUMMYFUNCTION("""COMPUTED_VALUE""")," ---")</f>
        <v> ---</v>
      </c>
      <c r="G82" s="4" t="str">
        <f>IFERROR(__xludf.DUMMYFUNCTION("""COMPUTED_VALUE"""),"SUSE Linux Enterprise Server 15 SP3")</f>
        <v>SUSE Linux Enterprise Server 15 SP3</v>
      </c>
      <c r="H82" s="7" t="str">
        <f t="shared" si="2"/>
        <v>NO</v>
      </c>
      <c r="I82" s="7" t="str">
        <f t="shared" si="3"/>
        <v>NO</v>
      </c>
    </row>
    <row r="83">
      <c r="A83" s="4">
        <f>IFERROR(__xludf.DUMMYFUNCTION("""COMPUTED_VALUE"""),1182759.0)</f>
        <v>1182759</v>
      </c>
      <c r="B83" s="4" t="str">
        <f>IFERROR(__xludf.DUMMYFUNCTION("""COMPUTED_VALUE"""),"P2 - High")</f>
        <v>P2 - High</v>
      </c>
      <c r="C83" s="5">
        <f>IFERROR(__xludf.DUMMYFUNCTION("""COMPUTED_VALUE"""),44252.60061342592)</f>
        <v>44252.60061</v>
      </c>
      <c r="D83" s="4" t="str">
        <f>IFERROR(__xludf.DUMMYFUNCTION("""COMPUTED_VALUE"""),"RESOLVED")</f>
        <v>RESOLVED</v>
      </c>
      <c r="E83" s="6">
        <f>IFERROR(__xludf.DUMMYFUNCTION("""COMPUTED_VALUE"""),44270.31196759259)</f>
        <v>44270.31197</v>
      </c>
      <c r="F83" s="4" t="str">
        <f>IFERROR(__xludf.DUMMYFUNCTION("""COMPUTED_VALUE""")," ---")</f>
        <v> ---</v>
      </c>
      <c r="G83" s="4" t="str">
        <f>IFERROR(__xludf.DUMMYFUNCTION("""COMPUTED_VALUE"""),"SUSE Linux Enterprise Server 15 SP3")</f>
        <v>SUSE Linux Enterprise Server 15 SP3</v>
      </c>
      <c r="H83" s="7" t="str">
        <f t="shared" si="2"/>
        <v>NO</v>
      </c>
      <c r="I83" s="7" t="str">
        <f t="shared" si="3"/>
        <v>NO</v>
      </c>
    </row>
    <row r="84">
      <c r="A84" s="4">
        <f>IFERROR(__xludf.DUMMYFUNCTION("""COMPUTED_VALUE"""),1177732.0)</f>
        <v>1177732</v>
      </c>
      <c r="B84" s="4" t="str">
        <f>IFERROR(__xludf.DUMMYFUNCTION("""COMPUTED_VALUE"""),"P2 - High")</f>
        <v>P2 - High</v>
      </c>
      <c r="C84" s="5">
        <f>IFERROR(__xludf.DUMMYFUNCTION("""COMPUTED_VALUE"""),44119.29180555556)</f>
        <v>44119.29181</v>
      </c>
      <c r="D84" s="4" t="str">
        <f>IFERROR(__xludf.DUMMYFUNCTION("""COMPUTED_VALUE"""),"RESOLVED")</f>
        <v>RESOLVED</v>
      </c>
      <c r="E84" s="6">
        <f>IFERROR(__xludf.DUMMYFUNCTION("""COMPUTED_VALUE"""),44135.294699074075)</f>
        <v>44135.2947</v>
      </c>
      <c r="F84" s="4" t="str">
        <f>IFERROR(__xludf.DUMMYFUNCTION("""COMPUTED_VALUE""")," ---")</f>
        <v> ---</v>
      </c>
      <c r="G84" s="4" t="str">
        <f>IFERROR(__xludf.DUMMYFUNCTION("""COMPUTED_VALUE"""),"SUSE Linux Enterprise Server 15 SP3")</f>
        <v>SUSE Linux Enterprise Server 15 SP3</v>
      </c>
      <c r="H84" s="7" t="str">
        <f t="shared" si="2"/>
        <v>NO</v>
      </c>
      <c r="I84" s="7" t="str">
        <f t="shared" si="3"/>
        <v>NO</v>
      </c>
    </row>
    <row r="85">
      <c r="A85" s="4">
        <f>IFERROR(__xludf.DUMMYFUNCTION("""COMPUTED_VALUE"""),1178609.0)</f>
        <v>1178609</v>
      </c>
      <c r="B85" s="4" t="str">
        <f>IFERROR(__xludf.DUMMYFUNCTION("""COMPUTED_VALUE"""),"P2 - High")</f>
        <v>P2 - High</v>
      </c>
      <c r="C85" s="5">
        <f>IFERROR(__xludf.DUMMYFUNCTION("""COMPUTED_VALUE"""),44145.34516203704)</f>
        <v>44145.34516</v>
      </c>
      <c r="D85" s="4" t="str">
        <f>IFERROR(__xludf.DUMMYFUNCTION("""COMPUTED_VALUE"""),"RESOLVED")</f>
        <v>RESOLVED</v>
      </c>
      <c r="E85" s="6">
        <f>IFERROR(__xludf.DUMMYFUNCTION("""COMPUTED_VALUE"""),44384.857627314814)</f>
        <v>44384.85763</v>
      </c>
      <c r="F85" s="4" t="str">
        <f>IFERROR(__xludf.DUMMYFUNCTION("""COMPUTED_VALUE""")," ---")</f>
        <v> ---</v>
      </c>
      <c r="G85" s="4" t="str">
        <f>IFERROR(__xludf.DUMMYFUNCTION("""COMPUTED_VALUE"""),"SUSE Linux Enterprise Server 15 SP3")</f>
        <v>SUSE Linux Enterprise Server 15 SP3</v>
      </c>
      <c r="H85" s="7" t="str">
        <f t="shared" si="2"/>
        <v>NO</v>
      </c>
      <c r="I85" s="7" t="str">
        <f t="shared" si="3"/>
        <v>NO</v>
      </c>
    </row>
    <row r="86">
      <c r="A86" s="4">
        <f>IFERROR(__xludf.DUMMYFUNCTION("""COMPUTED_VALUE"""),1181238.0)</f>
        <v>1181238</v>
      </c>
      <c r="B86" s="4" t="str">
        <f>IFERROR(__xludf.DUMMYFUNCTION("""COMPUTED_VALUE"""),"P2 - High")</f>
        <v>P2 - High</v>
      </c>
      <c r="C86" s="5">
        <f>IFERROR(__xludf.DUMMYFUNCTION("""COMPUTED_VALUE"""),44217.58023148148)</f>
        <v>44217.58023</v>
      </c>
      <c r="D86" s="4" t="str">
        <f>IFERROR(__xludf.DUMMYFUNCTION("""COMPUTED_VALUE"""),"RESOLVED")</f>
        <v>RESOLVED</v>
      </c>
      <c r="E86" s="6">
        <f>IFERROR(__xludf.DUMMYFUNCTION("""COMPUTED_VALUE"""),44365.26337962963)</f>
        <v>44365.26338</v>
      </c>
      <c r="F86" s="4" t="str">
        <f>IFERROR(__xludf.DUMMYFUNCTION("""COMPUTED_VALUE""")," ---")</f>
        <v> ---</v>
      </c>
      <c r="G86" s="4" t="str">
        <f>IFERROR(__xludf.DUMMYFUNCTION("""COMPUTED_VALUE"""),"SUSE Linux Enterprise Server 15 SP3")</f>
        <v>SUSE Linux Enterprise Server 15 SP3</v>
      </c>
      <c r="H86" s="7" t="str">
        <f t="shared" si="2"/>
        <v>NO</v>
      </c>
      <c r="I86" s="7" t="str">
        <f t="shared" si="3"/>
        <v>NO</v>
      </c>
    </row>
    <row r="87">
      <c r="A87" s="4">
        <f>IFERROR(__xludf.DUMMYFUNCTION("""COMPUTED_VALUE"""),1181299.0)</f>
        <v>1181299</v>
      </c>
      <c r="B87" s="4" t="str">
        <f>IFERROR(__xludf.DUMMYFUNCTION("""COMPUTED_VALUE"""),"P2 - High")</f>
        <v>P2 - High</v>
      </c>
      <c r="C87" s="5">
        <f>IFERROR(__xludf.DUMMYFUNCTION("""COMPUTED_VALUE"""),44218.64571759259)</f>
        <v>44218.64572</v>
      </c>
      <c r="D87" s="4" t="str">
        <f>IFERROR(__xludf.DUMMYFUNCTION("""COMPUTED_VALUE"""),"RESOLVED")</f>
        <v>RESOLVED</v>
      </c>
      <c r="E87" s="6">
        <f>IFERROR(__xludf.DUMMYFUNCTION("""COMPUTED_VALUE"""),44579.33760416666)</f>
        <v>44579.3376</v>
      </c>
      <c r="F87" s="4" t="str">
        <f>IFERROR(__xludf.DUMMYFUNCTION("""COMPUTED_VALUE""")," ---")</f>
        <v> ---</v>
      </c>
      <c r="G87" s="4" t="str">
        <f>IFERROR(__xludf.DUMMYFUNCTION("""COMPUTED_VALUE"""),"SUSE Linux Enterprise Server 15 SP3")</f>
        <v>SUSE Linux Enterprise Server 15 SP3</v>
      </c>
      <c r="H87" s="7" t="str">
        <f t="shared" si="2"/>
        <v>NO</v>
      </c>
      <c r="I87" s="7" t="str">
        <f t="shared" si="3"/>
        <v>NO</v>
      </c>
    </row>
    <row r="88">
      <c r="A88" s="4">
        <f>IFERROR(__xludf.DUMMYFUNCTION("""COMPUTED_VALUE"""),1181306.0)</f>
        <v>1181306</v>
      </c>
      <c r="B88" s="4" t="str">
        <f>IFERROR(__xludf.DUMMYFUNCTION("""COMPUTED_VALUE"""),"P2 - High")</f>
        <v>P2 - High</v>
      </c>
      <c r="C88" s="5">
        <f>IFERROR(__xludf.DUMMYFUNCTION("""COMPUTED_VALUE"""),44218.68987268519)</f>
        <v>44218.68987</v>
      </c>
      <c r="D88" s="4" t="str">
        <f>IFERROR(__xludf.DUMMYFUNCTION("""COMPUTED_VALUE"""),"RESOLVED")</f>
        <v>RESOLVED</v>
      </c>
      <c r="E88" s="6">
        <f>IFERROR(__xludf.DUMMYFUNCTION("""COMPUTED_VALUE"""),44475.934537037036)</f>
        <v>44475.93454</v>
      </c>
      <c r="F88" s="4" t="str">
        <f>IFERROR(__xludf.DUMMYFUNCTION("""COMPUTED_VALUE""")," ---")</f>
        <v> ---</v>
      </c>
      <c r="G88" s="4" t="str">
        <f>IFERROR(__xludf.DUMMYFUNCTION("""COMPUTED_VALUE"""),"SUSE Linux Enterprise Server 15 SP3")</f>
        <v>SUSE Linux Enterprise Server 15 SP3</v>
      </c>
      <c r="H88" s="7" t="str">
        <f t="shared" si="2"/>
        <v>NO</v>
      </c>
      <c r="I88" s="7" t="str">
        <f t="shared" si="3"/>
        <v>NO</v>
      </c>
    </row>
    <row r="89">
      <c r="A89" s="4">
        <f>IFERROR(__xludf.DUMMYFUNCTION("""COMPUTED_VALUE"""),1181626.0)</f>
        <v>1181626</v>
      </c>
      <c r="B89" s="4" t="str">
        <f>IFERROR(__xludf.DUMMYFUNCTION("""COMPUTED_VALUE"""),"P2 - High")</f>
        <v>P2 - High</v>
      </c>
      <c r="C89" s="5">
        <f>IFERROR(__xludf.DUMMYFUNCTION("""COMPUTED_VALUE"""),44228.22969907407)</f>
        <v>44228.2297</v>
      </c>
      <c r="D89" s="4" t="str">
        <f>IFERROR(__xludf.DUMMYFUNCTION("""COMPUTED_VALUE"""),"RESOLVED")</f>
        <v>RESOLVED</v>
      </c>
      <c r="E89" s="6">
        <f>IFERROR(__xludf.DUMMYFUNCTION("""COMPUTED_VALUE"""),44239.490891203706)</f>
        <v>44239.49089</v>
      </c>
      <c r="F89" s="4" t="str">
        <f>IFERROR(__xludf.DUMMYFUNCTION("""COMPUTED_VALUE""")," ---")</f>
        <v> ---</v>
      </c>
      <c r="G89" s="4" t="str">
        <f>IFERROR(__xludf.DUMMYFUNCTION("""COMPUTED_VALUE"""),"SUSE Linux Enterprise Server 15 SP3")</f>
        <v>SUSE Linux Enterprise Server 15 SP3</v>
      </c>
      <c r="H89" s="7" t="str">
        <f t="shared" si="2"/>
        <v>NO</v>
      </c>
      <c r="I89" s="7" t="str">
        <f t="shared" si="3"/>
        <v>NO</v>
      </c>
    </row>
    <row r="90">
      <c r="A90" s="4">
        <f>IFERROR(__xludf.DUMMYFUNCTION("""COMPUTED_VALUE"""),1185827.0)</f>
        <v>1185827</v>
      </c>
      <c r="B90" s="4" t="str">
        <f>IFERROR(__xludf.DUMMYFUNCTION("""COMPUTED_VALUE"""),"P2 - High")</f>
        <v>P2 - High</v>
      </c>
      <c r="C90" s="5">
        <f>IFERROR(__xludf.DUMMYFUNCTION("""COMPUTED_VALUE"""),44326.382268518515)</f>
        <v>44326.38227</v>
      </c>
      <c r="D90" s="4" t="str">
        <f>IFERROR(__xludf.DUMMYFUNCTION("""COMPUTED_VALUE"""),"RESOLVED")</f>
        <v>RESOLVED</v>
      </c>
      <c r="E90" s="6">
        <f>IFERROR(__xludf.DUMMYFUNCTION("""COMPUTED_VALUE"""),44356.69092592593)</f>
        <v>44356.69093</v>
      </c>
      <c r="F90" s="4" t="str">
        <f>IFERROR(__xludf.DUMMYFUNCTION("""COMPUTED_VALUE""")," ---")</f>
        <v> ---</v>
      </c>
      <c r="G90" s="4" t="str">
        <f>IFERROR(__xludf.DUMMYFUNCTION("""COMPUTED_VALUE"""),"SUSE Linux Enterprise Server 15 SP3")</f>
        <v>SUSE Linux Enterprise Server 15 SP3</v>
      </c>
      <c r="H90" s="7" t="str">
        <f t="shared" si="2"/>
        <v>NO</v>
      </c>
      <c r="I90" s="7" t="str">
        <f t="shared" si="3"/>
        <v>NO</v>
      </c>
    </row>
    <row r="91">
      <c r="A91" s="4">
        <f>IFERROR(__xludf.DUMMYFUNCTION("""COMPUTED_VALUE"""),1183815.0)</f>
        <v>1183815</v>
      </c>
      <c r="B91" s="4" t="str">
        <f>IFERROR(__xludf.DUMMYFUNCTION("""COMPUTED_VALUE"""),"P2 - High")</f>
        <v>P2 - High</v>
      </c>
      <c r="C91" s="5">
        <f>IFERROR(__xludf.DUMMYFUNCTION("""COMPUTED_VALUE"""),44274.6709837963)</f>
        <v>44274.67098</v>
      </c>
      <c r="D91" s="4" t="str">
        <f>IFERROR(__xludf.DUMMYFUNCTION("""COMPUTED_VALUE"""),"RESOLVED")</f>
        <v>RESOLVED</v>
      </c>
      <c r="E91" s="6">
        <f>IFERROR(__xludf.DUMMYFUNCTION("""COMPUTED_VALUE"""),44388.72546296296)</f>
        <v>44388.72546</v>
      </c>
      <c r="F91" s="4" t="str">
        <f>IFERROR(__xludf.DUMMYFUNCTION("""COMPUTED_VALUE""")," ---")</f>
        <v> ---</v>
      </c>
      <c r="G91" s="4" t="str">
        <f>IFERROR(__xludf.DUMMYFUNCTION("""COMPUTED_VALUE"""),"SUSE Linux Enterprise Server 15 SP3")</f>
        <v>SUSE Linux Enterprise Server 15 SP3</v>
      </c>
      <c r="H91" s="7" t="str">
        <f t="shared" si="2"/>
        <v>NO</v>
      </c>
      <c r="I91" s="7" t="str">
        <f t="shared" si="3"/>
        <v>NO</v>
      </c>
    </row>
    <row r="92">
      <c r="A92" s="4">
        <f>IFERROR(__xludf.DUMMYFUNCTION("""COMPUTED_VALUE"""),1180220.0)</f>
        <v>1180220</v>
      </c>
      <c r="B92" s="4" t="str">
        <f>IFERROR(__xludf.DUMMYFUNCTION("""COMPUTED_VALUE"""),"P2 - High")</f>
        <v>P2 - High</v>
      </c>
      <c r="C92" s="5">
        <f>IFERROR(__xludf.DUMMYFUNCTION("""COMPUTED_VALUE"""),44183.596863425926)</f>
        <v>44183.59686</v>
      </c>
      <c r="D92" s="4" t="str">
        <f>IFERROR(__xludf.DUMMYFUNCTION("""COMPUTED_VALUE"""),"RESOLVED")</f>
        <v>RESOLVED</v>
      </c>
      <c r="E92" s="6">
        <f>IFERROR(__xludf.DUMMYFUNCTION("""COMPUTED_VALUE"""),44365.266493055555)</f>
        <v>44365.26649</v>
      </c>
      <c r="F92" s="4" t="str">
        <f>IFERROR(__xludf.DUMMYFUNCTION("""COMPUTED_VALUE""")," ---")</f>
        <v> ---</v>
      </c>
      <c r="G92" s="4" t="str">
        <f>IFERROR(__xludf.DUMMYFUNCTION("""COMPUTED_VALUE"""),"SUSE Linux Enterprise Server 15 SP3")</f>
        <v>SUSE Linux Enterprise Server 15 SP3</v>
      </c>
      <c r="H92" s="7" t="str">
        <f t="shared" si="2"/>
        <v>NO</v>
      </c>
      <c r="I92" s="7" t="str">
        <f t="shared" si="3"/>
        <v>NO</v>
      </c>
    </row>
    <row r="93">
      <c r="A93" s="4">
        <f>IFERROR(__xludf.DUMMYFUNCTION("""COMPUTED_VALUE"""),1185581.0)</f>
        <v>1185581</v>
      </c>
      <c r="B93" s="4" t="str">
        <f>IFERROR(__xludf.DUMMYFUNCTION("""COMPUTED_VALUE"""),"P2 - High")</f>
        <v>P2 - High</v>
      </c>
      <c r="C93" s="5">
        <f>IFERROR(__xludf.DUMMYFUNCTION("""COMPUTED_VALUE"""),44319.63400462963)</f>
        <v>44319.634</v>
      </c>
      <c r="D93" s="4" t="str">
        <f>IFERROR(__xludf.DUMMYFUNCTION("""COMPUTED_VALUE"""),"RESOLVED")</f>
        <v>RESOLVED</v>
      </c>
      <c r="E93" s="6">
        <f>IFERROR(__xludf.DUMMYFUNCTION("""COMPUTED_VALUE"""),44388.7309837963)</f>
        <v>44388.73098</v>
      </c>
      <c r="F93" s="4" t="str">
        <f>IFERROR(__xludf.DUMMYFUNCTION("""COMPUTED_VALUE""")," ---")</f>
        <v> ---</v>
      </c>
      <c r="G93" s="4" t="str">
        <f>IFERROR(__xludf.DUMMYFUNCTION("""COMPUTED_VALUE"""),"SUSE Linux Enterprise Server 15 SP3")</f>
        <v>SUSE Linux Enterprise Server 15 SP3</v>
      </c>
      <c r="H93" s="7" t="str">
        <f t="shared" si="2"/>
        <v>NO</v>
      </c>
      <c r="I93" s="7" t="str">
        <f t="shared" si="3"/>
        <v>NO</v>
      </c>
    </row>
    <row r="94">
      <c r="A94" s="4">
        <f>IFERROR(__xludf.DUMMYFUNCTION("""COMPUTED_VALUE"""),1173849.0)</f>
        <v>1173849</v>
      </c>
      <c r="B94" s="4" t="str">
        <f>IFERROR(__xludf.DUMMYFUNCTION("""COMPUTED_VALUE"""),"P2 - High")</f>
        <v>P2 - High</v>
      </c>
      <c r="C94" s="5">
        <f>IFERROR(__xludf.DUMMYFUNCTION("""COMPUTED_VALUE"""),44019.58431712963)</f>
        <v>44019.58432</v>
      </c>
      <c r="D94" s="4" t="str">
        <f>IFERROR(__xludf.DUMMYFUNCTION("""COMPUTED_VALUE"""),"RESOLVED")</f>
        <v>RESOLVED</v>
      </c>
      <c r="E94" s="6">
        <f>IFERROR(__xludf.DUMMYFUNCTION("""COMPUTED_VALUE"""),44384.83762731482)</f>
        <v>44384.83763</v>
      </c>
      <c r="F94" s="4" t="str">
        <f>IFERROR(__xludf.DUMMYFUNCTION("""COMPUTED_VALUE""")," ---")</f>
        <v> ---</v>
      </c>
      <c r="G94" s="4" t="str">
        <f>IFERROR(__xludf.DUMMYFUNCTION("""COMPUTED_VALUE"""),"SUSE Linux Enterprise Server 15 SP3")</f>
        <v>SUSE Linux Enterprise Server 15 SP3</v>
      </c>
      <c r="H94" s="7" t="str">
        <f t="shared" si="2"/>
        <v>NO</v>
      </c>
      <c r="I94" s="7" t="str">
        <f t="shared" si="3"/>
        <v>NO</v>
      </c>
    </row>
    <row r="95">
      <c r="A95" s="4">
        <f>IFERROR(__xludf.DUMMYFUNCTION("""COMPUTED_VALUE"""),1174003.0)</f>
        <v>1174003</v>
      </c>
      <c r="B95" s="4" t="str">
        <f>IFERROR(__xludf.DUMMYFUNCTION("""COMPUTED_VALUE"""),"P2 - High")</f>
        <v>P2 - High</v>
      </c>
      <c r="C95" s="5">
        <f>IFERROR(__xludf.DUMMYFUNCTION("""COMPUTED_VALUE"""),44022.591215277775)</f>
        <v>44022.59122</v>
      </c>
      <c r="D95" s="4" t="str">
        <f>IFERROR(__xludf.DUMMYFUNCTION("""COMPUTED_VALUE"""),"RESOLVED")</f>
        <v>RESOLVED</v>
      </c>
      <c r="E95" s="6">
        <f>IFERROR(__xludf.DUMMYFUNCTION("""COMPUTED_VALUE"""),44482.68002314815)</f>
        <v>44482.68002</v>
      </c>
      <c r="F95" s="4" t="str">
        <f>IFERROR(__xludf.DUMMYFUNCTION("""COMPUTED_VALUE""")," ---")</f>
        <v> ---</v>
      </c>
      <c r="G95" s="4" t="str">
        <f>IFERROR(__xludf.DUMMYFUNCTION("""COMPUTED_VALUE"""),"SUSE Linux Enterprise Server 15 SP3")</f>
        <v>SUSE Linux Enterprise Server 15 SP3</v>
      </c>
      <c r="H95" s="7" t="str">
        <f t="shared" si="2"/>
        <v>NO</v>
      </c>
      <c r="I95" s="7" t="str">
        <f t="shared" si="3"/>
        <v>NO</v>
      </c>
    </row>
    <row r="96">
      <c r="A96" s="4">
        <f>IFERROR(__xludf.DUMMYFUNCTION("""COMPUTED_VALUE"""),1176143.0)</f>
        <v>1176143</v>
      </c>
      <c r="B96" s="4" t="str">
        <f>IFERROR(__xludf.DUMMYFUNCTION("""COMPUTED_VALUE"""),"P2 - High")</f>
        <v>P2 - High</v>
      </c>
      <c r="C96" s="5">
        <f>IFERROR(__xludf.DUMMYFUNCTION("""COMPUTED_VALUE"""),44077.82496527778)</f>
        <v>44077.82497</v>
      </c>
      <c r="D96" s="4" t="str">
        <f>IFERROR(__xludf.DUMMYFUNCTION("""COMPUTED_VALUE"""),"RESOLVED")</f>
        <v>RESOLVED</v>
      </c>
      <c r="E96" s="6">
        <f>IFERROR(__xludf.DUMMYFUNCTION("""COMPUTED_VALUE"""),44378.572280092594)</f>
        <v>44378.57228</v>
      </c>
      <c r="F96" s="4" t="str">
        <f>IFERROR(__xludf.DUMMYFUNCTION("""COMPUTED_VALUE""")," ---")</f>
        <v> ---</v>
      </c>
      <c r="G96" s="4" t="str">
        <f>IFERROR(__xludf.DUMMYFUNCTION("""COMPUTED_VALUE"""),"SUSE Linux Enterprise Server 15 SP3")</f>
        <v>SUSE Linux Enterprise Server 15 SP3</v>
      </c>
      <c r="H96" s="7" t="str">
        <f t="shared" si="2"/>
        <v>NO</v>
      </c>
      <c r="I96" s="7" t="str">
        <f t="shared" si="3"/>
        <v>NO</v>
      </c>
    </row>
    <row r="97">
      <c r="A97" s="4">
        <f>IFERROR(__xludf.DUMMYFUNCTION("""COMPUTED_VALUE"""),1179653.0)</f>
        <v>1179653</v>
      </c>
      <c r="B97" s="4" t="str">
        <f>IFERROR(__xludf.DUMMYFUNCTION("""COMPUTED_VALUE"""),"P2 - High")</f>
        <v>P2 - High</v>
      </c>
      <c r="C97" s="5">
        <f>IFERROR(__xludf.DUMMYFUNCTION("""COMPUTED_VALUE"""),44172.388344907406)</f>
        <v>44172.38834</v>
      </c>
      <c r="D97" s="4" t="str">
        <f>IFERROR(__xludf.DUMMYFUNCTION("""COMPUTED_VALUE"""),"RESOLVED")</f>
        <v>RESOLVED</v>
      </c>
      <c r="E97" s="6">
        <f>IFERROR(__xludf.DUMMYFUNCTION("""COMPUTED_VALUE"""),44208.52726851852)</f>
        <v>44208.52727</v>
      </c>
      <c r="F97" s="4" t="str">
        <f>IFERROR(__xludf.DUMMYFUNCTION("""COMPUTED_VALUE"""),"Yes")</f>
        <v>Yes</v>
      </c>
      <c r="G97" s="4" t="str">
        <f>IFERROR(__xludf.DUMMYFUNCTION("""COMPUTED_VALUE"""),"SUSE Linux Enterprise Server 15 SP3")</f>
        <v>SUSE Linux Enterprise Server 15 SP3</v>
      </c>
      <c r="H97" s="7" t="str">
        <f t="shared" si="2"/>
        <v>NO</v>
      </c>
      <c r="I97" s="7" t="str">
        <f t="shared" si="3"/>
        <v>NO</v>
      </c>
    </row>
    <row r="98">
      <c r="A98" s="4">
        <f>IFERROR(__xludf.DUMMYFUNCTION("""COMPUTED_VALUE"""),1179916.0)</f>
        <v>1179916</v>
      </c>
      <c r="B98" s="4" t="str">
        <f>IFERROR(__xludf.DUMMYFUNCTION("""COMPUTED_VALUE"""),"P2 - High")</f>
        <v>P2 - High</v>
      </c>
      <c r="C98" s="5">
        <f>IFERROR(__xludf.DUMMYFUNCTION("""COMPUTED_VALUE"""),44175.841782407406)</f>
        <v>44175.84178</v>
      </c>
      <c r="D98" s="4" t="str">
        <f>IFERROR(__xludf.DUMMYFUNCTION("""COMPUTED_VALUE"""),"RESOLVED")</f>
        <v>RESOLVED</v>
      </c>
      <c r="E98" s="6">
        <f>IFERROR(__xludf.DUMMYFUNCTION("""COMPUTED_VALUE"""),44672.38559027778)</f>
        <v>44672.38559</v>
      </c>
      <c r="F98" s="4" t="str">
        <f>IFERROR(__xludf.DUMMYFUNCTION("""COMPUTED_VALUE""")," ---")</f>
        <v> ---</v>
      </c>
      <c r="G98" s="4" t="str">
        <f>IFERROR(__xludf.DUMMYFUNCTION("""COMPUTED_VALUE"""),"PUBLIC SUSE Linux Enterprise Server 15 SP3")</f>
        <v>PUBLIC SUSE Linux Enterprise Server 15 SP3</v>
      </c>
      <c r="H98" s="7" t="str">
        <f t="shared" si="2"/>
        <v>NO</v>
      </c>
      <c r="I98" s="7" t="str">
        <f t="shared" si="3"/>
        <v>NO</v>
      </c>
    </row>
    <row r="99">
      <c r="A99" s="4">
        <f>IFERROR(__xludf.DUMMYFUNCTION("""COMPUTED_VALUE"""),1180269.0)</f>
        <v>1180269</v>
      </c>
      <c r="B99" s="4" t="str">
        <f>IFERROR(__xludf.DUMMYFUNCTION("""COMPUTED_VALUE"""),"P2 - High")</f>
        <v>P2 - High</v>
      </c>
      <c r="C99" s="5">
        <f>IFERROR(__xludf.DUMMYFUNCTION("""COMPUTED_VALUE"""),44186.63748842593)</f>
        <v>44186.63749</v>
      </c>
      <c r="D99" s="4" t="str">
        <f>IFERROR(__xludf.DUMMYFUNCTION("""COMPUTED_VALUE"""),"RESOLVED")</f>
        <v>RESOLVED</v>
      </c>
      <c r="E99" s="6">
        <f>IFERROR(__xludf.DUMMYFUNCTION("""COMPUTED_VALUE"""),44188.09417824074)</f>
        <v>44188.09418</v>
      </c>
      <c r="F99" s="4" t="str">
        <f>IFERROR(__xludf.DUMMYFUNCTION("""COMPUTED_VALUE""")," ---")</f>
        <v> ---</v>
      </c>
      <c r="G99" s="4" t="str">
        <f>IFERROR(__xludf.DUMMYFUNCTION("""COMPUTED_VALUE"""),"SUSE Linux Enterprise Server 15 SP3")</f>
        <v>SUSE Linux Enterprise Server 15 SP3</v>
      </c>
      <c r="H99" s="7" t="str">
        <f t="shared" si="2"/>
        <v>NO</v>
      </c>
      <c r="I99" s="7" t="str">
        <f t="shared" si="3"/>
        <v>NO</v>
      </c>
    </row>
    <row r="100">
      <c r="A100" s="4">
        <f>IFERROR(__xludf.DUMMYFUNCTION("""COMPUTED_VALUE"""),1180891.0)</f>
        <v>1180891</v>
      </c>
      <c r="B100" s="4" t="str">
        <f>IFERROR(__xludf.DUMMYFUNCTION("""COMPUTED_VALUE"""),"P2 - High")</f>
        <v>P2 - High</v>
      </c>
      <c r="C100" s="5">
        <f>IFERROR(__xludf.DUMMYFUNCTION("""COMPUTED_VALUE"""),44209.60493055556)</f>
        <v>44209.60493</v>
      </c>
      <c r="D100" s="4" t="str">
        <f>IFERROR(__xludf.DUMMYFUNCTION("""COMPUTED_VALUE"""),"RESOLVED")</f>
        <v>RESOLVED</v>
      </c>
      <c r="E100" s="6">
        <f>IFERROR(__xludf.DUMMYFUNCTION("""COMPUTED_VALUE"""),44365.26479166667)</f>
        <v>44365.26479</v>
      </c>
      <c r="F100" s="4" t="str">
        <f>IFERROR(__xludf.DUMMYFUNCTION("""COMPUTED_VALUE""")," ---")</f>
        <v> ---</v>
      </c>
      <c r="G100" s="4" t="str">
        <f>IFERROR(__xludf.DUMMYFUNCTION("""COMPUTED_VALUE"""),"SUSE Linux Enterprise Server 15 SP3")</f>
        <v>SUSE Linux Enterprise Server 15 SP3</v>
      </c>
      <c r="H100" s="7" t="str">
        <f t="shared" si="2"/>
        <v>NO</v>
      </c>
      <c r="I100" s="7" t="str">
        <f t="shared" si="3"/>
        <v>NO</v>
      </c>
    </row>
    <row r="101">
      <c r="A101" s="4">
        <f>IFERROR(__xludf.DUMMYFUNCTION("""COMPUTED_VALUE"""),1181655.0)</f>
        <v>1181655</v>
      </c>
      <c r="B101" s="4" t="str">
        <f>IFERROR(__xludf.DUMMYFUNCTION("""COMPUTED_VALUE"""),"P2 - High")</f>
        <v>P2 - High</v>
      </c>
      <c r="C101" s="5">
        <f>IFERROR(__xludf.DUMMYFUNCTION("""COMPUTED_VALUE"""),44228.63253472222)</f>
        <v>44228.63253</v>
      </c>
      <c r="D101" s="4" t="str">
        <f>IFERROR(__xludf.DUMMYFUNCTION("""COMPUTED_VALUE"""),"RESOLVED")</f>
        <v>RESOLVED</v>
      </c>
      <c r="E101" s="6">
        <f>IFERROR(__xludf.DUMMYFUNCTION("""COMPUTED_VALUE"""),44384.869305555556)</f>
        <v>44384.86931</v>
      </c>
      <c r="F101" s="4" t="str">
        <f>IFERROR(__xludf.DUMMYFUNCTION("""COMPUTED_VALUE""")," ---")</f>
        <v> ---</v>
      </c>
      <c r="G101" s="4" t="str">
        <f>IFERROR(__xludf.DUMMYFUNCTION("""COMPUTED_VALUE"""),"SUSE Linux Enterprise Server 15 SP3")</f>
        <v>SUSE Linux Enterprise Server 15 SP3</v>
      </c>
      <c r="H101" s="7" t="str">
        <f t="shared" si="2"/>
        <v>NO</v>
      </c>
      <c r="I101" s="7" t="str">
        <f t="shared" si="3"/>
        <v>NO</v>
      </c>
    </row>
    <row r="102">
      <c r="A102" s="4">
        <f>IFERROR(__xludf.DUMMYFUNCTION("""COMPUTED_VALUE"""),1181817.0)</f>
        <v>1181817</v>
      </c>
      <c r="B102" s="4" t="str">
        <f>IFERROR(__xludf.DUMMYFUNCTION("""COMPUTED_VALUE"""),"P2 - High")</f>
        <v>P2 - High</v>
      </c>
      <c r="C102" s="5">
        <f>IFERROR(__xludf.DUMMYFUNCTION("""COMPUTED_VALUE"""),44232.01054398148)</f>
        <v>44232.01054</v>
      </c>
      <c r="D102" s="4" t="str">
        <f>IFERROR(__xludf.DUMMYFUNCTION("""COMPUTED_VALUE"""),"RESOLVED")</f>
        <v>RESOLVED</v>
      </c>
      <c r="E102" s="6">
        <f>IFERROR(__xludf.DUMMYFUNCTION("""COMPUTED_VALUE"""),44365.26038194444)</f>
        <v>44365.26038</v>
      </c>
      <c r="F102" s="4" t="str">
        <f>IFERROR(__xludf.DUMMYFUNCTION("""COMPUTED_VALUE""")," ---")</f>
        <v> ---</v>
      </c>
      <c r="G102" s="4" t="str">
        <f>IFERROR(__xludf.DUMMYFUNCTION("""COMPUTED_VALUE"""),"SUSE Linux Enterprise Server 15 SP3")</f>
        <v>SUSE Linux Enterprise Server 15 SP3</v>
      </c>
      <c r="H102" s="7" t="str">
        <f t="shared" si="2"/>
        <v>NO</v>
      </c>
      <c r="I102" s="7" t="str">
        <f t="shared" si="3"/>
        <v>NO</v>
      </c>
    </row>
    <row r="103">
      <c r="A103" s="4">
        <f>IFERROR(__xludf.DUMMYFUNCTION("""COMPUTED_VALUE"""),1181958.0)</f>
        <v>1181958</v>
      </c>
      <c r="B103" s="4" t="str">
        <f>IFERROR(__xludf.DUMMYFUNCTION("""COMPUTED_VALUE"""),"P2 - High")</f>
        <v>P2 - High</v>
      </c>
      <c r="C103" s="5">
        <f>IFERROR(__xludf.DUMMYFUNCTION("""COMPUTED_VALUE"""),44235.68824074074)</f>
        <v>44235.68824</v>
      </c>
      <c r="D103" s="4" t="str">
        <f>IFERROR(__xludf.DUMMYFUNCTION("""COMPUTED_VALUE"""),"RESOLVED")</f>
        <v>RESOLVED</v>
      </c>
      <c r="E103" s="6">
        <f>IFERROR(__xludf.DUMMYFUNCTION("""COMPUTED_VALUE"""),44384.87043981482)</f>
        <v>44384.87044</v>
      </c>
      <c r="F103" s="4" t="str">
        <f>IFERROR(__xludf.DUMMYFUNCTION("""COMPUTED_VALUE""")," ---")</f>
        <v> ---</v>
      </c>
      <c r="G103" s="4" t="str">
        <f>IFERROR(__xludf.DUMMYFUNCTION("""COMPUTED_VALUE"""),"SUSE Linux Enterprise Server 15 SP3")</f>
        <v>SUSE Linux Enterprise Server 15 SP3</v>
      </c>
      <c r="H103" s="7" t="str">
        <f t="shared" si="2"/>
        <v>NO</v>
      </c>
      <c r="I103" s="7" t="str">
        <f t="shared" si="3"/>
        <v>NO</v>
      </c>
    </row>
    <row r="104">
      <c r="A104" s="4">
        <f>IFERROR(__xludf.DUMMYFUNCTION("""COMPUTED_VALUE"""),1182077.0)</f>
        <v>1182077</v>
      </c>
      <c r="B104" s="4" t="str">
        <f>IFERROR(__xludf.DUMMYFUNCTION("""COMPUTED_VALUE"""),"P2 - High")</f>
        <v>P2 - High</v>
      </c>
      <c r="C104" s="5">
        <f>IFERROR(__xludf.DUMMYFUNCTION("""COMPUTED_VALUE"""),44237.79211805556)</f>
        <v>44237.79212</v>
      </c>
      <c r="D104" s="4" t="str">
        <f>IFERROR(__xludf.DUMMYFUNCTION("""COMPUTED_VALUE"""),"RESOLVED")</f>
        <v>RESOLVED</v>
      </c>
      <c r="E104" s="6">
        <f>IFERROR(__xludf.DUMMYFUNCTION("""COMPUTED_VALUE"""),44474.62846064815)</f>
        <v>44474.62846</v>
      </c>
      <c r="F104" s="4" t="str">
        <f>IFERROR(__xludf.DUMMYFUNCTION("""COMPUTED_VALUE""")," ---")</f>
        <v> ---</v>
      </c>
      <c r="G104" s="4" t="str">
        <f>IFERROR(__xludf.DUMMYFUNCTION("""COMPUTED_VALUE"""),"SUSE Linux Enterprise Server 15 SP3")</f>
        <v>SUSE Linux Enterprise Server 15 SP3</v>
      </c>
      <c r="H104" s="7" t="str">
        <f t="shared" si="2"/>
        <v>NO</v>
      </c>
      <c r="I104" s="7" t="str">
        <f t="shared" si="3"/>
        <v>NO</v>
      </c>
    </row>
    <row r="105">
      <c r="A105" s="4">
        <f>IFERROR(__xludf.DUMMYFUNCTION("""COMPUTED_VALUE"""),1182470.0)</f>
        <v>1182470</v>
      </c>
      <c r="B105" s="4" t="str">
        <f>IFERROR(__xludf.DUMMYFUNCTION("""COMPUTED_VALUE"""),"P2 - High")</f>
        <v>P2 - High</v>
      </c>
      <c r="C105" s="5">
        <f>IFERROR(__xludf.DUMMYFUNCTION("""COMPUTED_VALUE"""),44245.81701388889)</f>
        <v>44245.81701</v>
      </c>
      <c r="D105" s="4" t="str">
        <f>IFERROR(__xludf.DUMMYFUNCTION("""COMPUTED_VALUE"""),"RESOLVED")</f>
        <v>RESOLVED</v>
      </c>
      <c r="E105" s="6">
        <f>IFERROR(__xludf.DUMMYFUNCTION("""COMPUTED_VALUE"""),44474.627905092595)</f>
        <v>44474.62791</v>
      </c>
      <c r="F105" s="4" t="str">
        <f>IFERROR(__xludf.DUMMYFUNCTION("""COMPUTED_VALUE""")," ---")</f>
        <v> ---</v>
      </c>
      <c r="G105" s="4" t="str">
        <f>IFERROR(__xludf.DUMMYFUNCTION("""COMPUTED_VALUE"""),"SUSE Linux Enterprise Server 15 SP3")</f>
        <v>SUSE Linux Enterprise Server 15 SP3</v>
      </c>
      <c r="H105" s="7" t="str">
        <f t="shared" si="2"/>
        <v>NO</v>
      </c>
      <c r="I105" s="7" t="str">
        <f t="shared" si="3"/>
        <v>NO</v>
      </c>
    </row>
    <row r="106">
      <c r="A106" s="4">
        <f>IFERROR(__xludf.DUMMYFUNCTION("""COMPUTED_VALUE"""),1182574.0)</f>
        <v>1182574</v>
      </c>
      <c r="B106" s="4" t="str">
        <f>IFERROR(__xludf.DUMMYFUNCTION("""COMPUTED_VALUE"""),"P2 - High")</f>
        <v>P2 - High</v>
      </c>
      <c r="C106" s="5">
        <f>IFERROR(__xludf.DUMMYFUNCTION("""COMPUTED_VALUE"""),44249.696284722224)</f>
        <v>44249.69628</v>
      </c>
      <c r="D106" s="4" t="str">
        <f>IFERROR(__xludf.DUMMYFUNCTION("""COMPUTED_VALUE"""),"RESOLVED")</f>
        <v>RESOLVED</v>
      </c>
      <c r="E106" s="6">
        <f>IFERROR(__xludf.DUMMYFUNCTION("""COMPUTED_VALUE"""),44388.720405092594)</f>
        <v>44388.72041</v>
      </c>
      <c r="F106" s="4" t="str">
        <f>IFERROR(__xludf.DUMMYFUNCTION("""COMPUTED_VALUE""")," ---")</f>
        <v> ---</v>
      </c>
      <c r="G106" s="4" t="str">
        <f>IFERROR(__xludf.DUMMYFUNCTION("""COMPUTED_VALUE"""),"SUSE Linux Enterprise Server 15 SP3")</f>
        <v>SUSE Linux Enterprise Server 15 SP3</v>
      </c>
      <c r="H106" s="7" t="str">
        <f t="shared" si="2"/>
        <v>NO</v>
      </c>
      <c r="I106" s="7" t="str">
        <f t="shared" si="3"/>
        <v>NO</v>
      </c>
    </row>
    <row r="107">
      <c r="A107" s="4">
        <f>IFERROR(__xludf.DUMMYFUNCTION("""COMPUTED_VALUE"""),1182999.0)</f>
        <v>1182999</v>
      </c>
      <c r="B107" s="4" t="str">
        <f>IFERROR(__xludf.DUMMYFUNCTION("""COMPUTED_VALUE"""),"P2 - High")</f>
        <v>P2 - High</v>
      </c>
      <c r="C107" s="5">
        <f>IFERROR(__xludf.DUMMYFUNCTION("""COMPUTED_VALUE"""),44258.93809027778)</f>
        <v>44258.93809</v>
      </c>
      <c r="D107" s="4" t="str">
        <f>IFERROR(__xludf.DUMMYFUNCTION("""COMPUTED_VALUE"""),"RESOLVED")</f>
        <v>RESOLVED</v>
      </c>
      <c r="E107" s="6">
        <f>IFERROR(__xludf.DUMMYFUNCTION("""COMPUTED_VALUE"""),44474.62813657407)</f>
        <v>44474.62814</v>
      </c>
      <c r="F107" s="4" t="str">
        <f>IFERROR(__xludf.DUMMYFUNCTION("""COMPUTED_VALUE""")," ---")</f>
        <v> ---</v>
      </c>
      <c r="G107" s="4" t="str">
        <f>IFERROR(__xludf.DUMMYFUNCTION("""COMPUTED_VALUE"""),"SUSE Linux Enterprise Server 15 SP3")</f>
        <v>SUSE Linux Enterprise Server 15 SP3</v>
      </c>
      <c r="H107" s="7" t="str">
        <f t="shared" si="2"/>
        <v>NO</v>
      </c>
      <c r="I107" s="7" t="str">
        <f t="shared" si="3"/>
        <v>NO</v>
      </c>
    </row>
    <row r="108">
      <c r="A108" s="4">
        <f>IFERROR(__xludf.DUMMYFUNCTION("""COMPUTED_VALUE"""),1183972.0)</f>
        <v>1183972</v>
      </c>
      <c r="B108" s="4" t="str">
        <f>IFERROR(__xludf.DUMMYFUNCTION("""COMPUTED_VALUE"""),"P2 - High")</f>
        <v>P2 - High</v>
      </c>
      <c r="C108" s="5">
        <f>IFERROR(__xludf.DUMMYFUNCTION("""COMPUTED_VALUE"""),44280.18104166666)</f>
        <v>44280.18104</v>
      </c>
      <c r="D108" s="4" t="str">
        <f>IFERROR(__xludf.DUMMYFUNCTION("""COMPUTED_VALUE"""),"RESOLVED")</f>
        <v>RESOLVED</v>
      </c>
      <c r="E108" s="6">
        <f>IFERROR(__xludf.DUMMYFUNCTION("""COMPUTED_VALUE"""),44701.34515046296)</f>
        <v>44701.34515</v>
      </c>
      <c r="F108" s="4" t="str">
        <f>IFERROR(__xludf.DUMMYFUNCTION("""COMPUTED_VALUE""")," ---")</f>
        <v> ---</v>
      </c>
      <c r="G108" s="4" t="str">
        <f>IFERROR(__xludf.DUMMYFUNCTION("""COMPUTED_VALUE"""),"SUSE Linux Enterprise Server 15 SP3")</f>
        <v>SUSE Linux Enterprise Server 15 SP3</v>
      </c>
      <c r="H108" s="7" t="str">
        <f t="shared" si="2"/>
        <v>NO</v>
      </c>
      <c r="I108" s="7" t="str">
        <f t="shared" si="3"/>
        <v>NO</v>
      </c>
    </row>
    <row r="109">
      <c r="A109" s="4">
        <f>IFERROR(__xludf.DUMMYFUNCTION("""COMPUTED_VALUE"""),1184908.0)</f>
        <v>1184908</v>
      </c>
      <c r="B109" s="4" t="str">
        <f>IFERROR(__xludf.DUMMYFUNCTION("""COMPUTED_VALUE"""),"P2 - High")</f>
        <v>P2 - High</v>
      </c>
      <c r="C109" s="5">
        <f>IFERROR(__xludf.DUMMYFUNCTION("""COMPUTED_VALUE"""),44302.84722222222)</f>
        <v>44302.84722</v>
      </c>
      <c r="D109" s="4" t="str">
        <f>IFERROR(__xludf.DUMMYFUNCTION("""COMPUTED_VALUE"""),"RESOLVED")</f>
        <v>RESOLVED</v>
      </c>
      <c r="E109" s="6">
        <f>IFERROR(__xludf.DUMMYFUNCTION("""COMPUTED_VALUE"""),44599.55238425926)</f>
        <v>44599.55238</v>
      </c>
      <c r="F109" s="4" t="str">
        <f>IFERROR(__xludf.DUMMYFUNCTION("""COMPUTED_VALUE""")," ---")</f>
        <v> ---</v>
      </c>
      <c r="G109" s="4" t="str">
        <f>IFERROR(__xludf.DUMMYFUNCTION("""COMPUTED_VALUE"""),"SUSE Linux Enterprise Server 15 SP3")</f>
        <v>SUSE Linux Enterprise Server 15 SP3</v>
      </c>
      <c r="H109" s="7" t="str">
        <f t="shared" si="2"/>
        <v>NO</v>
      </c>
      <c r="I109" s="7" t="str">
        <f t="shared" si="3"/>
        <v>NO</v>
      </c>
    </row>
    <row r="110">
      <c r="A110" s="4">
        <f>IFERROR(__xludf.DUMMYFUNCTION("""COMPUTED_VALUE"""),1185032.0)</f>
        <v>1185032</v>
      </c>
      <c r="B110" s="4" t="str">
        <f>IFERROR(__xludf.DUMMYFUNCTION("""COMPUTED_VALUE"""),"P2 - High")</f>
        <v>P2 - High</v>
      </c>
      <c r="C110" s="5">
        <f>IFERROR(__xludf.DUMMYFUNCTION("""COMPUTED_VALUE"""),44306.621342592596)</f>
        <v>44306.62134</v>
      </c>
      <c r="D110" s="4" t="str">
        <f>IFERROR(__xludf.DUMMYFUNCTION("""COMPUTED_VALUE"""),"RESOLVED")</f>
        <v>RESOLVED</v>
      </c>
      <c r="E110" s="6">
        <f>IFERROR(__xludf.DUMMYFUNCTION("""COMPUTED_VALUE"""),44418.57237268519)</f>
        <v>44418.57237</v>
      </c>
      <c r="F110" s="4" t="str">
        <f>IFERROR(__xludf.DUMMYFUNCTION("""COMPUTED_VALUE""")," ---")</f>
        <v> ---</v>
      </c>
      <c r="G110" s="4" t="str">
        <f>IFERROR(__xludf.DUMMYFUNCTION("""COMPUTED_VALUE"""),"SUSE Linux Enterprise Server 15 SP3")</f>
        <v>SUSE Linux Enterprise Server 15 SP3</v>
      </c>
      <c r="H110" s="7" t="str">
        <f t="shared" si="2"/>
        <v>NO</v>
      </c>
      <c r="I110" s="7" t="str">
        <f t="shared" si="3"/>
        <v>NO</v>
      </c>
    </row>
    <row r="111">
      <c r="A111" s="4">
        <f>IFERROR(__xludf.DUMMYFUNCTION("""COMPUTED_VALUE"""),1185365.0)</f>
        <v>1185365</v>
      </c>
      <c r="B111" s="4" t="str">
        <f>IFERROR(__xludf.DUMMYFUNCTION("""COMPUTED_VALUE"""),"P2 - High")</f>
        <v>P2 - High</v>
      </c>
      <c r="C111" s="5">
        <f>IFERROR(__xludf.DUMMYFUNCTION("""COMPUTED_VALUE"""),44313.703194444446)</f>
        <v>44313.70319</v>
      </c>
      <c r="D111" s="4" t="str">
        <f>IFERROR(__xludf.DUMMYFUNCTION("""COMPUTED_VALUE"""),"RESOLVED")</f>
        <v>RESOLVED</v>
      </c>
      <c r="E111" s="6">
        <f>IFERROR(__xludf.DUMMYFUNCTION("""COMPUTED_VALUE"""),44484.53438657407)</f>
        <v>44484.53439</v>
      </c>
      <c r="F111" s="4" t="str">
        <f>IFERROR(__xludf.DUMMYFUNCTION("""COMPUTED_VALUE""")," ---")</f>
        <v> ---</v>
      </c>
      <c r="G111" s="4" t="str">
        <f>IFERROR(__xludf.DUMMYFUNCTION("""COMPUTED_VALUE"""),"SUSE Linux Enterprise Server 15 SP3")</f>
        <v>SUSE Linux Enterprise Server 15 SP3</v>
      </c>
      <c r="H111" s="7" t="str">
        <f t="shared" si="2"/>
        <v>NO</v>
      </c>
      <c r="I111" s="7" t="str">
        <f t="shared" si="3"/>
        <v>NO</v>
      </c>
    </row>
    <row r="112">
      <c r="A112" s="4">
        <f>IFERROR(__xludf.DUMMYFUNCTION("""COMPUTED_VALUE"""),1185486.0)</f>
        <v>1185486</v>
      </c>
      <c r="B112" s="4" t="str">
        <f>IFERROR(__xludf.DUMMYFUNCTION("""COMPUTED_VALUE"""),"P2 - High")</f>
        <v>P2 - High</v>
      </c>
      <c r="C112" s="5">
        <f>IFERROR(__xludf.DUMMYFUNCTION("""COMPUTED_VALUE"""),44316.05295138889)</f>
        <v>44316.05295</v>
      </c>
      <c r="D112" s="4" t="str">
        <f>IFERROR(__xludf.DUMMYFUNCTION("""COMPUTED_VALUE"""),"RESOLVED")</f>
        <v>RESOLVED</v>
      </c>
      <c r="E112" s="6">
        <f>IFERROR(__xludf.DUMMYFUNCTION("""COMPUTED_VALUE"""),44410.39040509259)</f>
        <v>44410.39041</v>
      </c>
      <c r="F112" s="4" t="str">
        <f>IFERROR(__xludf.DUMMYFUNCTION("""COMPUTED_VALUE""")," ---")</f>
        <v> ---</v>
      </c>
      <c r="G112" s="4" t="str">
        <f>IFERROR(__xludf.DUMMYFUNCTION("""COMPUTED_VALUE"""),"PUBLIC SUSE Linux Enterprise Server 15 SP3")</f>
        <v>PUBLIC SUSE Linux Enterprise Server 15 SP3</v>
      </c>
      <c r="H112" s="7" t="str">
        <f t="shared" si="2"/>
        <v>NO</v>
      </c>
      <c r="I112" s="7" t="str">
        <f t="shared" si="3"/>
        <v>NO</v>
      </c>
    </row>
    <row r="113">
      <c r="A113" s="4">
        <f>IFERROR(__xludf.DUMMYFUNCTION("""COMPUTED_VALUE"""),1185762.0)</f>
        <v>1185762</v>
      </c>
      <c r="B113" s="4" t="str">
        <f>IFERROR(__xludf.DUMMYFUNCTION("""COMPUTED_VALUE"""),"P2 - High")</f>
        <v>P2 - High</v>
      </c>
      <c r="C113" s="5">
        <f>IFERROR(__xludf.DUMMYFUNCTION("""COMPUTED_VALUE"""),44323.335023148145)</f>
        <v>44323.33502</v>
      </c>
      <c r="D113" s="4" t="str">
        <f>IFERROR(__xludf.DUMMYFUNCTION("""COMPUTED_VALUE"""),"RESOLVED")</f>
        <v>RESOLVED</v>
      </c>
      <c r="E113" s="6">
        <f>IFERROR(__xludf.DUMMYFUNCTION("""COMPUTED_VALUE"""),44578.84670138889)</f>
        <v>44578.8467</v>
      </c>
      <c r="F113" s="4" t="str">
        <f>IFERROR(__xludf.DUMMYFUNCTION("""COMPUTED_VALUE"""),"Yes")</f>
        <v>Yes</v>
      </c>
      <c r="G113" s="4" t="str">
        <f>IFERROR(__xludf.DUMMYFUNCTION("""COMPUTED_VALUE"""),"SUSE Linux Enterprise Server 15 SP3")</f>
        <v>SUSE Linux Enterprise Server 15 SP3</v>
      </c>
      <c r="H113" s="7" t="str">
        <f t="shared" si="2"/>
        <v>NO</v>
      </c>
      <c r="I113" s="7" t="str">
        <f t="shared" si="3"/>
        <v>NO</v>
      </c>
    </row>
    <row r="114">
      <c r="A114" s="4">
        <f>IFERROR(__xludf.DUMMYFUNCTION("""COMPUTED_VALUE"""),1186681.0)</f>
        <v>1186681</v>
      </c>
      <c r="B114" s="4" t="str">
        <f>IFERROR(__xludf.DUMMYFUNCTION("""COMPUTED_VALUE"""),"P2 - High")</f>
        <v>P2 - High</v>
      </c>
      <c r="C114" s="5">
        <f>IFERROR(__xludf.DUMMYFUNCTION("""COMPUTED_VALUE"""),44348.232777777775)</f>
        <v>44348.23278</v>
      </c>
      <c r="D114" s="4" t="str">
        <f>IFERROR(__xludf.DUMMYFUNCTION("""COMPUTED_VALUE"""),"RESOLVED")</f>
        <v>RESOLVED</v>
      </c>
      <c r="E114" s="6">
        <f>IFERROR(__xludf.DUMMYFUNCTION("""COMPUTED_VALUE"""),44388.73453703704)</f>
        <v>44388.73454</v>
      </c>
      <c r="F114" s="4" t="str">
        <f>IFERROR(__xludf.DUMMYFUNCTION("""COMPUTED_VALUE""")," ---")</f>
        <v> ---</v>
      </c>
      <c r="G114" s="4" t="str">
        <f>IFERROR(__xludf.DUMMYFUNCTION("""COMPUTED_VALUE"""),"SUSE Linux Enterprise Server 15 SP3")</f>
        <v>SUSE Linux Enterprise Server 15 SP3</v>
      </c>
      <c r="H114" s="7" t="str">
        <f t="shared" si="2"/>
        <v>NO</v>
      </c>
      <c r="I114" s="7" t="str">
        <f t="shared" si="3"/>
        <v>NO</v>
      </c>
    </row>
    <row r="115">
      <c r="A115" s="4">
        <f>IFERROR(__xludf.DUMMYFUNCTION("""COMPUTED_VALUE"""),1182161.0)</f>
        <v>1182161</v>
      </c>
      <c r="B115" s="4" t="str">
        <f>IFERROR(__xludf.DUMMYFUNCTION("""COMPUTED_VALUE"""),"P2 - High")</f>
        <v>P2 - High</v>
      </c>
      <c r="C115" s="5">
        <f>IFERROR(__xludf.DUMMYFUNCTION("""COMPUTED_VALUE"""),44239.36243055556)</f>
        <v>44239.36243</v>
      </c>
      <c r="D115" s="4" t="str">
        <f>IFERROR(__xludf.DUMMYFUNCTION("""COMPUTED_VALUE"""),"RESOLVED")</f>
        <v>RESOLVED</v>
      </c>
      <c r="E115" s="6">
        <f>IFERROR(__xludf.DUMMYFUNCTION("""COMPUTED_VALUE"""),44384.870891203704)</f>
        <v>44384.87089</v>
      </c>
      <c r="F115" s="4" t="str">
        <f>IFERROR(__xludf.DUMMYFUNCTION("""COMPUTED_VALUE""")," ---")</f>
        <v> ---</v>
      </c>
      <c r="G115" s="4" t="str">
        <f>IFERROR(__xludf.DUMMYFUNCTION("""COMPUTED_VALUE"""),"SUSE Linux Enterprise Server 15 SP3")</f>
        <v>SUSE Linux Enterprise Server 15 SP3</v>
      </c>
      <c r="H115" s="7" t="str">
        <f t="shared" si="2"/>
        <v>NO</v>
      </c>
      <c r="I115" s="7" t="str">
        <f t="shared" si="3"/>
        <v>YES</v>
      </c>
    </row>
    <row r="116">
      <c r="A116" s="4">
        <f>IFERROR(__xludf.DUMMYFUNCTION("""COMPUTED_VALUE"""),1186260.0)</f>
        <v>1186260</v>
      </c>
      <c r="B116" s="4" t="str">
        <f>IFERROR(__xludf.DUMMYFUNCTION("""COMPUTED_VALUE"""),"P2 - High")</f>
        <v>P2 - High</v>
      </c>
      <c r="C116" s="5">
        <f>IFERROR(__xludf.DUMMYFUNCTION("""COMPUTED_VALUE"""),44335.7133912037)</f>
        <v>44335.71339</v>
      </c>
      <c r="D116" s="4" t="str">
        <f>IFERROR(__xludf.DUMMYFUNCTION("""COMPUTED_VALUE"""),"RESOLVED")</f>
        <v>RESOLVED</v>
      </c>
      <c r="E116" s="6">
        <f>IFERROR(__xludf.DUMMYFUNCTION("""COMPUTED_VALUE"""),44500.874930555554)</f>
        <v>44500.87493</v>
      </c>
      <c r="F116" s="4" t="str">
        <f>IFERROR(__xludf.DUMMYFUNCTION("""COMPUTED_VALUE""")," ---")</f>
        <v> ---</v>
      </c>
      <c r="G116" s="4" t="str">
        <f>IFERROR(__xludf.DUMMYFUNCTION("""COMPUTED_VALUE"""),"PUBLIC SUSE Linux Enterprise Server 15 SP3")</f>
        <v>PUBLIC SUSE Linux Enterprise Server 15 SP3</v>
      </c>
      <c r="H116" s="7" t="str">
        <f t="shared" si="2"/>
        <v>NO</v>
      </c>
      <c r="I116" s="7" t="str">
        <f t="shared" si="3"/>
        <v>NO</v>
      </c>
    </row>
    <row r="117">
      <c r="A117" s="4">
        <f>IFERROR(__xludf.DUMMYFUNCTION("""COMPUTED_VALUE"""),1182079.0)</f>
        <v>1182079</v>
      </c>
      <c r="B117" s="4" t="str">
        <f>IFERROR(__xludf.DUMMYFUNCTION("""COMPUTED_VALUE"""),"P2 - High")</f>
        <v>P2 - High</v>
      </c>
      <c r="C117" s="5">
        <f>IFERROR(__xludf.DUMMYFUNCTION("""COMPUTED_VALUE"""),44237.79960648148)</f>
        <v>44237.79961</v>
      </c>
      <c r="D117" s="4" t="str">
        <f>IFERROR(__xludf.DUMMYFUNCTION("""COMPUTED_VALUE"""),"RESOLVED")</f>
        <v>RESOLVED</v>
      </c>
      <c r="E117" s="6">
        <f>IFERROR(__xludf.DUMMYFUNCTION("""COMPUTED_VALUE"""),44378.53015046296)</f>
        <v>44378.53015</v>
      </c>
      <c r="F117" s="4" t="str">
        <f>IFERROR(__xludf.DUMMYFUNCTION("""COMPUTED_VALUE""")," ---")</f>
        <v> ---</v>
      </c>
      <c r="G117" s="4" t="str">
        <f>IFERROR(__xludf.DUMMYFUNCTION("""COMPUTED_VALUE"""),"SUSE Linux Enterprise Server 15 SP3")</f>
        <v>SUSE Linux Enterprise Server 15 SP3</v>
      </c>
      <c r="H117" s="7" t="str">
        <f t="shared" si="2"/>
        <v>NO</v>
      </c>
      <c r="I117" s="7" t="str">
        <f t="shared" si="3"/>
        <v>NO</v>
      </c>
    </row>
    <row r="118">
      <c r="A118" s="4">
        <f>IFERROR(__xludf.DUMMYFUNCTION("""COMPUTED_VALUE"""),1185051.0)</f>
        <v>1185051</v>
      </c>
      <c r="B118" s="4" t="str">
        <f>IFERROR(__xludf.DUMMYFUNCTION("""COMPUTED_VALUE"""),"P2 - High")</f>
        <v>P2 - High</v>
      </c>
      <c r="C118" s="5">
        <f>IFERROR(__xludf.DUMMYFUNCTION("""COMPUTED_VALUE"""),44307.36275462963)</f>
        <v>44307.36275</v>
      </c>
      <c r="D118" s="4" t="str">
        <f>IFERROR(__xludf.DUMMYFUNCTION("""COMPUTED_VALUE"""),"RESOLVED")</f>
        <v>RESOLVED</v>
      </c>
      <c r="E118" s="6">
        <f>IFERROR(__xludf.DUMMYFUNCTION("""COMPUTED_VALUE"""),44701.37615740741)</f>
        <v>44701.37616</v>
      </c>
      <c r="F118" s="4" t="str">
        <f>IFERROR(__xludf.DUMMYFUNCTION("""COMPUTED_VALUE""")," ---")</f>
        <v> ---</v>
      </c>
      <c r="G118" s="4" t="str">
        <f>IFERROR(__xludf.DUMMYFUNCTION("""COMPUTED_VALUE"""),"SUSE Linux Enterprise Server 15 SP3")</f>
        <v>SUSE Linux Enterprise Server 15 SP3</v>
      </c>
      <c r="H118" s="7" t="str">
        <f t="shared" si="2"/>
        <v>NO</v>
      </c>
      <c r="I118" s="7" t="str">
        <f t="shared" si="3"/>
        <v>NO</v>
      </c>
    </row>
    <row r="119">
      <c r="A119" s="4">
        <f>IFERROR(__xludf.DUMMYFUNCTION("""COMPUTED_VALUE"""),1179365.0)</f>
        <v>1179365</v>
      </c>
      <c r="B119" s="4" t="str">
        <f>IFERROR(__xludf.DUMMYFUNCTION("""COMPUTED_VALUE"""),"P2 - High")</f>
        <v>P2 - High</v>
      </c>
      <c r="C119" s="5">
        <f>IFERROR(__xludf.DUMMYFUNCTION("""COMPUTED_VALUE"""),44162.96894675926)</f>
        <v>44162.96895</v>
      </c>
      <c r="D119" s="4" t="str">
        <f>IFERROR(__xludf.DUMMYFUNCTION("""COMPUTED_VALUE"""),"RESOLVED")</f>
        <v>RESOLVED</v>
      </c>
      <c r="E119" s="6">
        <f>IFERROR(__xludf.DUMMYFUNCTION("""COMPUTED_VALUE"""),44384.85967592592)</f>
        <v>44384.85968</v>
      </c>
      <c r="F119" s="4" t="str">
        <f>IFERROR(__xludf.DUMMYFUNCTION("""COMPUTED_VALUE""")," ---")</f>
        <v> ---</v>
      </c>
      <c r="G119" s="4" t="str">
        <f>IFERROR(__xludf.DUMMYFUNCTION("""COMPUTED_VALUE"""),"SUSE Linux Enterprise Server 15 SP3")</f>
        <v>SUSE Linux Enterprise Server 15 SP3</v>
      </c>
      <c r="H119" s="7" t="str">
        <f t="shared" si="2"/>
        <v>NO</v>
      </c>
      <c r="I119" s="7" t="str">
        <f t="shared" si="3"/>
        <v>NO</v>
      </c>
    </row>
    <row r="120">
      <c r="A120" s="4">
        <f>IFERROR(__xludf.DUMMYFUNCTION("""COMPUTED_VALUE"""),1185351.0)</f>
        <v>1185351</v>
      </c>
      <c r="B120" s="4" t="str">
        <f>IFERROR(__xludf.DUMMYFUNCTION("""COMPUTED_VALUE"""),"P2 - High")</f>
        <v>P2 - High</v>
      </c>
      <c r="C120" s="5">
        <f>IFERROR(__xludf.DUMMYFUNCTION("""COMPUTED_VALUE"""),44313.522731481484)</f>
        <v>44313.52273</v>
      </c>
      <c r="D120" s="4" t="str">
        <f>IFERROR(__xludf.DUMMYFUNCTION("""COMPUTED_VALUE"""),"RESOLVED")</f>
        <v>RESOLVED</v>
      </c>
      <c r="E120" s="6">
        <f>IFERROR(__xludf.DUMMYFUNCTION("""COMPUTED_VALUE"""),44321.687372685185)</f>
        <v>44321.68737</v>
      </c>
      <c r="F120" s="4" t="str">
        <f>IFERROR(__xludf.DUMMYFUNCTION("""COMPUTED_VALUE""")," ---")</f>
        <v> ---</v>
      </c>
      <c r="G120" s="4" t="str">
        <f>IFERROR(__xludf.DUMMYFUNCTION("""COMPUTED_VALUE"""),"SUSE Linux Enterprise Server 15 SP3")</f>
        <v>SUSE Linux Enterprise Server 15 SP3</v>
      </c>
      <c r="H120" s="7" t="str">
        <f t="shared" si="2"/>
        <v>NO</v>
      </c>
      <c r="I120" s="7" t="str">
        <f t="shared" si="3"/>
        <v>NO</v>
      </c>
    </row>
    <row r="121">
      <c r="A121" s="4">
        <f>IFERROR(__xludf.DUMMYFUNCTION("""COMPUTED_VALUE"""),1182378.0)</f>
        <v>1182378</v>
      </c>
      <c r="B121" s="4" t="str">
        <f>IFERROR(__xludf.DUMMYFUNCTION("""COMPUTED_VALUE"""),"P2 - High")</f>
        <v>P2 - High</v>
      </c>
      <c r="C121" s="5">
        <f>IFERROR(__xludf.DUMMYFUNCTION("""COMPUTED_VALUE"""),44244.68802083333)</f>
        <v>44244.68802</v>
      </c>
      <c r="D121" s="4" t="str">
        <f>IFERROR(__xludf.DUMMYFUNCTION("""COMPUTED_VALUE"""),"RESOLVED")</f>
        <v>RESOLVED</v>
      </c>
      <c r="E121" s="6">
        <f>IFERROR(__xludf.DUMMYFUNCTION("""COMPUTED_VALUE"""),44388.68866898148)</f>
        <v>44388.68867</v>
      </c>
      <c r="F121" s="4" t="str">
        <f>IFERROR(__xludf.DUMMYFUNCTION("""COMPUTED_VALUE""")," ---")</f>
        <v> ---</v>
      </c>
      <c r="G121" s="4" t="str">
        <f>IFERROR(__xludf.DUMMYFUNCTION("""COMPUTED_VALUE"""),"SUSE Linux Enterprise Server 15 SP3")</f>
        <v>SUSE Linux Enterprise Server 15 SP3</v>
      </c>
      <c r="H121" s="7" t="str">
        <f t="shared" si="2"/>
        <v>NO</v>
      </c>
      <c r="I121" s="7" t="str">
        <f t="shared" si="3"/>
        <v>NO</v>
      </c>
    </row>
    <row r="122">
      <c r="A122" s="4">
        <f>IFERROR(__xludf.DUMMYFUNCTION("""COMPUTED_VALUE"""),1187087.0)</f>
        <v>1187087</v>
      </c>
      <c r="B122" s="4" t="str">
        <f>IFERROR(__xludf.DUMMYFUNCTION("""COMPUTED_VALUE"""),"P2 - High")</f>
        <v>P2 - High</v>
      </c>
      <c r="C122" s="5">
        <f>IFERROR(__xludf.DUMMYFUNCTION("""COMPUTED_VALUE"""),44356.24256944445)</f>
        <v>44356.24257</v>
      </c>
      <c r="D122" s="4" t="str">
        <f>IFERROR(__xludf.DUMMYFUNCTION("""COMPUTED_VALUE"""),"RESOLVED")</f>
        <v>RESOLVED</v>
      </c>
      <c r="E122" s="6">
        <f>IFERROR(__xludf.DUMMYFUNCTION("""COMPUTED_VALUE"""),44361.62732638889)</f>
        <v>44361.62733</v>
      </c>
      <c r="F122" s="4" t="str">
        <f>IFERROR(__xludf.DUMMYFUNCTION("""COMPUTED_VALUE""")," ---")</f>
        <v> ---</v>
      </c>
      <c r="G122" s="4" t="str">
        <f>IFERROR(__xludf.DUMMYFUNCTION("""COMPUTED_VALUE"""),"SUSE Linux Enterprise Server 15 SP3")</f>
        <v>SUSE Linux Enterprise Server 15 SP3</v>
      </c>
      <c r="H122" s="7" t="str">
        <f t="shared" si="2"/>
        <v>NO</v>
      </c>
      <c r="I122" s="7" t="str">
        <f t="shared" si="3"/>
        <v>NO</v>
      </c>
    </row>
    <row r="123">
      <c r="A123" s="4">
        <f>IFERROR(__xludf.DUMMYFUNCTION("""COMPUTED_VALUE"""),1181391.0)</f>
        <v>1181391</v>
      </c>
      <c r="B123" s="4" t="str">
        <f>IFERROR(__xludf.DUMMYFUNCTION("""COMPUTED_VALUE"""),"P2 - High")</f>
        <v>P2 - High</v>
      </c>
      <c r="C123" s="5">
        <f>IFERROR(__xludf.DUMMYFUNCTION("""COMPUTED_VALUE"""),44222.03113425926)</f>
        <v>44222.03113</v>
      </c>
      <c r="D123" s="4" t="str">
        <f>IFERROR(__xludf.DUMMYFUNCTION("""COMPUTED_VALUE"""),"RESOLVED")</f>
        <v>RESOLVED</v>
      </c>
      <c r="E123" s="6">
        <f>IFERROR(__xludf.DUMMYFUNCTION("""COMPUTED_VALUE"""),44365.26634259259)</f>
        <v>44365.26634</v>
      </c>
      <c r="F123" s="4" t="str">
        <f>IFERROR(__xludf.DUMMYFUNCTION("""COMPUTED_VALUE""")," ---")</f>
        <v> ---</v>
      </c>
      <c r="G123" s="4" t="str">
        <f>IFERROR(__xludf.DUMMYFUNCTION("""COMPUTED_VALUE"""),"SUSE Linux Enterprise Server 15 SP3")</f>
        <v>SUSE Linux Enterprise Server 15 SP3</v>
      </c>
      <c r="H123" s="7" t="str">
        <f t="shared" si="2"/>
        <v>NO</v>
      </c>
      <c r="I123" s="7" t="str">
        <f t="shared" si="3"/>
        <v>NO</v>
      </c>
    </row>
    <row r="124">
      <c r="A124" s="4">
        <f>IFERROR(__xludf.DUMMYFUNCTION("""COMPUTED_VALUE"""),1180598.0)</f>
        <v>1180598</v>
      </c>
      <c r="B124" s="4" t="str">
        <f>IFERROR(__xludf.DUMMYFUNCTION("""COMPUTED_VALUE"""),"P2 - High")</f>
        <v>P2 - High</v>
      </c>
      <c r="C124" s="5">
        <f>IFERROR(__xludf.DUMMYFUNCTION("""COMPUTED_VALUE"""),44201.948333333334)</f>
        <v>44201.94833</v>
      </c>
      <c r="D124" s="4" t="str">
        <f>IFERROR(__xludf.DUMMYFUNCTION("""COMPUTED_VALUE"""),"RESOLVED")</f>
        <v>RESOLVED</v>
      </c>
      <c r="E124" s="6">
        <f>IFERROR(__xludf.DUMMYFUNCTION("""COMPUTED_VALUE"""),44384.86510416667)</f>
        <v>44384.8651</v>
      </c>
      <c r="F124" s="4" t="str">
        <f>IFERROR(__xludf.DUMMYFUNCTION("""COMPUTED_VALUE""")," ---")</f>
        <v> ---</v>
      </c>
      <c r="G124" s="4" t="str">
        <f>IFERROR(__xludf.DUMMYFUNCTION("""COMPUTED_VALUE"""),"SUSE Linux Enterprise Server 15 SP3")</f>
        <v>SUSE Linux Enterprise Server 15 SP3</v>
      </c>
      <c r="H124" s="7" t="str">
        <f t="shared" si="2"/>
        <v>YES</v>
      </c>
      <c r="I124" s="7" t="str">
        <f t="shared" si="3"/>
        <v>NO</v>
      </c>
    </row>
    <row r="125">
      <c r="A125" s="4">
        <f>IFERROR(__xludf.DUMMYFUNCTION("""COMPUTED_VALUE"""),1177277.0)</f>
        <v>1177277</v>
      </c>
      <c r="B125" s="4" t="str">
        <f>IFERROR(__xludf.DUMMYFUNCTION("""COMPUTED_VALUE"""),"P2 - High")</f>
        <v>P2 - High</v>
      </c>
      <c r="C125" s="5">
        <f>IFERROR(__xludf.DUMMYFUNCTION("""COMPUTED_VALUE"""),44109.3134375)</f>
        <v>44109.31344</v>
      </c>
      <c r="D125" s="4" t="str">
        <f>IFERROR(__xludf.DUMMYFUNCTION("""COMPUTED_VALUE"""),"RESOLVED")</f>
        <v>RESOLVED</v>
      </c>
      <c r="E125" s="6">
        <f>IFERROR(__xludf.DUMMYFUNCTION("""COMPUTED_VALUE"""),44384.85134259259)</f>
        <v>44384.85134</v>
      </c>
      <c r="F125" s="4" t="str">
        <f>IFERROR(__xludf.DUMMYFUNCTION("""COMPUTED_VALUE""")," ---")</f>
        <v> ---</v>
      </c>
      <c r="G125" s="4" t="str">
        <f>IFERROR(__xludf.DUMMYFUNCTION("""COMPUTED_VALUE"""),"SUSE Linux Enterprise Server 15 SP3")</f>
        <v>SUSE Linux Enterprise Server 15 SP3</v>
      </c>
      <c r="H125" s="7" t="str">
        <f t="shared" si="2"/>
        <v>NO</v>
      </c>
      <c r="I125" s="7" t="str">
        <f t="shared" si="3"/>
        <v>NO</v>
      </c>
    </row>
    <row r="126">
      <c r="A126" s="4">
        <f>IFERROR(__xludf.DUMMYFUNCTION("""COMPUTED_VALUE"""),1177278.0)</f>
        <v>1177278</v>
      </c>
      <c r="B126" s="4" t="str">
        <f>IFERROR(__xludf.DUMMYFUNCTION("""COMPUTED_VALUE"""),"P2 - High")</f>
        <v>P2 - High</v>
      </c>
      <c r="C126" s="5">
        <f>IFERROR(__xludf.DUMMYFUNCTION("""COMPUTED_VALUE"""),44109.31363425926)</f>
        <v>44109.31363</v>
      </c>
      <c r="D126" s="4" t="str">
        <f>IFERROR(__xludf.DUMMYFUNCTION("""COMPUTED_VALUE"""),"RESOLVED")</f>
        <v>RESOLVED</v>
      </c>
      <c r="E126" s="6">
        <f>IFERROR(__xludf.DUMMYFUNCTION("""COMPUTED_VALUE"""),44384.85141203704)</f>
        <v>44384.85141</v>
      </c>
      <c r="F126" s="4" t="str">
        <f>IFERROR(__xludf.DUMMYFUNCTION("""COMPUTED_VALUE""")," ---")</f>
        <v> ---</v>
      </c>
      <c r="G126" s="4" t="str">
        <f>IFERROR(__xludf.DUMMYFUNCTION("""COMPUTED_VALUE"""),"SUSE Linux Enterprise Server 15 SP3")</f>
        <v>SUSE Linux Enterprise Server 15 SP3</v>
      </c>
      <c r="H126" s="7" t="str">
        <f t="shared" si="2"/>
        <v>NO</v>
      </c>
      <c r="I126" s="7" t="str">
        <f t="shared" si="3"/>
        <v>NO</v>
      </c>
    </row>
    <row r="127">
      <c r="A127" s="4">
        <f>IFERROR(__xludf.DUMMYFUNCTION("""COMPUTED_VALUE"""),1177279.0)</f>
        <v>1177279</v>
      </c>
      <c r="B127" s="4" t="str">
        <f>IFERROR(__xludf.DUMMYFUNCTION("""COMPUTED_VALUE"""),"P2 - High")</f>
        <v>P2 - High</v>
      </c>
      <c r="C127" s="5">
        <f>IFERROR(__xludf.DUMMYFUNCTION("""COMPUTED_VALUE"""),44109.31384259259)</f>
        <v>44109.31384</v>
      </c>
      <c r="D127" s="4" t="str">
        <f>IFERROR(__xludf.DUMMYFUNCTION("""COMPUTED_VALUE"""),"RESOLVED")</f>
        <v>RESOLVED</v>
      </c>
      <c r="E127" s="6">
        <f>IFERROR(__xludf.DUMMYFUNCTION("""COMPUTED_VALUE"""),44384.851481481484)</f>
        <v>44384.85148</v>
      </c>
      <c r="F127" s="4" t="str">
        <f>IFERROR(__xludf.DUMMYFUNCTION("""COMPUTED_VALUE""")," ---")</f>
        <v> ---</v>
      </c>
      <c r="G127" s="4" t="str">
        <f>IFERROR(__xludf.DUMMYFUNCTION("""COMPUTED_VALUE"""),"SUSE Linux Enterprise Server 15 SP3")</f>
        <v>SUSE Linux Enterprise Server 15 SP3</v>
      </c>
      <c r="H127" s="7" t="str">
        <f t="shared" si="2"/>
        <v>NO</v>
      </c>
      <c r="I127" s="7" t="str">
        <f t="shared" si="3"/>
        <v>NO</v>
      </c>
    </row>
    <row r="128">
      <c r="A128" s="4">
        <f>IFERROR(__xludf.DUMMYFUNCTION("""COMPUTED_VALUE"""),1177280.0)</f>
        <v>1177280</v>
      </c>
      <c r="B128" s="4" t="str">
        <f>IFERROR(__xludf.DUMMYFUNCTION("""COMPUTED_VALUE"""),"P2 - High")</f>
        <v>P2 - High</v>
      </c>
      <c r="C128" s="5">
        <f>IFERROR(__xludf.DUMMYFUNCTION("""COMPUTED_VALUE"""),44109.314050925925)</f>
        <v>44109.31405</v>
      </c>
      <c r="D128" s="4" t="str">
        <f>IFERROR(__xludf.DUMMYFUNCTION("""COMPUTED_VALUE"""),"RESOLVED")</f>
        <v>RESOLVED</v>
      </c>
      <c r="E128" s="6">
        <f>IFERROR(__xludf.DUMMYFUNCTION("""COMPUTED_VALUE"""),44384.85155092592)</f>
        <v>44384.85155</v>
      </c>
      <c r="F128" s="4" t="str">
        <f>IFERROR(__xludf.DUMMYFUNCTION("""COMPUTED_VALUE""")," ---")</f>
        <v> ---</v>
      </c>
      <c r="G128" s="4" t="str">
        <f>IFERROR(__xludf.DUMMYFUNCTION("""COMPUTED_VALUE"""),"SUSE Linux Enterprise Server 15 SP3")</f>
        <v>SUSE Linux Enterprise Server 15 SP3</v>
      </c>
      <c r="H128" s="7" t="str">
        <f t="shared" si="2"/>
        <v>NO</v>
      </c>
      <c r="I128" s="7" t="str">
        <f t="shared" si="3"/>
        <v>NO</v>
      </c>
    </row>
    <row r="129">
      <c r="A129" s="4">
        <f>IFERROR(__xludf.DUMMYFUNCTION("""COMPUTED_VALUE"""),1177287.0)</f>
        <v>1177287</v>
      </c>
      <c r="B129" s="4" t="str">
        <f>IFERROR(__xludf.DUMMYFUNCTION("""COMPUTED_VALUE"""),"P2 - High")</f>
        <v>P2 - High</v>
      </c>
      <c r="C129" s="5">
        <f>IFERROR(__xludf.DUMMYFUNCTION("""COMPUTED_VALUE"""),44109.382523148146)</f>
        <v>44109.38252</v>
      </c>
      <c r="D129" s="4" t="str">
        <f>IFERROR(__xludf.DUMMYFUNCTION("""COMPUTED_VALUE"""),"RESOLVED")</f>
        <v>RESOLVED</v>
      </c>
      <c r="E129" s="6">
        <f>IFERROR(__xludf.DUMMYFUNCTION("""COMPUTED_VALUE"""),44384.85189814815)</f>
        <v>44384.8519</v>
      </c>
      <c r="F129" s="4" t="str">
        <f>IFERROR(__xludf.DUMMYFUNCTION("""COMPUTED_VALUE""")," ---")</f>
        <v> ---</v>
      </c>
      <c r="G129" s="4" t="str">
        <f>IFERROR(__xludf.DUMMYFUNCTION("""COMPUTED_VALUE"""),"SUSE Linux Enterprise Server 15 SP3")</f>
        <v>SUSE Linux Enterprise Server 15 SP3</v>
      </c>
      <c r="H129" s="7" t="str">
        <f t="shared" si="2"/>
        <v>NO</v>
      </c>
      <c r="I129" s="7" t="str">
        <f t="shared" si="3"/>
        <v>NO</v>
      </c>
    </row>
    <row r="130">
      <c r="A130" s="4">
        <f>IFERROR(__xludf.DUMMYFUNCTION("""COMPUTED_VALUE"""),1183310.0)</f>
        <v>1183310</v>
      </c>
      <c r="B130" s="4" t="str">
        <f>IFERROR(__xludf.DUMMYFUNCTION("""COMPUTED_VALUE"""),"P2 - High")</f>
        <v>P2 - High</v>
      </c>
      <c r="C130" s="5">
        <f>IFERROR(__xludf.DUMMYFUNCTION("""COMPUTED_VALUE"""),44265.67037037037)</f>
        <v>44265.67037</v>
      </c>
      <c r="D130" s="4" t="str">
        <f>IFERROR(__xludf.DUMMYFUNCTION("""COMPUTED_VALUE"""),"RESOLVED")</f>
        <v>RESOLVED</v>
      </c>
      <c r="E130" s="6">
        <f>IFERROR(__xludf.DUMMYFUNCTION("""COMPUTED_VALUE"""),44388.72209490741)</f>
        <v>44388.72209</v>
      </c>
      <c r="F130" s="4" t="str">
        <f>IFERROR(__xludf.DUMMYFUNCTION("""COMPUTED_VALUE""")," ---")</f>
        <v> ---</v>
      </c>
      <c r="G130" s="4" t="str">
        <f>IFERROR(__xludf.DUMMYFUNCTION("""COMPUTED_VALUE"""),"SUSE Linux Enterprise Server 15 SP3")</f>
        <v>SUSE Linux Enterprise Server 15 SP3</v>
      </c>
      <c r="H130" s="7" t="str">
        <f t="shared" si="2"/>
        <v>NO</v>
      </c>
      <c r="I130" s="7" t="str">
        <f t="shared" si="3"/>
        <v>NO</v>
      </c>
    </row>
    <row r="131">
      <c r="A131" s="4">
        <f>IFERROR(__xludf.DUMMYFUNCTION("""COMPUTED_VALUE"""),1183311.0)</f>
        <v>1183311</v>
      </c>
      <c r="B131" s="4" t="str">
        <f>IFERROR(__xludf.DUMMYFUNCTION("""COMPUTED_VALUE"""),"P2 - High")</f>
        <v>P2 - High</v>
      </c>
      <c r="C131" s="5">
        <f>IFERROR(__xludf.DUMMYFUNCTION("""COMPUTED_VALUE"""),44265.67055555555)</f>
        <v>44265.67056</v>
      </c>
      <c r="D131" s="4" t="str">
        <f>IFERROR(__xludf.DUMMYFUNCTION("""COMPUTED_VALUE"""),"RESOLVED")</f>
        <v>RESOLVED</v>
      </c>
      <c r="E131" s="6">
        <f>IFERROR(__xludf.DUMMYFUNCTION("""COMPUTED_VALUE"""),44388.72217592593)</f>
        <v>44388.72218</v>
      </c>
      <c r="F131" s="4" t="str">
        <f>IFERROR(__xludf.DUMMYFUNCTION("""COMPUTED_VALUE""")," ---")</f>
        <v> ---</v>
      </c>
      <c r="G131" s="4" t="str">
        <f>IFERROR(__xludf.DUMMYFUNCTION("""COMPUTED_VALUE"""),"SUSE Linux Enterprise Server 15 SP3")</f>
        <v>SUSE Linux Enterprise Server 15 SP3</v>
      </c>
      <c r="H131" s="7" t="str">
        <f t="shared" si="2"/>
        <v>NO</v>
      </c>
      <c r="I131" s="7" t="str">
        <f t="shared" si="3"/>
        <v>NO</v>
      </c>
    </row>
    <row r="132">
      <c r="A132" s="4">
        <f>IFERROR(__xludf.DUMMYFUNCTION("""COMPUTED_VALUE"""),1183312.0)</f>
        <v>1183312</v>
      </c>
      <c r="B132" s="4" t="str">
        <f>IFERROR(__xludf.DUMMYFUNCTION("""COMPUTED_VALUE"""),"P2 - High")</f>
        <v>P2 - High</v>
      </c>
      <c r="C132" s="5">
        <f>IFERROR(__xludf.DUMMYFUNCTION("""COMPUTED_VALUE"""),44265.67077546296)</f>
        <v>44265.67078</v>
      </c>
      <c r="D132" s="4" t="str">
        <f>IFERROR(__xludf.DUMMYFUNCTION("""COMPUTED_VALUE"""),"RESOLVED")</f>
        <v>RESOLVED</v>
      </c>
      <c r="E132" s="6">
        <f>IFERROR(__xludf.DUMMYFUNCTION("""COMPUTED_VALUE"""),44388.72224537037)</f>
        <v>44388.72225</v>
      </c>
      <c r="F132" s="4" t="str">
        <f>IFERROR(__xludf.DUMMYFUNCTION("""COMPUTED_VALUE""")," ---")</f>
        <v> ---</v>
      </c>
      <c r="G132" s="4" t="str">
        <f>IFERROR(__xludf.DUMMYFUNCTION("""COMPUTED_VALUE"""),"SUSE Linux Enterprise Server 15 SP3")</f>
        <v>SUSE Linux Enterprise Server 15 SP3</v>
      </c>
      <c r="H132" s="7" t="str">
        <f t="shared" si="2"/>
        <v>NO</v>
      </c>
      <c r="I132" s="7" t="str">
        <f t="shared" si="3"/>
        <v>NO</v>
      </c>
    </row>
    <row r="133">
      <c r="A133" s="4">
        <f>IFERROR(__xludf.DUMMYFUNCTION("""COMPUTED_VALUE"""),1183313.0)</f>
        <v>1183313</v>
      </c>
      <c r="B133" s="4" t="str">
        <f>IFERROR(__xludf.DUMMYFUNCTION("""COMPUTED_VALUE"""),"P2 - High")</f>
        <v>P2 - High</v>
      </c>
      <c r="C133" s="5">
        <f>IFERROR(__xludf.DUMMYFUNCTION("""COMPUTED_VALUE"""),44265.6709837963)</f>
        <v>44265.67098</v>
      </c>
      <c r="D133" s="4" t="str">
        <f>IFERROR(__xludf.DUMMYFUNCTION("""COMPUTED_VALUE"""),"RESOLVED")</f>
        <v>RESOLVED</v>
      </c>
      <c r="E133" s="6">
        <f>IFERROR(__xludf.DUMMYFUNCTION("""COMPUTED_VALUE"""),44388.72231481481)</f>
        <v>44388.72231</v>
      </c>
      <c r="F133" s="4" t="str">
        <f>IFERROR(__xludf.DUMMYFUNCTION("""COMPUTED_VALUE""")," ---")</f>
        <v> ---</v>
      </c>
      <c r="G133" s="4" t="str">
        <f>IFERROR(__xludf.DUMMYFUNCTION("""COMPUTED_VALUE"""),"SUSE Linux Enterprise Server 15 SP3")</f>
        <v>SUSE Linux Enterprise Server 15 SP3</v>
      </c>
      <c r="H133" s="7" t="str">
        <f t="shared" si="2"/>
        <v>NO</v>
      </c>
      <c r="I133" s="7" t="str">
        <f t="shared" si="3"/>
        <v>NO</v>
      </c>
    </row>
    <row r="134">
      <c r="A134" s="4">
        <f>IFERROR(__xludf.DUMMYFUNCTION("""COMPUTED_VALUE"""),1183314.0)</f>
        <v>1183314</v>
      </c>
      <c r="B134" s="4" t="str">
        <f>IFERROR(__xludf.DUMMYFUNCTION("""COMPUTED_VALUE"""),"P2 - High")</f>
        <v>P2 - High</v>
      </c>
      <c r="C134" s="5">
        <f>IFERROR(__xludf.DUMMYFUNCTION("""COMPUTED_VALUE"""),44265.67119212963)</f>
        <v>44265.67119</v>
      </c>
      <c r="D134" s="4" t="str">
        <f>IFERROR(__xludf.DUMMYFUNCTION("""COMPUTED_VALUE"""),"RESOLVED")</f>
        <v>RESOLVED</v>
      </c>
      <c r="E134" s="6">
        <f>IFERROR(__xludf.DUMMYFUNCTION("""COMPUTED_VALUE"""),44388.72238425926)</f>
        <v>44388.72238</v>
      </c>
      <c r="F134" s="4" t="str">
        <f>IFERROR(__xludf.DUMMYFUNCTION("""COMPUTED_VALUE""")," ---")</f>
        <v> ---</v>
      </c>
      <c r="G134" s="4" t="str">
        <f>IFERROR(__xludf.DUMMYFUNCTION("""COMPUTED_VALUE"""),"SUSE Linux Enterprise Server 15 SP3")</f>
        <v>SUSE Linux Enterprise Server 15 SP3</v>
      </c>
      <c r="H134" s="7" t="str">
        <f t="shared" si="2"/>
        <v>NO</v>
      </c>
      <c r="I134" s="7" t="str">
        <f t="shared" si="3"/>
        <v>NO</v>
      </c>
    </row>
    <row r="135">
      <c r="A135" s="4">
        <f>IFERROR(__xludf.DUMMYFUNCTION("""COMPUTED_VALUE"""),1183315.0)</f>
        <v>1183315</v>
      </c>
      <c r="B135" s="4" t="str">
        <f>IFERROR(__xludf.DUMMYFUNCTION("""COMPUTED_VALUE"""),"P2 - High")</f>
        <v>P2 - High</v>
      </c>
      <c r="C135" s="5">
        <f>IFERROR(__xludf.DUMMYFUNCTION("""COMPUTED_VALUE"""),44265.67144675926)</f>
        <v>44265.67145</v>
      </c>
      <c r="D135" s="4" t="str">
        <f>IFERROR(__xludf.DUMMYFUNCTION("""COMPUTED_VALUE"""),"RESOLVED")</f>
        <v>RESOLVED</v>
      </c>
      <c r="E135" s="6">
        <f>IFERROR(__xludf.DUMMYFUNCTION("""COMPUTED_VALUE"""),44388.72246527778)</f>
        <v>44388.72247</v>
      </c>
      <c r="F135" s="4" t="str">
        <f>IFERROR(__xludf.DUMMYFUNCTION("""COMPUTED_VALUE""")," ---")</f>
        <v> ---</v>
      </c>
      <c r="G135" s="4" t="str">
        <f>IFERROR(__xludf.DUMMYFUNCTION("""COMPUTED_VALUE"""),"SUSE Linux Enterprise Server 15 SP3")</f>
        <v>SUSE Linux Enterprise Server 15 SP3</v>
      </c>
      <c r="H135" s="7" t="str">
        <f t="shared" si="2"/>
        <v>NO</v>
      </c>
      <c r="I135" s="7" t="str">
        <f t="shared" si="3"/>
        <v>NO</v>
      </c>
    </row>
    <row r="136">
      <c r="A136" s="4">
        <f>IFERROR(__xludf.DUMMYFUNCTION("""COMPUTED_VALUE"""),1183316.0)</f>
        <v>1183316</v>
      </c>
      <c r="B136" s="4" t="str">
        <f>IFERROR(__xludf.DUMMYFUNCTION("""COMPUTED_VALUE"""),"P2 - High")</f>
        <v>P2 - High</v>
      </c>
      <c r="C136" s="5">
        <f>IFERROR(__xludf.DUMMYFUNCTION("""COMPUTED_VALUE"""),44265.67167824074)</f>
        <v>44265.67168</v>
      </c>
      <c r="D136" s="4" t="str">
        <f>IFERROR(__xludf.DUMMYFUNCTION("""COMPUTED_VALUE"""),"RESOLVED")</f>
        <v>RESOLVED</v>
      </c>
      <c r="E136" s="6">
        <f>IFERROR(__xludf.DUMMYFUNCTION("""COMPUTED_VALUE"""),44388.72253472222)</f>
        <v>44388.72253</v>
      </c>
      <c r="F136" s="4" t="str">
        <f>IFERROR(__xludf.DUMMYFUNCTION("""COMPUTED_VALUE""")," ---")</f>
        <v> ---</v>
      </c>
      <c r="G136" s="4" t="str">
        <f>IFERROR(__xludf.DUMMYFUNCTION("""COMPUTED_VALUE"""),"SUSE Linux Enterprise Server 15 SP3")</f>
        <v>SUSE Linux Enterprise Server 15 SP3</v>
      </c>
      <c r="H136" s="7" t="str">
        <f t="shared" si="2"/>
        <v>NO</v>
      </c>
      <c r="I136" s="7" t="str">
        <f t="shared" si="3"/>
        <v>NO</v>
      </c>
    </row>
    <row r="137">
      <c r="A137" s="4">
        <f>IFERROR(__xludf.DUMMYFUNCTION("""COMPUTED_VALUE"""),1183317.0)</f>
        <v>1183317</v>
      </c>
      <c r="B137" s="4" t="str">
        <f>IFERROR(__xludf.DUMMYFUNCTION("""COMPUTED_VALUE"""),"P2 - High")</f>
        <v>P2 - High</v>
      </c>
      <c r="C137" s="5">
        <f>IFERROR(__xludf.DUMMYFUNCTION("""COMPUTED_VALUE"""),44265.671875)</f>
        <v>44265.67188</v>
      </c>
      <c r="D137" s="4" t="str">
        <f>IFERROR(__xludf.DUMMYFUNCTION("""COMPUTED_VALUE"""),"RESOLVED")</f>
        <v>RESOLVED</v>
      </c>
      <c r="E137" s="6">
        <f>IFERROR(__xludf.DUMMYFUNCTION("""COMPUTED_VALUE"""),44388.72261574074)</f>
        <v>44388.72262</v>
      </c>
      <c r="F137" s="4" t="str">
        <f>IFERROR(__xludf.DUMMYFUNCTION("""COMPUTED_VALUE""")," ---")</f>
        <v> ---</v>
      </c>
      <c r="G137" s="4" t="str">
        <f>IFERROR(__xludf.DUMMYFUNCTION("""COMPUTED_VALUE"""),"SUSE Linux Enterprise Server 15 SP3")</f>
        <v>SUSE Linux Enterprise Server 15 SP3</v>
      </c>
      <c r="H137" s="7" t="str">
        <f t="shared" si="2"/>
        <v>NO</v>
      </c>
      <c r="I137" s="7" t="str">
        <f t="shared" si="3"/>
        <v>NO</v>
      </c>
    </row>
    <row r="138">
      <c r="A138" s="4">
        <f>IFERROR(__xludf.DUMMYFUNCTION("""COMPUTED_VALUE"""),1183318.0)</f>
        <v>1183318</v>
      </c>
      <c r="B138" s="4" t="str">
        <f>IFERROR(__xludf.DUMMYFUNCTION("""COMPUTED_VALUE"""),"P2 - High")</f>
        <v>P2 - High</v>
      </c>
      <c r="C138" s="5">
        <f>IFERROR(__xludf.DUMMYFUNCTION("""COMPUTED_VALUE"""),44265.67207175926)</f>
        <v>44265.67207</v>
      </c>
      <c r="D138" s="4" t="str">
        <f>IFERROR(__xludf.DUMMYFUNCTION("""COMPUTED_VALUE"""),"RESOLVED")</f>
        <v>RESOLVED</v>
      </c>
      <c r="E138" s="6">
        <f>IFERROR(__xludf.DUMMYFUNCTION("""COMPUTED_VALUE"""),44388.72268518519)</f>
        <v>44388.72269</v>
      </c>
      <c r="F138" s="4" t="str">
        <f>IFERROR(__xludf.DUMMYFUNCTION("""COMPUTED_VALUE""")," ---")</f>
        <v> ---</v>
      </c>
      <c r="G138" s="4" t="str">
        <f>IFERROR(__xludf.DUMMYFUNCTION("""COMPUTED_VALUE"""),"SUSE Linux Enterprise Server 15 SP3")</f>
        <v>SUSE Linux Enterprise Server 15 SP3</v>
      </c>
      <c r="H138" s="7" t="str">
        <f t="shared" si="2"/>
        <v>NO</v>
      </c>
      <c r="I138" s="7" t="str">
        <f t="shared" si="3"/>
        <v>NO</v>
      </c>
    </row>
    <row r="139">
      <c r="A139" s="4">
        <f>IFERROR(__xludf.DUMMYFUNCTION("""COMPUTED_VALUE"""),1183319.0)</f>
        <v>1183319</v>
      </c>
      <c r="B139" s="4" t="str">
        <f>IFERROR(__xludf.DUMMYFUNCTION("""COMPUTED_VALUE"""),"P2 - High")</f>
        <v>P2 - High</v>
      </c>
      <c r="C139" s="5">
        <f>IFERROR(__xludf.DUMMYFUNCTION("""COMPUTED_VALUE"""),44265.67225694445)</f>
        <v>44265.67226</v>
      </c>
      <c r="D139" s="4" t="str">
        <f>IFERROR(__xludf.DUMMYFUNCTION("""COMPUTED_VALUE"""),"RESOLVED")</f>
        <v>RESOLVED</v>
      </c>
      <c r="E139" s="6">
        <f>IFERROR(__xludf.DUMMYFUNCTION("""COMPUTED_VALUE"""),44388.722766203704)</f>
        <v>44388.72277</v>
      </c>
      <c r="F139" s="4" t="str">
        <f>IFERROR(__xludf.DUMMYFUNCTION("""COMPUTED_VALUE""")," ---")</f>
        <v> ---</v>
      </c>
      <c r="G139" s="4" t="str">
        <f>IFERROR(__xludf.DUMMYFUNCTION("""COMPUTED_VALUE"""),"SUSE Linux Enterprise Server 15 SP3")</f>
        <v>SUSE Linux Enterprise Server 15 SP3</v>
      </c>
      <c r="H139" s="7" t="str">
        <f t="shared" si="2"/>
        <v>NO</v>
      </c>
      <c r="I139" s="7" t="str">
        <f t="shared" si="3"/>
        <v>NO</v>
      </c>
    </row>
    <row r="140">
      <c r="A140" s="4">
        <f>IFERROR(__xludf.DUMMYFUNCTION("""COMPUTED_VALUE"""),1183320.0)</f>
        <v>1183320</v>
      </c>
      <c r="B140" s="4" t="str">
        <f>IFERROR(__xludf.DUMMYFUNCTION("""COMPUTED_VALUE"""),"P2 - High")</f>
        <v>P2 - High</v>
      </c>
      <c r="C140" s="5">
        <f>IFERROR(__xludf.DUMMYFUNCTION("""COMPUTED_VALUE"""),44265.67244212963)</f>
        <v>44265.67244</v>
      </c>
      <c r="D140" s="4" t="str">
        <f>IFERROR(__xludf.DUMMYFUNCTION("""COMPUTED_VALUE"""),"RESOLVED")</f>
        <v>RESOLVED</v>
      </c>
      <c r="E140" s="6">
        <f>IFERROR(__xludf.DUMMYFUNCTION("""COMPUTED_VALUE"""),44388.72284722222)</f>
        <v>44388.72285</v>
      </c>
      <c r="F140" s="4" t="str">
        <f>IFERROR(__xludf.DUMMYFUNCTION("""COMPUTED_VALUE""")," ---")</f>
        <v> ---</v>
      </c>
      <c r="G140" s="4" t="str">
        <f>IFERROR(__xludf.DUMMYFUNCTION("""COMPUTED_VALUE"""),"SUSE Linux Enterprise Server 15 SP3")</f>
        <v>SUSE Linux Enterprise Server 15 SP3</v>
      </c>
      <c r="H140" s="7" t="str">
        <f t="shared" si="2"/>
        <v>NO</v>
      </c>
      <c r="I140" s="7" t="str">
        <f t="shared" si="3"/>
        <v>NO</v>
      </c>
    </row>
    <row r="141">
      <c r="A141" s="4">
        <f>IFERROR(__xludf.DUMMYFUNCTION("""COMPUTED_VALUE"""),1183321.0)</f>
        <v>1183321</v>
      </c>
      <c r="B141" s="4" t="str">
        <f>IFERROR(__xludf.DUMMYFUNCTION("""COMPUTED_VALUE"""),"P2 - High")</f>
        <v>P2 - High</v>
      </c>
      <c r="C141" s="5">
        <f>IFERROR(__xludf.DUMMYFUNCTION("""COMPUTED_VALUE"""),44265.672638888886)</f>
        <v>44265.67264</v>
      </c>
      <c r="D141" s="4" t="str">
        <f>IFERROR(__xludf.DUMMYFUNCTION("""COMPUTED_VALUE"""),"RESOLVED")</f>
        <v>RESOLVED</v>
      </c>
      <c r="E141" s="6">
        <f>IFERROR(__xludf.DUMMYFUNCTION("""COMPUTED_VALUE"""),44388.722916666666)</f>
        <v>44388.72292</v>
      </c>
      <c r="F141" s="4" t="str">
        <f>IFERROR(__xludf.DUMMYFUNCTION("""COMPUTED_VALUE""")," ---")</f>
        <v> ---</v>
      </c>
      <c r="G141" s="4" t="str">
        <f>IFERROR(__xludf.DUMMYFUNCTION("""COMPUTED_VALUE"""),"SUSE Linux Enterprise Server 15 SP3")</f>
        <v>SUSE Linux Enterprise Server 15 SP3</v>
      </c>
      <c r="H141" s="7" t="str">
        <f t="shared" si="2"/>
        <v>NO</v>
      </c>
      <c r="I141" s="7" t="str">
        <f t="shared" si="3"/>
        <v>NO</v>
      </c>
    </row>
    <row r="142">
      <c r="A142" s="4">
        <f>IFERROR(__xludf.DUMMYFUNCTION("""COMPUTED_VALUE"""),1183322.0)</f>
        <v>1183322</v>
      </c>
      <c r="B142" s="4" t="str">
        <f>IFERROR(__xludf.DUMMYFUNCTION("""COMPUTED_VALUE"""),"P2 - High")</f>
        <v>P2 - High</v>
      </c>
      <c r="C142" s="5">
        <f>IFERROR(__xludf.DUMMYFUNCTION("""COMPUTED_VALUE"""),44265.67283564815)</f>
        <v>44265.67284</v>
      </c>
      <c r="D142" s="4" t="str">
        <f>IFERROR(__xludf.DUMMYFUNCTION("""COMPUTED_VALUE"""),"RESOLVED")</f>
        <v>RESOLVED</v>
      </c>
      <c r="E142" s="6">
        <f>IFERROR(__xludf.DUMMYFUNCTION("""COMPUTED_VALUE"""),44388.72298611111)</f>
        <v>44388.72299</v>
      </c>
      <c r="F142" s="4" t="str">
        <f>IFERROR(__xludf.DUMMYFUNCTION("""COMPUTED_VALUE""")," ---")</f>
        <v> ---</v>
      </c>
      <c r="G142" s="4" t="str">
        <f>IFERROR(__xludf.DUMMYFUNCTION("""COMPUTED_VALUE"""),"SUSE Linux Enterprise Server 15 SP3")</f>
        <v>SUSE Linux Enterprise Server 15 SP3</v>
      </c>
      <c r="H142" s="7" t="str">
        <f t="shared" si="2"/>
        <v>NO</v>
      </c>
      <c r="I142" s="7" t="str">
        <f t="shared" si="3"/>
        <v>NO</v>
      </c>
    </row>
    <row r="143">
      <c r="A143" s="4">
        <f>IFERROR(__xludf.DUMMYFUNCTION("""COMPUTED_VALUE"""),1183323.0)</f>
        <v>1183323</v>
      </c>
      <c r="B143" s="4" t="str">
        <f>IFERROR(__xludf.DUMMYFUNCTION("""COMPUTED_VALUE"""),"P2 - High")</f>
        <v>P2 - High</v>
      </c>
      <c r="C143" s="5">
        <f>IFERROR(__xludf.DUMMYFUNCTION("""COMPUTED_VALUE"""),44265.67302083333)</f>
        <v>44265.67302</v>
      </c>
      <c r="D143" s="4" t="str">
        <f>IFERROR(__xludf.DUMMYFUNCTION("""COMPUTED_VALUE"""),"RESOLVED")</f>
        <v>RESOLVED</v>
      </c>
      <c r="E143" s="6">
        <f>IFERROR(__xludf.DUMMYFUNCTION("""COMPUTED_VALUE"""),44388.72305555556)</f>
        <v>44388.72306</v>
      </c>
      <c r="F143" s="4" t="str">
        <f>IFERROR(__xludf.DUMMYFUNCTION("""COMPUTED_VALUE""")," ---")</f>
        <v> ---</v>
      </c>
      <c r="G143" s="4" t="str">
        <f>IFERROR(__xludf.DUMMYFUNCTION("""COMPUTED_VALUE"""),"SUSE Linux Enterprise Server 15 SP3")</f>
        <v>SUSE Linux Enterprise Server 15 SP3</v>
      </c>
      <c r="H143" s="7" t="str">
        <f t="shared" si="2"/>
        <v>NO</v>
      </c>
      <c r="I143" s="7" t="str">
        <f t="shared" si="3"/>
        <v>NO</v>
      </c>
    </row>
    <row r="144">
      <c r="A144" s="4">
        <f>IFERROR(__xludf.DUMMYFUNCTION("""COMPUTED_VALUE"""),1183324.0)</f>
        <v>1183324</v>
      </c>
      <c r="B144" s="4" t="str">
        <f>IFERROR(__xludf.DUMMYFUNCTION("""COMPUTED_VALUE"""),"P2 - High")</f>
        <v>P2 - High</v>
      </c>
      <c r="C144" s="5">
        <f>IFERROR(__xludf.DUMMYFUNCTION("""COMPUTED_VALUE"""),44265.67322916666)</f>
        <v>44265.67323</v>
      </c>
      <c r="D144" s="4" t="str">
        <f>IFERROR(__xludf.DUMMYFUNCTION("""COMPUTED_VALUE"""),"RESOLVED")</f>
        <v>RESOLVED</v>
      </c>
      <c r="E144" s="6">
        <f>IFERROR(__xludf.DUMMYFUNCTION("""COMPUTED_VALUE"""),44388.72313657407)</f>
        <v>44388.72314</v>
      </c>
      <c r="F144" s="4" t="str">
        <f>IFERROR(__xludf.DUMMYFUNCTION("""COMPUTED_VALUE""")," ---")</f>
        <v> ---</v>
      </c>
      <c r="G144" s="4" t="str">
        <f>IFERROR(__xludf.DUMMYFUNCTION("""COMPUTED_VALUE"""),"SUSE Linux Enterprise Server 15 SP3")</f>
        <v>SUSE Linux Enterprise Server 15 SP3</v>
      </c>
      <c r="H144" s="7" t="str">
        <f t="shared" si="2"/>
        <v>NO</v>
      </c>
      <c r="I144" s="7" t="str">
        <f t="shared" si="3"/>
        <v>NO</v>
      </c>
    </row>
    <row r="145">
      <c r="A145" s="4">
        <f>IFERROR(__xludf.DUMMYFUNCTION("""COMPUTED_VALUE"""),1183325.0)</f>
        <v>1183325</v>
      </c>
      <c r="B145" s="4" t="str">
        <f>IFERROR(__xludf.DUMMYFUNCTION("""COMPUTED_VALUE"""),"P2 - High")</f>
        <v>P2 - High</v>
      </c>
      <c r="C145" s="5">
        <f>IFERROR(__xludf.DUMMYFUNCTION("""COMPUTED_VALUE"""),44265.67340277778)</f>
        <v>44265.6734</v>
      </c>
      <c r="D145" s="4" t="str">
        <f>IFERROR(__xludf.DUMMYFUNCTION("""COMPUTED_VALUE"""),"RESOLVED")</f>
        <v>RESOLVED</v>
      </c>
      <c r="E145" s="6">
        <f>IFERROR(__xludf.DUMMYFUNCTION("""COMPUTED_VALUE"""),44388.69231481481)</f>
        <v>44388.69231</v>
      </c>
      <c r="F145" s="4" t="str">
        <f>IFERROR(__xludf.DUMMYFUNCTION("""COMPUTED_VALUE""")," ---")</f>
        <v> ---</v>
      </c>
      <c r="G145" s="4" t="str">
        <f>IFERROR(__xludf.DUMMYFUNCTION("""COMPUTED_VALUE"""),"SUSE Linux Enterprise Server 15 SP3")</f>
        <v>SUSE Linux Enterprise Server 15 SP3</v>
      </c>
      <c r="H145" s="7" t="str">
        <f t="shared" si="2"/>
        <v>NO</v>
      </c>
      <c r="I145" s="7" t="str">
        <f t="shared" si="3"/>
        <v>NO</v>
      </c>
    </row>
    <row r="146">
      <c r="A146" s="4">
        <f>IFERROR(__xludf.DUMMYFUNCTION("""COMPUTED_VALUE"""),1183326.0)</f>
        <v>1183326</v>
      </c>
      <c r="B146" s="4" t="str">
        <f>IFERROR(__xludf.DUMMYFUNCTION("""COMPUTED_VALUE"""),"P2 - High")</f>
        <v>P2 - High</v>
      </c>
      <c r="C146" s="5">
        <f>IFERROR(__xludf.DUMMYFUNCTION("""COMPUTED_VALUE"""),44265.67358796296)</f>
        <v>44265.67359</v>
      </c>
      <c r="D146" s="4" t="str">
        <f>IFERROR(__xludf.DUMMYFUNCTION("""COMPUTED_VALUE"""),"RESOLVED")</f>
        <v>RESOLVED</v>
      </c>
      <c r="E146" s="6">
        <f>IFERROR(__xludf.DUMMYFUNCTION("""COMPUTED_VALUE"""),44388.72321759259)</f>
        <v>44388.72322</v>
      </c>
      <c r="F146" s="4" t="str">
        <f>IFERROR(__xludf.DUMMYFUNCTION("""COMPUTED_VALUE""")," ---")</f>
        <v> ---</v>
      </c>
      <c r="G146" s="4" t="str">
        <f>IFERROR(__xludf.DUMMYFUNCTION("""COMPUTED_VALUE"""),"SUSE Linux Enterprise Server 15 SP3")</f>
        <v>SUSE Linux Enterprise Server 15 SP3</v>
      </c>
      <c r="H146" s="7" t="str">
        <f t="shared" si="2"/>
        <v>NO</v>
      </c>
      <c r="I146" s="7" t="str">
        <f t="shared" si="3"/>
        <v>NO</v>
      </c>
    </row>
    <row r="147">
      <c r="A147" s="4">
        <f>IFERROR(__xludf.DUMMYFUNCTION("""COMPUTED_VALUE"""),1183366.0)</f>
        <v>1183366</v>
      </c>
      <c r="B147" s="4" t="str">
        <f>IFERROR(__xludf.DUMMYFUNCTION("""COMPUTED_VALUE"""),"P2 - High")</f>
        <v>P2 - High</v>
      </c>
      <c r="C147" s="5">
        <f>IFERROR(__xludf.DUMMYFUNCTION("""COMPUTED_VALUE"""),44266.433912037035)</f>
        <v>44266.43391</v>
      </c>
      <c r="D147" s="4" t="str">
        <f>IFERROR(__xludf.DUMMYFUNCTION("""COMPUTED_VALUE"""),"RESOLVED")</f>
        <v>RESOLVED</v>
      </c>
      <c r="E147" s="6">
        <f>IFERROR(__xludf.DUMMYFUNCTION("""COMPUTED_VALUE"""),44388.72336805556)</f>
        <v>44388.72337</v>
      </c>
      <c r="F147" s="4" t="str">
        <f>IFERROR(__xludf.DUMMYFUNCTION("""COMPUTED_VALUE""")," ---")</f>
        <v> ---</v>
      </c>
      <c r="G147" s="4" t="str">
        <f>IFERROR(__xludf.DUMMYFUNCTION("""COMPUTED_VALUE"""),"SUSE Linux Enterprise Server 15 SP3")</f>
        <v>SUSE Linux Enterprise Server 15 SP3</v>
      </c>
      <c r="H147" s="7" t="str">
        <f t="shared" si="2"/>
        <v>NO</v>
      </c>
      <c r="I147" s="7" t="str">
        <f t="shared" si="3"/>
        <v>NO</v>
      </c>
    </row>
    <row r="148">
      <c r="A148" s="4">
        <f>IFERROR(__xludf.DUMMYFUNCTION("""COMPUTED_VALUE"""),1183551.0)</f>
        <v>1183551</v>
      </c>
      <c r="B148" s="4" t="str">
        <f>IFERROR(__xludf.DUMMYFUNCTION("""COMPUTED_VALUE"""),"P2 - High")</f>
        <v>P2 - High</v>
      </c>
      <c r="C148" s="5">
        <f>IFERROR(__xludf.DUMMYFUNCTION("""COMPUTED_VALUE"""),44270.692465277774)</f>
        <v>44270.69247</v>
      </c>
      <c r="D148" s="4" t="str">
        <f>IFERROR(__xludf.DUMMYFUNCTION("""COMPUTED_VALUE"""),"RESOLVED")</f>
        <v>RESOLVED</v>
      </c>
      <c r="E148" s="6">
        <f>IFERROR(__xludf.DUMMYFUNCTION("""COMPUTED_VALUE"""),44384.881157407406)</f>
        <v>44384.88116</v>
      </c>
      <c r="F148" s="4" t="str">
        <f>IFERROR(__xludf.DUMMYFUNCTION("""COMPUTED_VALUE""")," ---")</f>
        <v> ---</v>
      </c>
      <c r="G148" s="4" t="str">
        <f>IFERROR(__xludf.DUMMYFUNCTION("""COMPUTED_VALUE"""),"SUSE Linux Enterprise Server 15 SP3")</f>
        <v>SUSE Linux Enterprise Server 15 SP3</v>
      </c>
      <c r="H148" s="7" t="str">
        <f t="shared" si="2"/>
        <v>NO</v>
      </c>
      <c r="I148" s="7" t="str">
        <f t="shared" si="3"/>
        <v>NO</v>
      </c>
    </row>
    <row r="149">
      <c r="A149" s="4">
        <f>IFERROR(__xludf.DUMMYFUNCTION("""COMPUTED_VALUE"""),1183552.0)</f>
        <v>1183552</v>
      </c>
      <c r="B149" s="4" t="str">
        <f>IFERROR(__xludf.DUMMYFUNCTION("""COMPUTED_VALUE"""),"P2 - High")</f>
        <v>P2 - High</v>
      </c>
      <c r="C149" s="5">
        <f>IFERROR(__xludf.DUMMYFUNCTION("""COMPUTED_VALUE"""),44270.69263888889)</f>
        <v>44270.69264</v>
      </c>
      <c r="D149" s="4" t="str">
        <f>IFERROR(__xludf.DUMMYFUNCTION("""COMPUTED_VALUE"""),"RESOLVED")</f>
        <v>RESOLVED</v>
      </c>
      <c r="E149" s="6">
        <f>IFERROR(__xludf.DUMMYFUNCTION("""COMPUTED_VALUE"""),44384.88123842593)</f>
        <v>44384.88124</v>
      </c>
      <c r="F149" s="4" t="str">
        <f>IFERROR(__xludf.DUMMYFUNCTION("""COMPUTED_VALUE""")," ---")</f>
        <v> ---</v>
      </c>
      <c r="G149" s="4" t="str">
        <f>IFERROR(__xludf.DUMMYFUNCTION("""COMPUTED_VALUE"""),"SUSE Linux Enterprise Server 15 SP3")</f>
        <v>SUSE Linux Enterprise Server 15 SP3</v>
      </c>
      <c r="H149" s="7" t="str">
        <f t="shared" si="2"/>
        <v>NO</v>
      </c>
      <c r="I149" s="7" t="str">
        <f t="shared" si="3"/>
        <v>NO</v>
      </c>
    </row>
    <row r="150">
      <c r="A150" s="4">
        <f>IFERROR(__xludf.DUMMYFUNCTION("""COMPUTED_VALUE"""),1183553.0)</f>
        <v>1183553</v>
      </c>
      <c r="B150" s="4" t="str">
        <f>IFERROR(__xludf.DUMMYFUNCTION("""COMPUTED_VALUE"""),"P2 - High")</f>
        <v>P2 - High</v>
      </c>
      <c r="C150" s="5">
        <f>IFERROR(__xludf.DUMMYFUNCTION("""COMPUTED_VALUE"""),44270.6928125)</f>
        <v>44270.69281</v>
      </c>
      <c r="D150" s="4" t="str">
        <f>IFERROR(__xludf.DUMMYFUNCTION("""COMPUTED_VALUE"""),"RESOLVED")</f>
        <v>RESOLVED</v>
      </c>
      <c r="E150" s="6">
        <f>IFERROR(__xludf.DUMMYFUNCTION("""COMPUTED_VALUE"""),44384.88130787037)</f>
        <v>44384.88131</v>
      </c>
      <c r="F150" s="4" t="str">
        <f>IFERROR(__xludf.DUMMYFUNCTION("""COMPUTED_VALUE""")," ---")</f>
        <v> ---</v>
      </c>
      <c r="G150" s="4" t="str">
        <f>IFERROR(__xludf.DUMMYFUNCTION("""COMPUTED_VALUE"""),"SUSE Linux Enterprise Server 15 SP3")</f>
        <v>SUSE Linux Enterprise Server 15 SP3</v>
      </c>
      <c r="H150" s="7" t="str">
        <f t="shared" si="2"/>
        <v>NO</v>
      </c>
      <c r="I150" s="7" t="str">
        <f t="shared" si="3"/>
        <v>NO</v>
      </c>
    </row>
    <row r="151">
      <c r="A151" s="4">
        <f>IFERROR(__xludf.DUMMYFUNCTION("""COMPUTED_VALUE"""),1184556.0)</f>
        <v>1184556</v>
      </c>
      <c r="B151" s="4" t="str">
        <f>IFERROR(__xludf.DUMMYFUNCTION("""COMPUTED_VALUE"""),"P2 - High")</f>
        <v>P2 - High</v>
      </c>
      <c r="C151" s="5">
        <f>IFERROR(__xludf.DUMMYFUNCTION("""COMPUTED_VALUE"""),44295.5919212963)</f>
        <v>44295.59192</v>
      </c>
      <c r="D151" s="4" t="str">
        <f>IFERROR(__xludf.DUMMYFUNCTION("""COMPUTED_VALUE"""),"RESOLVED")</f>
        <v>RESOLVED</v>
      </c>
      <c r="E151" s="6">
        <f>IFERROR(__xludf.DUMMYFUNCTION("""COMPUTED_VALUE"""),44365.2622337963)</f>
        <v>44365.26223</v>
      </c>
      <c r="F151" s="4" t="str">
        <f>IFERROR(__xludf.DUMMYFUNCTION("""COMPUTED_VALUE""")," ---")</f>
        <v> ---</v>
      </c>
      <c r="G151" s="4" t="str">
        <f>IFERROR(__xludf.DUMMYFUNCTION("""COMPUTED_VALUE"""),"SUSE Linux Enterprise Server 15 SP3")</f>
        <v>SUSE Linux Enterprise Server 15 SP3</v>
      </c>
      <c r="H151" s="7" t="str">
        <f t="shared" si="2"/>
        <v>NO</v>
      </c>
      <c r="I151" s="7" t="str">
        <f t="shared" si="3"/>
        <v>NO</v>
      </c>
    </row>
    <row r="152">
      <c r="A152" s="4">
        <f>IFERROR(__xludf.DUMMYFUNCTION("""COMPUTED_VALUE"""),1177710.0)</f>
        <v>1177710</v>
      </c>
      <c r="B152" s="4" t="str">
        <f>IFERROR(__xludf.DUMMYFUNCTION("""COMPUTED_VALUE"""),"P2 - High")</f>
        <v>P2 - High</v>
      </c>
      <c r="C152" s="5">
        <f>IFERROR(__xludf.DUMMYFUNCTION("""COMPUTED_VALUE"""),44118.70537037037)</f>
        <v>44118.70537</v>
      </c>
      <c r="D152" s="4" t="str">
        <f>IFERROR(__xludf.DUMMYFUNCTION("""COMPUTED_VALUE"""),"RESOLVED")</f>
        <v>RESOLVED</v>
      </c>
      <c r="E152" s="6">
        <f>IFERROR(__xludf.DUMMYFUNCTION("""COMPUTED_VALUE"""),44384.85381944444)</f>
        <v>44384.85382</v>
      </c>
      <c r="F152" s="4" t="str">
        <f>IFERROR(__xludf.DUMMYFUNCTION("""COMPUTED_VALUE""")," ---")</f>
        <v> ---</v>
      </c>
      <c r="G152" s="4" t="str">
        <f>IFERROR(__xludf.DUMMYFUNCTION("""COMPUTED_VALUE"""),"SUSE Linux Enterprise Server 15 SP3")</f>
        <v>SUSE Linux Enterprise Server 15 SP3</v>
      </c>
      <c r="H152" s="7" t="str">
        <f t="shared" si="2"/>
        <v>NO</v>
      </c>
      <c r="I152" s="7" t="str">
        <f t="shared" si="3"/>
        <v>NO</v>
      </c>
    </row>
    <row r="153">
      <c r="A153" s="4">
        <f>IFERROR(__xludf.DUMMYFUNCTION("""COMPUTED_VALUE"""),1180823.0)</f>
        <v>1180823</v>
      </c>
      <c r="B153" s="4" t="str">
        <f>IFERROR(__xludf.DUMMYFUNCTION("""COMPUTED_VALUE"""),"P2 - High")</f>
        <v>P2 - High</v>
      </c>
      <c r="C153" s="5">
        <f>IFERROR(__xludf.DUMMYFUNCTION("""COMPUTED_VALUE"""),44208.58243055556)</f>
        <v>44208.58243</v>
      </c>
      <c r="D153" s="4" t="str">
        <f>IFERROR(__xludf.DUMMYFUNCTION("""COMPUTED_VALUE"""),"RESOLVED")</f>
        <v>RESOLVED</v>
      </c>
      <c r="E153" s="6">
        <f>IFERROR(__xludf.DUMMYFUNCTION("""COMPUTED_VALUE"""),44365.26391203704)</f>
        <v>44365.26391</v>
      </c>
      <c r="F153" s="4" t="str">
        <f>IFERROR(__xludf.DUMMYFUNCTION("""COMPUTED_VALUE"""),"Yes")</f>
        <v>Yes</v>
      </c>
      <c r="G153" s="4" t="str">
        <f>IFERROR(__xludf.DUMMYFUNCTION("""COMPUTED_VALUE"""),"SUSE Linux Enterprise Server 15 SP3")</f>
        <v>SUSE Linux Enterprise Server 15 SP3</v>
      </c>
      <c r="H153" s="7" t="str">
        <f t="shared" si="2"/>
        <v>NO</v>
      </c>
      <c r="I153" s="7" t="str">
        <f t="shared" si="3"/>
        <v>NO</v>
      </c>
    </row>
    <row r="154">
      <c r="A154" s="4">
        <f>IFERROR(__xludf.DUMMYFUNCTION("""COMPUTED_VALUE"""),1174914.0)</f>
        <v>1174914</v>
      </c>
      <c r="B154" s="4" t="str">
        <f>IFERROR(__xludf.DUMMYFUNCTION("""COMPUTED_VALUE"""),"P2 - High")</f>
        <v>P2 - High</v>
      </c>
      <c r="C154" s="5">
        <f>IFERROR(__xludf.DUMMYFUNCTION("""COMPUTED_VALUE"""),44048.5184375)</f>
        <v>44048.51844</v>
      </c>
      <c r="D154" s="4" t="str">
        <f>IFERROR(__xludf.DUMMYFUNCTION("""COMPUTED_VALUE"""),"RESOLVED")</f>
        <v>RESOLVED</v>
      </c>
      <c r="E154" s="6">
        <f>IFERROR(__xludf.DUMMYFUNCTION("""COMPUTED_VALUE"""),44384.84137731481)</f>
        <v>44384.84138</v>
      </c>
      <c r="F154" s="4" t="str">
        <f>IFERROR(__xludf.DUMMYFUNCTION("""COMPUTED_VALUE""")," ---")</f>
        <v> ---</v>
      </c>
      <c r="G154" s="4" t="str">
        <f>IFERROR(__xludf.DUMMYFUNCTION("""COMPUTED_VALUE"""),"SUSE Linux Enterprise Server 15 SP3")</f>
        <v>SUSE Linux Enterprise Server 15 SP3</v>
      </c>
      <c r="H154" s="7" t="str">
        <f t="shared" si="2"/>
        <v>NO</v>
      </c>
      <c r="I154" s="7" t="str">
        <f t="shared" si="3"/>
        <v>NO</v>
      </c>
    </row>
    <row r="155">
      <c r="A155" s="4">
        <f>IFERROR(__xludf.DUMMYFUNCTION("""COMPUTED_VALUE"""),1176699.0)</f>
        <v>1176699</v>
      </c>
      <c r="B155" s="4" t="str">
        <f>IFERROR(__xludf.DUMMYFUNCTION("""COMPUTED_VALUE"""),"P2 - High")</f>
        <v>P2 - High</v>
      </c>
      <c r="C155" s="5">
        <f>IFERROR(__xludf.DUMMYFUNCTION("""COMPUTED_VALUE"""),44092.291921296295)</f>
        <v>44092.29192</v>
      </c>
      <c r="D155" s="4" t="str">
        <f>IFERROR(__xludf.DUMMYFUNCTION("""COMPUTED_VALUE"""),"RESOLVED")</f>
        <v>RESOLVED</v>
      </c>
      <c r="E155" s="6">
        <f>IFERROR(__xludf.DUMMYFUNCTION("""COMPUTED_VALUE"""),44365.26459490741)</f>
        <v>44365.26459</v>
      </c>
      <c r="F155" s="4" t="str">
        <f>IFERROR(__xludf.DUMMYFUNCTION("""COMPUTED_VALUE""")," ---")</f>
        <v> ---</v>
      </c>
      <c r="G155" s="4" t="str">
        <f>IFERROR(__xludf.DUMMYFUNCTION("""COMPUTED_VALUE"""),"SUSE Linux Enterprise Server 15 SP3")</f>
        <v>SUSE Linux Enterprise Server 15 SP3</v>
      </c>
      <c r="H155" s="7" t="str">
        <f t="shared" si="2"/>
        <v>NO</v>
      </c>
      <c r="I155" s="7" t="str">
        <f t="shared" si="3"/>
        <v>NO</v>
      </c>
    </row>
    <row r="156">
      <c r="A156" s="4">
        <f>IFERROR(__xludf.DUMMYFUNCTION("""COMPUTED_VALUE"""),1176763.0)</f>
        <v>1176763</v>
      </c>
      <c r="B156" s="4" t="str">
        <f>IFERROR(__xludf.DUMMYFUNCTION("""COMPUTED_VALUE"""),"P2 - High")</f>
        <v>P2 - High</v>
      </c>
      <c r="C156" s="5">
        <f>IFERROR(__xludf.DUMMYFUNCTION("""COMPUTED_VALUE"""),44095.38903935185)</f>
        <v>44095.38904</v>
      </c>
      <c r="D156" s="4" t="str">
        <f>IFERROR(__xludf.DUMMYFUNCTION("""COMPUTED_VALUE"""),"RESOLVED")</f>
        <v>RESOLVED</v>
      </c>
      <c r="E156" s="6">
        <f>IFERROR(__xludf.DUMMYFUNCTION("""COMPUTED_VALUE"""),44384.84887731481)</f>
        <v>44384.84888</v>
      </c>
      <c r="F156" s="4" t="str">
        <f>IFERROR(__xludf.DUMMYFUNCTION("""COMPUTED_VALUE""")," ---")</f>
        <v> ---</v>
      </c>
      <c r="G156" s="4" t="str">
        <f>IFERROR(__xludf.DUMMYFUNCTION("""COMPUTED_VALUE"""),"SUSE Linux Enterprise Server 15 SP3")</f>
        <v>SUSE Linux Enterprise Server 15 SP3</v>
      </c>
      <c r="H156" s="7" t="str">
        <f t="shared" si="2"/>
        <v>NO</v>
      </c>
      <c r="I156" s="7" t="str">
        <f t="shared" si="3"/>
        <v>NO</v>
      </c>
    </row>
    <row r="157">
      <c r="A157" s="4">
        <f>IFERROR(__xludf.DUMMYFUNCTION("""COMPUTED_VALUE"""),1176912.0)</f>
        <v>1176912</v>
      </c>
      <c r="B157" s="4" t="str">
        <f>IFERROR(__xludf.DUMMYFUNCTION("""COMPUTED_VALUE"""),"P2 - High")</f>
        <v>P2 - High</v>
      </c>
      <c r="C157" s="5">
        <f>IFERROR(__xludf.DUMMYFUNCTION("""COMPUTED_VALUE"""),44098.513090277775)</f>
        <v>44098.51309</v>
      </c>
      <c r="D157" s="4" t="str">
        <f>IFERROR(__xludf.DUMMYFUNCTION("""COMPUTED_VALUE"""),"RESOLVED")</f>
        <v>RESOLVED</v>
      </c>
      <c r="E157" s="6">
        <f>IFERROR(__xludf.DUMMYFUNCTION("""COMPUTED_VALUE"""),44384.84930555556)</f>
        <v>44384.84931</v>
      </c>
      <c r="F157" s="4" t="str">
        <f>IFERROR(__xludf.DUMMYFUNCTION("""COMPUTED_VALUE""")," ---")</f>
        <v> ---</v>
      </c>
      <c r="G157" s="4" t="str">
        <f>IFERROR(__xludf.DUMMYFUNCTION("""COMPUTED_VALUE"""),"SUSE Linux Enterprise Server 15 SP3")</f>
        <v>SUSE Linux Enterprise Server 15 SP3</v>
      </c>
      <c r="H157" s="7" t="str">
        <f t="shared" si="2"/>
        <v>NO</v>
      </c>
      <c r="I157" s="7" t="str">
        <f t="shared" si="3"/>
        <v>NO</v>
      </c>
    </row>
    <row r="158">
      <c r="A158" s="4">
        <f>IFERROR(__xludf.DUMMYFUNCTION("""COMPUTED_VALUE"""),1176914.0)</f>
        <v>1176914</v>
      </c>
      <c r="B158" s="4" t="str">
        <f>IFERROR(__xludf.DUMMYFUNCTION("""COMPUTED_VALUE"""),"P2 - High")</f>
        <v>P2 - High</v>
      </c>
      <c r="C158" s="5">
        <f>IFERROR(__xludf.DUMMYFUNCTION("""COMPUTED_VALUE"""),44098.513553240744)</f>
        <v>44098.51355</v>
      </c>
      <c r="D158" s="4" t="str">
        <f>IFERROR(__xludf.DUMMYFUNCTION("""COMPUTED_VALUE"""),"RESOLVED")</f>
        <v>RESOLVED</v>
      </c>
      <c r="E158" s="6">
        <f>IFERROR(__xludf.DUMMYFUNCTION("""COMPUTED_VALUE"""),44516.854479166665)</f>
        <v>44516.85448</v>
      </c>
      <c r="F158" s="4" t="str">
        <f>IFERROR(__xludf.DUMMYFUNCTION("""COMPUTED_VALUE""")," ---")</f>
        <v> ---</v>
      </c>
      <c r="G158" s="4" t="str">
        <f>IFERROR(__xludf.DUMMYFUNCTION("""COMPUTED_VALUE"""),"SUSE Linux Enterprise Server 15 SP3")</f>
        <v>SUSE Linux Enterprise Server 15 SP3</v>
      </c>
      <c r="H158" s="7" t="str">
        <f t="shared" si="2"/>
        <v>NO</v>
      </c>
      <c r="I158" s="7" t="str">
        <f t="shared" si="3"/>
        <v>NO</v>
      </c>
    </row>
    <row r="159">
      <c r="A159" s="4">
        <f>IFERROR(__xludf.DUMMYFUNCTION("""COMPUTED_VALUE"""),1177134.0)</f>
        <v>1177134</v>
      </c>
      <c r="B159" s="4" t="str">
        <f>IFERROR(__xludf.DUMMYFUNCTION("""COMPUTED_VALUE"""),"P2 - High")</f>
        <v>P2 - High</v>
      </c>
      <c r="C159" s="5">
        <f>IFERROR(__xludf.DUMMYFUNCTION("""COMPUTED_VALUE"""),44104.523125)</f>
        <v>44104.52313</v>
      </c>
      <c r="D159" s="4" t="str">
        <f>IFERROR(__xludf.DUMMYFUNCTION("""COMPUTED_VALUE"""),"RESOLVED")</f>
        <v>RESOLVED</v>
      </c>
      <c r="E159" s="6">
        <f>IFERROR(__xludf.DUMMYFUNCTION("""COMPUTED_VALUE"""),44365.26412037037)</f>
        <v>44365.26412</v>
      </c>
      <c r="F159" s="4" t="str">
        <f>IFERROR(__xludf.DUMMYFUNCTION("""COMPUTED_VALUE""")," ---")</f>
        <v> ---</v>
      </c>
      <c r="G159" s="4" t="str">
        <f>IFERROR(__xludf.DUMMYFUNCTION("""COMPUTED_VALUE"""),"SUSE Linux Enterprise Server 15 SP3")</f>
        <v>SUSE Linux Enterprise Server 15 SP3</v>
      </c>
      <c r="H159" s="7" t="str">
        <f t="shared" si="2"/>
        <v>NO</v>
      </c>
      <c r="I159" s="7" t="str">
        <f t="shared" si="3"/>
        <v>NO</v>
      </c>
    </row>
    <row r="160">
      <c r="A160" s="4">
        <f>IFERROR(__xludf.DUMMYFUNCTION("""COMPUTED_VALUE"""),1178142.0)</f>
        <v>1178142</v>
      </c>
      <c r="B160" s="4" t="str">
        <f>IFERROR(__xludf.DUMMYFUNCTION("""COMPUTED_VALUE"""),"P2 - High")</f>
        <v>P2 - High</v>
      </c>
      <c r="C160" s="5">
        <f>IFERROR(__xludf.DUMMYFUNCTION("""COMPUTED_VALUE"""),44130.66587962963)</f>
        <v>44130.66588</v>
      </c>
      <c r="D160" s="4" t="str">
        <f>IFERROR(__xludf.DUMMYFUNCTION("""COMPUTED_VALUE"""),"RESOLVED")</f>
        <v>RESOLVED</v>
      </c>
      <c r="E160" s="6">
        <f>IFERROR(__xludf.DUMMYFUNCTION("""COMPUTED_VALUE"""),44384.85505787037)</f>
        <v>44384.85506</v>
      </c>
      <c r="F160" s="4" t="str">
        <f>IFERROR(__xludf.DUMMYFUNCTION("""COMPUTED_VALUE"""),"Yes")</f>
        <v>Yes</v>
      </c>
      <c r="G160" s="4" t="str">
        <f>IFERROR(__xludf.DUMMYFUNCTION("""COMPUTED_VALUE"""),"SUSE Linux Enterprise Server 15 SP3")</f>
        <v>SUSE Linux Enterprise Server 15 SP3</v>
      </c>
      <c r="H160" s="7" t="str">
        <f t="shared" si="2"/>
        <v>NO</v>
      </c>
      <c r="I160" s="7" t="str">
        <f t="shared" si="3"/>
        <v>NO</v>
      </c>
    </row>
    <row r="161">
      <c r="A161" s="4">
        <f>IFERROR(__xludf.DUMMYFUNCTION("""COMPUTED_VALUE"""),1179396.0)</f>
        <v>1179396</v>
      </c>
      <c r="B161" s="4" t="str">
        <f>IFERROR(__xludf.DUMMYFUNCTION("""COMPUTED_VALUE"""),"P2 - High")</f>
        <v>P2 - High</v>
      </c>
      <c r="C161" s="5">
        <f>IFERROR(__xludf.DUMMYFUNCTION("""COMPUTED_VALUE"""),44165.382835648146)</f>
        <v>44165.38284</v>
      </c>
      <c r="D161" s="4" t="str">
        <f>IFERROR(__xludf.DUMMYFUNCTION("""COMPUTED_VALUE"""),"RESOLVED")</f>
        <v>RESOLVED</v>
      </c>
      <c r="E161" s="6">
        <f>IFERROR(__xludf.DUMMYFUNCTION("""COMPUTED_VALUE"""),44384.85974537037)</f>
        <v>44384.85975</v>
      </c>
      <c r="F161" s="4" t="str">
        <f>IFERROR(__xludf.DUMMYFUNCTION("""COMPUTED_VALUE""")," ---")</f>
        <v> ---</v>
      </c>
      <c r="G161" s="4" t="str">
        <f>IFERROR(__xludf.DUMMYFUNCTION("""COMPUTED_VALUE"""),"SUSE Linux Enterprise Server 15 SP3")</f>
        <v>SUSE Linux Enterprise Server 15 SP3</v>
      </c>
      <c r="H161" s="7" t="str">
        <f t="shared" si="2"/>
        <v>NO</v>
      </c>
      <c r="I161" s="7" t="str">
        <f t="shared" si="3"/>
        <v>NO</v>
      </c>
    </row>
    <row r="162">
      <c r="A162" s="4">
        <f>IFERROR(__xludf.DUMMYFUNCTION("""COMPUTED_VALUE"""),1179476.0)</f>
        <v>1179476</v>
      </c>
      <c r="B162" s="4" t="str">
        <f>IFERROR(__xludf.DUMMYFUNCTION("""COMPUTED_VALUE"""),"P2 - High")</f>
        <v>P2 - High</v>
      </c>
      <c r="C162" s="5">
        <f>IFERROR(__xludf.DUMMYFUNCTION("""COMPUTED_VALUE"""),44166.646527777775)</f>
        <v>44166.64653</v>
      </c>
      <c r="D162" s="4" t="str">
        <f>IFERROR(__xludf.DUMMYFUNCTION("""COMPUTED_VALUE"""),"RESOLVED")</f>
        <v>RESOLVED</v>
      </c>
      <c r="E162" s="6">
        <f>IFERROR(__xludf.DUMMYFUNCTION("""COMPUTED_VALUE"""),44210.6746875)</f>
        <v>44210.67469</v>
      </c>
      <c r="F162" s="4" t="str">
        <f>IFERROR(__xludf.DUMMYFUNCTION("""COMPUTED_VALUE"""),"Yes")</f>
        <v>Yes</v>
      </c>
      <c r="G162" s="4" t="str">
        <f>IFERROR(__xludf.DUMMYFUNCTION("""COMPUTED_VALUE"""),"SUSE Linux Enterprise Server 15 SP3")</f>
        <v>SUSE Linux Enterprise Server 15 SP3</v>
      </c>
      <c r="H162" s="7" t="str">
        <f t="shared" si="2"/>
        <v>NO</v>
      </c>
      <c r="I162" s="7" t="str">
        <f t="shared" si="3"/>
        <v>NO</v>
      </c>
    </row>
    <row r="163">
      <c r="A163" s="4">
        <f>IFERROR(__xludf.DUMMYFUNCTION("""COMPUTED_VALUE"""),1179568.0)</f>
        <v>1179568</v>
      </c>
      <c r="B163" s="4" t="str">
        <f>IFERROR(__xludf.DUMMYFUNCTION("""COMPUTED_VALUE"""),"P2 - High")</f>
        <v>P2 - High</v>
      </c>
      <c r="C163" s="5">
        <f>IFERROR(__xludf.DUMMYFUNCTION("""COMPUTED_VALUE"""),44168.661307870374)</f>
        <v>44168.66131</v>
      </c>
      <c r="D163" s="4" t="str">
        <f>IFERROR(__xludf.DUMMYFUNCTION("""COMPUTED_VALUE"""),"RESOLVED")</f>
        <v>RESOLVED</v>
      </c>
      <c r="E163" s="6">
        <f>IFERROR(__xludf.DUMMYFUNCTION("""COMPUTED_VALUE"""),44181.423113425924)</f>
        <v>44181.42311</v>
      </c>
      <c r="F163" s="4" t="str">
        <f>IFERROR(__xludf.DUMMYFUNCTION("""COMPUTED_VALUE""")," ---")</f>
        <v> ---</v>
      </c>
      <c r="G163" s="4" t="str">
        <f>IFERROR(__xludf.DUMMYFUNCTION("""COMPUTED_VALUE"""),"SUSE Linux Enterprise Server 15 SP3")</f>
        <v>SUSE Linux Enterprise Server 15 SP3</v>
      </c>
      <c r="H163" s="7" t="str">
        <f t="shared" si="2"/>
        <v>NO</v>
      </c>
      <c r="I163" s="7" t="str">
        <f t="shared" si="3"/>
        <v>NO</v>
      </c>
    </row>
    <row r="164">
      <c r="A164" s="4">
        <f>IFERROR(__xludf.DUMMYFUNCTION("""COMPUTED_VALUE"""),1180171.0)</f>
        <v>1180171</v>
      </c>
      <c r="B164" s="4" t="str">
        <f>IFERROR(__xludf.DUMMYFUNCTION("""COMPUTED_VALUE"""),"P2 - High")</f>
        <v>P2 - High</v>
      </c>
      <c r="C164" s="5">
        <f>IFERROR(__xludf.DUMMYFUNCTION("""COMPUTED_VALUE"""),44182.588217592594)</f>
        <v>44182.58822</v>
      </c>
      <c r="D164" s="4" t="str">
        <f>IFERROR(__xludf.DUMMYFUNCTION("""COMPUTED_VALUE"""),"RESOLVED")</f>
        <v>RESOLVED</v>
      </c>
      <c r="E164" s="6">
        <f>IFERROR(__xludf.DUMMYFUNCTION("""COMPUTED_VALUE"""),44250.68510416667)</f>
        <v>44250.6851</v>
      </c>
      <c r="F164" s="4" t="str">
        <f>IFERROR(__xludf.DUMMYFUNCTION("""COMPUTED_VALUE""")," ---")</f>
        <v> ---</v>
      </c>
      <c r="G164" s="4" t="str">
        <f>IFERROR(__xludf.DUMMYFUNCTION("""COMPUTED_VALUE"""),"SUSE Linux Enterprise Server 15 SP3")</f>
        <v>SUSE Linux Enterprise Server 15 SP3</v>
      </c>
      <c r="H164" s="7" t="str">
        <f t="shared" si="2"/>
        <v>NO</v>
      </c>
      <c r="I164" s="7" t="str">
        <f t="shared" si="3"/>
        <v>NO</v>
      </c>
    </row>
    <row r="165">
      <c r="A165" s="4">
        <f>IFERROR(__xludf.DUMMYFUNCTION("""COMPUTED_VALUE"""),1181709.0)</f>
        <v>1181709</v>
      </c>
      <c r="B165" s="4" t="str">
        <f>IFERROR(__xludf.DUMMYFUNCTION("""COMPUTED_VALUE"""),"P2 - High")</f>
        <v>P2 - High</v>
      </c>
      <c r="C165" s="5">
        <f>IFERROR(__xludf.DUMMYFUNCTION("""COMPUTED_VALUE"""),44229.67427083333)</f>
        <v>44229.67427</v>
      </c>
      <c r="D165" s="4" t="str">
        <f>IFERROR(__xludf.DUMMYFUNCTION("""COMPUTED_VALUE"""),"RESOLVED")</f>
        <v>RESOLVED</v>
      </c>
      <c r="E165" s="6">
        <f>IFERROR(__xludf.DUMMYFUNCTION("""COMPUTED_VALUE"""),44283.581145833334)</f>
        <v>44283.58115</v>
      </c>
      <c r="F165" s="4" t="str">
        <f>IFERROR(__xludf.DUMMYFUNCTION("""COMPUTED_VALUE""")," ---")</f>
        <v> ---</v>
      </c>
      <c r="G165" s="4" t="str">
        <f>IFERROR(__xludf.DUMMYFUNCTION("""COMPUTED_VALUE"""),"SUSE Linux Enterprise Server 15 SP3")</f>
        <v>SUSE Linux Enterprise Server 15 SP3</v>
      </c>
      <c r="H165" s="7" t="str">
        <f t="shared" si="2"/>
        <v>NO</v>
      </c>
      <c r="I165" s="7" t="str">
        <f t="shared" si="3"/>
        <v>NO</v>
      </c>
    </row>
    <row r="166">
      <c r="A166" s="4">
        <f>IFERROR(__xludf.DUMMYFUNCTION("""COMPUTED_VALUE"""),1182865.0)</f>
        <v>1182865</v>
      </c>
      <c r="B166" s="4" t="str">
        <f>IFERROR(__xludf.DUMMYFUNCTION("""COMPUTED_VALUE"""),"P2 - High")</f>
        <v>P2 - High</v>
      </c>
      <c r="C166" s="5">
        <f>IFERROR(__xludf.DUMMYFUNCTION("""COMPUTED_VALUE"""),44256.600173611114)</f>
        <v>44256.60017</v>
      </c>
      <c r="D166" s="4" t="str">
        <f>IFERROR(__xludf.DUMMYFUNCTION("""COMPUTED_VALUE"""),"RESOLVED")</f>
        <v>RESOLVED</v>
      </c>
      <c r="E166" s="6">
        <f>IFERROR(__xludf.DUMMYFUNCTION("""COMPUTED_VALUE"""),44365.26292824074)</f>
        <v>44365.26293</v>
      </c>
      <c r="F166" s="4" t="str">
        <f>IFERROR(__xludf.DUMMYFUNCTION("""COMPUTED_VALUE""")," ---")</f>
        <v> ---</v>
      </c>
      <c r="G166" s="4" t="str">
        <f>IFERROR(__xludf.DUMMYFUNCTION("""COMPUTED_VALUE"""),"SUSE Linux Enterprise Server 15 SP3")</f>
        <v>SUSE Linux Enterprise Server 15 SP3</v>
      </c>
      <c r="H166" s="7" t="str">
        <f t="shared" si="2"/>
        <v>NO</v>
      </c>
      <c r="I166" s="7" t="str">
        <f t="shared" si="3"/>
        <v>NO</v>
      </c>
    </row>
    <row r="167">
      <c r="A167" s="4">
        <f>IFERROR(__xludf.DUMMYFUNCTION("""COMPUTED_VALUE"""),1183346.0)</f>
        <v>1183346</v>
      </c>
      <c r="B167" s="4" t="str">
        <f>IFERROR(__xludf.DUMMYFUNCTION("""COMPUTED_VALUE"""),"P2 - High")</f>
        <v>P2 - High</v>
      </c>
      <c r="C167" s="5">
        <f>IFERROR(__xludf.DUMMYFUNCTION("""COMPUTED_VALUE"""),44265.99122685185)</f>
        <v>44265.99123</v>
      </c>
      <c r="D167" s="4" t="str">
        <f>IFERROR(__xludf.DUMMYFUNCTION("""COMPUTED_VALUE"""),"RESOLVED")</f>
        <v>RESOLVED</v>
      </c>
      <c r="E167" s="6">
        <f>IFERROR(__xludf.DUMMYFUNCTION("""COMPUTED_VALUE"""),44388.723287037035)</f>
        <v>44388.72329</v>
      </c>
      <c r="F167" s="4" t="str">
        <f>IFERROR(__xludf.DUMMYFUNCTION("""COMPUTED_VALUE""")," ---")</f>
        <v> ---</v>
      </c>
      <c r="G167" s="4" t="str">
        <f>IFERROR(__xludf.DUMMYFUNCTION("""COMPUTED_VALUE"""),"SUSE Linux Enterprise Server 15 SP3")</f>
        <v>SUSE Linux Enterprise Server 15 SP3</v>
      </c>
      <c r="H167" s="7" t="str">
        <f t="shared" si="2"/>
        <v>NO</v>
      </c>
      <c r="I167" s="7" t="str">
        <f t="shared" si="3"/>
        <v>NO</v>
      </c>
    </row>
    <row r="168">
      <c r="A168" s="4">
        <f>IFERROR(__xludf.DUMMYFUNCTION("""COMPUTED_VALUE"""),1183416.0)</f>
        <v>1183416</v>
      </c>
      <c r="B168" s="4" t="str">
        <f>IFERROR(__xludf.DUMMYFUNCTION("""COMPUTED_VALUE"""),"P2 - High")</f>
        <v>P2 - High</v>
      </c>
      <c r="C168" s="5">
        <f>IFERROR(__xludf.DUMMYFUNCTION("""COMPUTED_VALUE"""),44266.73)</f>
        <v>44266.73</v>
      </c>
      <c r="D168" s="4" t="str">
        <f>IFERROR(__xludf.DUMMYFUNCTION("""COMPUTED_VALUE"""),"RESOLVED")</f>
        <v>RESOLVED</v>
      </c>
      <c r="E168" s="6">
        <f>IFERROR(__xludf.DUMMYFUNCTION("""COMPUTED_VALUE"""),44413.3594212963)</f>
        <v>44413.35942</v>
      </c>
      <c r="F168" s="4" t="str">
        <f>IFERROR(__xludf.DUMMYFUNCTION("""COMPUTED_VALUE"""),"Yes")</f>
        <v>Yes</v>
      </c>
      <c r="G168" s="4" t="str">
        <f>IFERROR(__xludf.DUMMYFUNCTION("""COMPUTED_VALUE"""),"SUSE Linux Enterprise Server 15 SP3")</f>
        <v>SUSE Linux Enterprise Server 15 SP3</v>
      </c>
      <c r="H168" s="7" t="str">
        <f t="shared" si="2"/>
        <v>NO</v>
      </c>
      <c r="I168" s="7" t="str">
        <f t="shared" si="3"/>
        <v>NO</v>
      </c>
    </row>
    <row r="169">
      <c r="A169" s="4">
        <f>IFERROR(__xludf.DUMMYFUNCTION("""COMPUTED_VALUE"""),1183666.0)</f>
        <v>1183666</v>
      </c>
      <c r="B169" s="4" t="str">
        <f>IFERROR(__xludf.DUMMYFUNCTION("""COMPUTED_VALUE"""),"P2 - High")</f>
        <v>P2 - High</v>
      </c>
      <c r="C169" s="5">
        <f>IFERROR(__xludf.DUMMYFUNCTION("""COMPUTED_VALUE"""),44272.726793981485)</f>
        <v>44272.72679</v>
      </c>
      <c r="D169" s="4" t="str">
        <f>IFERROR(__xludf.DUMMYFUNCTION("""COMPUTED_VALUE"""),"RESOLVED")</f>
        <v>RESOLVED</v>
      </c>
      <c r="E169" s="6">
        <f>IFERROR(__xludf.DUMMYFUNCTION("""COMPUTED_VALUE"""),44387.9365625)</f>
        <v>44387.93656</v>
      </c>
      <c r="F169" s="4" t="str">
        <f>IFERROR(__xludf.DUMMYFUNCTION("""COMPUTED_VALUE""")," ---")</f>
        <v> ---</v>
      </c>
      <c r="G169" s="4" t="str">
        <f>IFERROR(__xludf.DUMMYFUNCTION("""COMPUTED_VALUE"""),"SUSE Linux Enterprise Server 15 SP3")</f>
        <v>SUSE Linux Enterprise Server 15 SP3</v>
      </c>
      <c r="H169" s="7" t="str">
        <f t="shared" si="2"/>
        <v>NO</v>
      </c>
      <c r="I169" s="7" t="str">
        <f t="shared" si="3"/>
        <v>NO</v>
      </c>
    </row>
    <row r="170">
      <c r="A170" s="4">
        <f>IFERROR(__xludf.DUMMYFUNCTION("""COMPUTED_VALUE"""),1183963.0)</f>
        <v>1183963</v>
      </c>
      <c r="B170" s="4" t="str">
        <f>IFERROR(__xludf.DUMMYFUNCTION("""COMPUTED_VALUE"""),"P2 - High")</f>
        <v>P2 - High</v>
      </c>
      <c r="C170" s="5">
        <f>IFERROR(__xludf.DUMMYFUNCTION("""COMPUTED_VALUE"""),44279.664189814815)</f>
        <v>44279.66419</v>
      </c>
      <c r="D170" s="4" t="str">
        <f>IFERROR(__xludf.DUMMYFUNCTION("""COMPUTED_VALUE"""),"RESOLVED")</f>
        <v>RESOLVED</v>
      </c>
      <c r="E170" s="6">
        <f>IFERROR(__xludf.DUMMYFUNCTION("""COMPUTED_VALUE"""),44365.26356481481)</f>
        <v>44365.26356</v>
      </c>
      <c r="F170" s="4" t="str">
        <f>IFERROR(__xludf.DUMMYFUNCTION("""COMPUTED_VALUE""")," ---")</f>
        <v> ---</v>
      </c>
      <c r="G170" s="4" t="str">
        <f>IFERROR(__xludf.DUMMYFUNCTION("""COMPUTED_VALUE"""),"SUSE Linux Enterprise Server 15 SP3")</f>
        <v>SUSE Linux Enterprise Server 15 SP3</v>
      </c>
      <c r="H170" s="7" t="str">
        <f t="shared" si="2"/>
        <v>NO</v>
      </c>
      <c r="I170" s="7" t="str">
        <f t="shared" si="3"/>
        <v>NO</v>
      </c>
    </row>
    <row r="171">
      <c r="A171" s="4">
        <f>IFERROR(__xludf.DUMMYFUNCTION("""COMPUTED_VALUE"""),1184140.0)</f>
        <v>1184140</v>
      </c>
      <c r="B171" s="4" t="str">
        <f>IFERROR(__xludf.DUMMYFUNCTION("""COMPUTED_VALUE"""),"P2 - High")</f>
        <v>P2 - High</v>
      </c>
      <c r="C171" s="5">
        <f>IFERROR(__xludf.DUMMYFUNCTION("""COMPUTED_VALUE"""),44284.94509259259)</f>
        <v>44284.94509</v>
      </c>
      <c r="D171" s="4" t="str">
        <f>IFERROR(__xludf.DUMMYFUNCTION("""COMPUTED_VALUE"""),"RESOLVED")</f>
        <v>RESOLVED</v>
      </c>
      <c r="E171" s="6">
        <f>IFERROR(__xludf.DUMMYFUNCTION("""COMPUTED_VALUE"""),44484.537152777775)</f>
        <v>44484.53715</v>
      </c>
      <c r="F171" s="4" t="str">
        <f>IFERROR(__xludf.DUMMYFUNCTION("""COMPUTED_VALUE""")," ---")</f>
        <v> ---</v>
      </c>
      <c r="G171" s="4" t="str">
        <f>IFERROR(__xludf.DUMMYFUNCTION("""COMPUTED_VALUE"""),"SUSE Linux Enterprise Server 15 SP3")</f>
        <v>SUSE Linux Enterprise Server 15 SP3</v>
      </c>
      <c r="H171" s="7" t="str">
        <f t="shared" si="2"/>
        <v>NO</v>
      </c>
      <c r="I171" s="7" t="str">
        <f t="shared" si="3"/>
        <v>NO</v>
      </c>
    </row>
    <row r="172">
      <c r="A172" s="4">
        <f>IFERROR(__xludf.DUMMYFUNCTION("""COMPUTED_VALUE"""),1184294.0)</f>
        <v>1184294</v>
      </c>
      <c r="B172" s="4" t="str">
        <f>IFERROR(__xludf.DUMMYFUNCTION("""COMPUTED_VALUE"""),"P2 - High")</f>
        <v>P2 - High</v>
      </c>
      <c r="C172" s="5">
        <f>IFERROR(__xludf.DUMMYFUNCTION("""COMPUTED_VALUE"""),44288.091840277775)</f>
        <v>44288.09184</v>
      </c>
      <c r="D172" s="4" t="str">
        <f>IFERROR(__xludf.DUMMYFUNCTION("""COMPUTED_VALUE"""),"RESOLVED")</f>
        <v>RESOLVED</v>
      </c>
      <c r="E172" s="6">
        <f>IFERROR(__xludf.DUMMYFUNCTION("""COMPUTED_VALUE"""),44365.26230324074)</f>
        <v>44365.2623</v>
      </c>
      <c r="F172" s="4" t="str">
        <f>IFERROR(__xludf.DUMMYFUNCTION("""COMPUTED_VALUE""")," ---")</f>
        <v> ---</v>
      </c>
      <c r="G172" s="4" t="str">
        <f>IFERROR(__xludf.DUMMYFUNCTION("""COMPUTED_VALUE"""),"PUBLIC SUSE Linux Enterprise Server 15 SP3")</f>
        <v>PUBLIC SUSE Linux Enterprise Server 15 SP3</v>
      </c>
      <c r="H172" s="7" t="str">
        <f t="shared" si="2"/>
        <v>NO</v>
      </c>
      <c r="I172" s="7" t="str">
        <f t="shared" si="3"/>
        <v>NO</v>
      </c>
    </row>
    <row r="173">
      <c r="A173" s="4">
        <f>IFERROR(__xludf.DUMMYFUNCTION("""COMPUTED_VALUE"""),1184707.0)</f>
        <v>1184707</v>
      </c>
      <c r="B173" s="4" t="str">
        <f>IFERROR(__xludf.DUMMYFUNCTION("""COMPUTED_VALUE"""),"P2 - High")</f>
        <v>P2 - High</v>
      </c>
      <c r="C173" s="5">
        <f>IFERROR(__xludf.DUMMYFUNCTION("""COMPUTED_VALUE"""),44300.367106481484)</f>
        <v>44300.36711</v>
      </c>
      <c r="D173" s="4" t="str">
        <f>IFERROR(__xludf.DUMMYFUNCTION("""COMPUTED_VALUE"""),"RESOLVED")</f>
        <v>RESOLVED</v>
      </c>
      <c r="E173" s="6">
        <f>IFERROR(__xludf.DUMMYFUNCTION("""COMPUTED_VALUE"""),44336.7022337963)</f>
        <v>44336.70223</v>
      </c>
      <c r="F173" s="4" t="str">
        <f>IFERROR(__xludf.DUMMYFUNCTION("""COMPUTED_VALUE""")," ---")</f>
        <v> ---</v>
      </c>
      <c r="G173" s="4" t="str">
        <f>IFERROR(__xludf.DUMMYFUNCTION("""COMPUTED_VALUE"""),"SUSE Linux Enterprise Server 15 SP3")</f>
        <v>SUSE Linux Enterprise Server 15 SP3</v>
      </c>
      <c r="H173" s="7" t="str">
        <f t="shared" si="2"/>
        <v>NO</v>
      </c>
      <c r="I173" s="7" t="str">
        <f t="shared" si="3"/>
        <v>NO</v>
      </c>
    </row>
    <row r="174">
      <c r="A174" s="4">
        <f>IFERROR(__xludf.DUMMYFUNCTION("""COMPUTED_VALUE"""),1184765.0)</f>
        <v>1184765</v>
      </c>
      <c r="B174" s="4" t="str">
        <f>IFERROR(__xludf.DUMMYFUNCTION("""COMPUTED_VALUE"""),"P2 - High")</f>
        <v>P2 - High</v>
      </c>
      <c r="C174" s="5">
        <f>IFERROR(__xludf.DUMMYFUNCTION("""COMPUTED_VALUE"""),44300.915983796294)</f>
        <v>44300.91598</v>
      </c>
      <c r="D174" s="4" t="str">
        <f>IFERROR(__xludf.DUMMYFUNCTION("""COMPUTED_VALUE"""),"RESOLVED")</f>
        <v>RESOLVED</v>
      </c>
      <c r="E174" s="6">
        <f>IFERROR(__xludf.DUMMYFUNCTION("""COMPUTED_VALUE"""),44327.81039351852)</f>
        <v>44327.81039</v>
      </c>
      <c r="F174" s="4" t="str">
        <f>IFERROR(__xludf.DUMMYFUNCTION("""COMPUTED_VALUE""")," ---")</f>
        <v> ---</v>
      </c>
      <c r="G174" s="4" t="str">
        <f>IFERROR(__xludf.DUMMYFUNCTION("""COMPUTED_VALUE"""),"SUSE Linux Enterprise Server 15 SP3")</f>
        <v>SUSE Linux Enterprise Server 15 SP3</v>
      </c>
      <c r="H174" s="7" t="str">
        <f t="shared" si="2"/>
        <v>NO</v>
      </c>
      <c r="I174" s="7" t="str">
        <f t="shared" si="3"/>
        <v>NO</v>
      </c>
    </row>
    <row r="175">
      <c r="A175" s="4">
        <f>IFERROR(__xludf.DUMMYFUNCTION("""COMPUTED_VALUE"""),1185110.0)</f>
        <v>1185110</v>
      </c>
      <c r="B175" s="4" t="str">
        <f>IFERROR(__xludf.DUMMYFUNCTION("""COMPUTED_VALUE"""),"P2 - High")</f>
        <v>P2 - High</v>
      </c>
      <c r="C175" s="5">
        <f>IFERROR(__xludf.DUMMYFUNCTION("""COMPUTED_VALUE"""),44307.77244212963)</f>
        <v>44307.77244</v>
      </c>
      <c r="D175" s="4" t="str">
        <f>IFERROR(__xludf.DUMMYFUNCTION("""COMPUTED_VALUE"""),"RESOLVED")</f>
        <v>RESOLVED</v>
      </c>
      <c r="E175" s="6">
        <f>IFERROR(__xludf.DUMMYFUNCTION("""COMPUTED_VALUE"""),44403.51642361111)</f>
        <v>44403.51642</v>
      </c>
      <c r="F175" s="4" t="str">
        <f>IFERROR(__xludf.DUMMYFUNCTION("""COMPUTED_VALUE""")," ---")</f>
        <v> ---</v>
      </c>
      <c r="G175" s="4" t="str">
        <f>IFERROR(__xludf.DUMMYFUNCTION("""COMPUTED_VALUE"""),"SUSE Linux Enterprise Server 15 SP3")</f>
        <v>SUSE Linux Enterprise Server 15 SP3</v>
      </c>
      <c r="H175" s="7" t="str">
        <f t="shared" si="2"/>
        <v>NO</v>
      </c>
      <c r="I175" s="7" t="str">
        <f t="shared" si="3"/>
        <v>NO</v>
      </c>
    </row>
    <row r="176">
      <c r="A176" s="4">
        <f>IFERROR(__xludf.DUMMYFUNCTION("""COMPUTED_VALUE"""),1185134.0)</f>
        <v>1185134</v>
      </c>
      <c r="B176" s="4" t="str">
        <f>IFERROR(__xludf.DUMMYFUNCTION("""COMPUTED_VALUE"""),"P2 - High")</f>
        <v>P2 - High</v>
      </c>
      <c r="C176" s="5">
        <f>IFERROR(__xludf.DUMMYFUNCTION("""COMPUTED_VALUE"""),44308.453194444446)</f>
        <v>44308.45319</v>
      </c>
      <c r="D176" s="4" t="str">
        <f>IFERROR(__xludf.DUMMYFUNCTION("""COMPUTED_VALUE"""),"RESOLVED")</f>
        <v>RESOLVED</v>
      </c>
      <c r="E176" s="6">
        <f>IFERROR(__xludf.DUMMYFUNCTION("""COMPUTED_VALUE"""),44316.702731481484)</f>
        <v>44316.70273</v>
      </c>
      <c r="F176" s="4" t="str">
        <f>IFERROR(__xludf.DUMMYFUNCTION("""COMPUTED_VALUE"""),"Yes")</f>
        <v>Yes</v>
      </c>
      <c r="G176" s="4" t="str">
        <f>IFERROR(__xludf.DUMMYFUNCTION("""COMPUTED_VALUE"""),"SUSE Linux Enterprise Server 15 SP3")</f>
        <v>SUSE Linux Enterprise Server 15 SP3</v>
      </c>
      <c r="H176" s="7" t="str">
        <f t="shared" si="2"/>
        <v>NO</v>
      </c>
      <c r="I176" s="7" t="str">
        <f t="shared" si="3"/>
        <v>NO</v>
      </c>
    </row>
    <row r="177">
      <c r="A177" s="4">
        <f>IFERROR(__xludf.DUMMYFUNCTION("""COMPUTED_VALUE"""),1185703.0)</f>
        <v>1185703</v>
      </c>
      <c r="B177" s="4" t="str">
        <f>IFERROR(__xludf.DUMMYFUNCTION("""COMPUTED_VALUE"""),"P2 - High")</f>
        <v>P2 - High</v>
      </c>
      <c r="C177" s="5">
        <f>IFERROR(__xludf.DUMMYFUNCTION("""COMPUTED_VALUE"""),44322.37021990741)</f>
        <v>44322.37022</v>
      </c>
      <c r="D177" s="4" t="str">
        <f>IFERROR(__xludf.DUMMYFUNCTION("""COMPUTED_VALUE"""),"RESOLVED")</f>
        <v>RESOLVED</v>
      </c>
      <c r="E177" s="6">
        <f>IFERROR(__xludf.DUMMYFUNCTION("""COMPUTED_VALUE"""),44420.428252314814)</f>
        <v>44420.42825</v>
      </c>
      <c r="F177" s="4" t="str">
        <f>IFERROR(__xludf.DUMMYFUNCTION("""COMPUTED_VALUE""")," ---")</f>
        <v> ---</v>
      </c>
      <c r="G177" s="4" t="str">
        <f>IFERROR(__xludf.DUMMYFUNCTION("""COMPUTED_VALUE"""),"SUSE Linux Enterprise Server 15 SP3")</f>
        <v>SUSE Linux Enterprise Server 15 SP3</v>
      </c>
      <c r="H177" s="7" t="str">
        <f t="shared" si="2"/>
        <v>NO</v>
      </c>
      <c r="I177" s="7" t="str">
        <f t="shared" si="3"/>
        <v>NO</v>
      </c>
    </row>
    <row r="178">
      <c r="A178" s="4">
        <f>IFERROR(__xludf.DUMMYFUNCTION("""COMPUTED_VALUE"""),1186032.0)</f>
        <v>1186032</v>
      </c>
      <c r="B178" s="4" t="str">
        <f>IFERROR(__xludf.DUMMYFUNCTION("""COMPUTED_VALUE"""),"P2 - High")</f>
        <v>P2 - High</v>
      </c>
      <c r="C178" s="5">
        <f>IFERROR(__xludf.DUMMYFUNCTION("""COMPUTED_VALUE"""),44329.74420138889)</f>
        <v>44329.7442</v>
      </c>
      <c r="D178" s="4" t="str">
        <f>IFERROR(__xludf.DUMMYFUNCTION("""COMPUTED_VALUE"""),"RESOLVED")</f>
        <v>RESOLVED</v>
      </c>
      <c r="E178" s="6">
        <f>IFERROR(__xludf.DUMMYFUNCTION("""COMPUTED_VALUE"""),44473.72099537037)</f>
        <v>44473.721</v>
      </c>
      <c r="F178" s="4" t="str">
        <f>IFERROR(__xludf.DUMMYFUNCTION("""COMPUTED_VALUE""")," ---")</f>
        <v> ---</v>
      </c>
      <c r="G178" s="4" t="str">
        <f>IFERROR(__xludf.DUMMYFUNCTION("""COMPUTED_VALUE"""),"SUSE Linux Enterprise Server 15 SP3")</f>
        <v>SUSE Linux Enterprise Server 15 SP3</v>
      </c>
      <c r="H178" s="7" t="str">
        <f t="shared" si="2"/>
        <v>NO</v>
      </c>
      <c r="I178" s="7" t="str">
        <f t="shared" si="3"/>
        <v>NO</v>
      </c>
    </row>
    <row r="179">
      <c r="A179" s="4">
        <f>IFERROR(__xludf.DUMMYFUNCTION("""COMPUTED_VALUE"""),1186074.0)</f>
        <v>1186074</v>
      </c>
      <c r="B179" s="4" t="str">
        <f>IFERROR(__xludf.DUMMYFUNCTION("""COMPUTED_VALUE"""),"P2 - High")</f>
        <v>P2 - High</v>
      </c>
      <c r="C179" s="5">
        <f>IFERROR(__xludf.DUMMYFUNCTION("""COMPUTED_VALUE"""),44330.71472222222)</f>
        <v>44330.71472</v>
      </c>
      <c r="D179" s="4" t="str">
        <f>IFERROR(__xludf.DUMMYFUNCTION("""COMPUTED_VALUE"""),"RESOLVED")</f>
        <v>RESOLVED</v>
      </c>
      <c r="E179" s="6">
        <f>IFERROR(__xludf.DUMMYFUNCTION("""COMPUTED_VALUE"""),44365.26578703704)</f>
        <v>44365.26579</v>
      </c>
      <c r="F179" s="4" t="str">
        <f>IFERROR(__xludf.DUMMYFUNCTION("""COMPUTED_VALUE""")," ---")</f>
        <v> ---</v>
      </c>
      <c r="G179" s="4" t="str">
        <f>IFERROR(__xludf.DUMMYFUNCTION("""COMPUTED_VALUE"""),"PUBLIC SUSE Linux Enterprise Server 15 SP3")</f>
        <v>PUBLIC SUSE Linux Enterprise Server 15 SP3</v>
      </c>
      <c r="H179" s="7" t="str">
        <f t="shared" si="2"/>
        <v>NO</v>
      </c>
      <c r="I179" s="7" t="str">
        <f t="shared" si="3"/>
        <v>NO</v>
      </c>
    </row>
    <row r="180">
      <c r="A180" s="4">
        <f>IFERROR(__xludf.DUMMYFUNCTION("""COMPUTED_VALUE"""),1186155.0)</f>
        <v>1186155</v>
      </c>
      <c r="B180" s="4" t="str">
        <f>IFERROR(__xludf.DUMMYFUNCTION("""COMPUTED_VALUE"""),"P2 - High")</f>
        <v>P2 - High</v>
      </c>
      <c r="C180" s="5">
        <f>IFERROR(__xludf.DUMMYFUNCTION("""COMPUTED_VALUE"""),44334.22209490741)</f>
        <v>44334.22209</v>
      </c>
      <c r="D180" s="4" t="str">
        <f>IFERROR(__xludf.DUMMYFUNCTION("""COMPUTED_VALUE"""),"RESOLVED")</f>
        <v>RESOLVED</v>
      </c>
      <c r="E180" s="6">
        <f>IFERROR(__xludf.DUMMYFUNCTION("""COMPUTED_VALUE"""),44586.60319444445)</f>
        <v>44586.60319</v>
      </c>
      <c r="F180" s="4" t="str">
        <f>IFERROR(__xludf.DUMMYFUNCTION("""COMPUTED_VALUE""")," ---")</f>
        <v> ---</v>
      </c>
      <c r="G180" s="4" t="str">
        <f>IFERROR(__xludf.DUMMYFUNCTION("""COMPUTED_VALUE"""),"PUBLIC SUSE Linux Enterprise Server 15 SP3")</f>
        <v>PUBLIC SUSE Linux Enterprise Server 15 SP3</v>
      </c>
      <c r="H180" s="7" t="str">
        <f t="shared" si="2"/>
        <v>NO</v>
      </c>
      <c r="I180" s="7" t="str">
        <f t="shared" si="3"/>
        <v>NO</v>
      </c>
    </row>
    <row r="181">
      <c r="A181" s="4">
        <f>IFERROR(__xludf.DUMMYFUNCTION("""COMPUTED_VALUE"""),1186286.0)</f>
        <v>1186286</v>
      </c>
      <c r="B181" s="4" t="str">
        <f>IFERROR(__xludf.DUMMYFUNCTION("""COMPUTED_VALUE"""),"P2 - High")</f>
        <v>P2 - High</v>
      </c>
      <c r="C181" s="5">
        <f>IFERROR(__xludf.DUMMYFUNCTION("""COMPUTED_VALUE"""),44336.37774305556)</f>
        <v>44336.37774</v>
      </c>
      <c r="D181" s="4" t="str">
        <f>IFERROR(__xludf.DUMMYFUNCTION("""COMPUTED_VALUE"""),"RESOLVED")</f>
        <v>RESOLVED</v>
      </c>
      <c r="E181" s="6">
        <f>IFERROR(__xludf.DUMMYFUNCTION("""COMPUTED_VALUE"""),44389.70248842592)</f>
        <v>44389.70249</v>
      </c>
      <c r="F181" s="4" t="str">
        <f>IFERROR(__xludf.DUMMYFUNCTION("""COMPUTED_VALUE""")," ---")</f>
        <v> ---</v>
      </c>
      <c r="G181" s="4" t="str">
        <f>IFERROR(__xludf.DUMMYFUNCTION("""COMPUTED_VALUE"""),"SUSE Linux Enterprise Server 15 SP3")</f>
        <v>SUSE Linux Enterprise Server 15 SP3</v>
      </c>
      <c r="H181" s="7" t="str">
        <f t="shared" si="2"/>
        <v>NO</v>
      </c>
      <c r="I181" s="7" t="str">
        <f t="shared" si="3"/>
        <v>NO</v>
      </c>
    </row>
    <row r="182">
      <c r="A182" s="4">
        <f>IFERROR(__xludf.DUMMYFUNCTION("""COMPUTED_VALUE"""),1187211.0)</f>
        <v>1187211</v>
      </c>
      <c r="B182" s="4" t="str">
        <f>IFERROR(__xludf.DUMMYFUNCTION("""COMPUTED_VALUE"""),"P2 - High")</f>
        <v>P2 - High</v>
      </c>
      <c r="C182" s="5">
        <f>IFERROR(__xludf.DUMMYFUNCTION("""COMPUTED_VALUE"""),44358.31570601852)</f>
        <v>44358.31571</v>
      </c>
      <c r="D182" s="4" t="str">
        <f>IFERROR(__xludf.DUMMYFUNCTION("""COMPUTED_VALUE"""),"RESOLVED")</f>
        <v>RESOLVED</v>
      </c>
      <c r="E182" s="6">
        <f>IFERROR(__xludf.DUMMYFUNCTION("""COMPUTED_VALUE"""),44510.32402777778)</f>
        <v>44510.32403</v>
      </c>
      <c r="F182" s="4" t="str">
        <f>IFERROR(__xludf.DUMMYFUNCTION("""COMPUTED_VALUE""")," ---")</f>
        <v> ---</v>
      </c>
      <c r="G182" s="4" t="str">
        <f>IFERROR(__xludf.DUMMYFUNCTION("""COMPUTED_VALUE"""),"SUSE Linux Enterprise Server 15 SP3")</f>
        <v>SUSE Linux Enterprise Server 15 SP3</v>
      </c>
      <c r="H182" s="7" t="str">
        <f t="shared" si="2"/>
        <v>NO</v>
      </c>
      <c r="I182" s="7" t="str">
        <f t="shared" si="3"/>
        <v>NO</v>
      </c>
    </row>
    <row r="183">
      <c r="A183" s="4">
        <f>IFERROR(__xludf.DUMMYFUNCTION("""COMPUTED_VALUE"""),1187263.0)</f>
        <v>1187263</v>
      </c>
      <c r="B183" s="4" t="str">
        <f>IFERROR(__xludf.DUMMYFUNCTION("""COMPUTED_VALUE"""),"P2 - High")</f>
        <v>P2 - High</v>
      </c>
      <c r="C183" s="5">
        <f>IFERROR(__xludf.DUMMYFUNCTION("""COMPUTED_VALUE"""),44360.43585648148)</f>
        <v>44360.43586</v>
      </c>
      <c r="D183" s="4" t="str">
        <f>IFERROR(__xludf.DUMMYFUNCTION("""COMPUTED_VALUE"""),"RESOLVED")</f>
        <v>RESOLVED</v>
      </c>
      <c r="E183" s="6">
        <f>IFERROR(__xludf.DUMMYFUNCTION("""COMPUTED_VALUE"""),44398.574525462966)</f>
        <v>44398.57453</v>
      </c>
      <c r="F183" s="4" t="str">
        <f>IFERROR(__xludf.DUMMYFUNCTION("""COMPUTED_VALUE""")," ---")</f>
        <v> ---</v>
      </c>
      <c r="G183" s="4" t="str">
        <f>IFERROR(__xludf.DUMMYFUNCTION("""COMPUTED_VALUE"""),"SUSE Linux Enterprise Server 15 SP3")</f>
        <v>SUSE Linux Enterprise Server 15 SP3</v>
      </c>
      <c r="H183" s="7" t="str">
        <f t="shared" si="2"/>
        <v>NO</v>
      </c>
      <c r="I183" s="7" t="str">
        <f t="shared" si="3"/>
        <v>NO</v>
      </c>
    </row>
    <row r="184">
      <c r="A184" s="4">
        <f>IFERROR(__xludf.DUMMYFUNCTION("""COMPUTED_VALUE"""),1187495.0)</f>
        <v>1187495</v>
      </c>
      <c r="B184" s="4" t="str">
        <f>IFERROR(__xludf.DUMMYFUNCTION("""COMPUTED_VALUE"""),"P2 - High")</f>
        <v>P2 - High</v>
      </c>
      <c r="C184" s="5">
        <f>IFERROR(__xludf.DUMMYFUNCTION("""COMPUTED_VALUE"""),44365.50640046296)</f>
        <v>44365.5064</v>
      </c>
      <c r="D184" s="4" t="str">
        <f>IFERROR(__xludf.DUMMYFUNCTION("""COMPUTED_VALUE"""),"RESOLVED")</f>
        <v>RESOLVED</v>
      </c>
      <c r="E184" s="6">
        <f>IFERROR(__xludf.DUMMYFUNCTION("""COMPUTED_VALUE"""),44422.56587962963)</f>
        <v>44422.56588</v>
      </c>
      <c r="F184" s="4" t="str">
        <f>IFERROR(__xludf.DUMMYFUNCTION("""COMPUTED_VALUE""")," ---")</f>
        <v> ---</v>
      </c>
      <c r="G184" s="4" t="str">
        <f>IFERROR(__xludf.DUMMYFUNCTION("""COMPUTED_VALUE"""),"SUSE Linux Enterprise Server 15 SP3")</f>
        <v>SUSE Linux Enterprise Server 15 SP3</v>
      </c>
      <c r="H184" s="7" t="str">
        <f t="shared" si="2"/>
        <v>NO</v>
      </c>
      <c r="I184" s="7" t="str">
        <f t="shared" si="3"/>
        <v>NO</v>
      </c>
    </row>
    <row r="185">
      <c r="A185" s="4">
        <f>IFERROR(__xludf.DUMMYFUNCTION("""COMPUTED_VALUE"""),1177476.0)</f>
        <v>1177476</v>
      </c>
      <c r="B185" s="4" t="str">
        <f>IFERROR(__xludf.DUMMYFUNCTION("""COMPUTED_VALUE"""),"P2 - High")</f>
        <v>P2 - High</v>
      </c>
      <c r="C185" s="5">
        <f>IFERROR(__xludf.DUMMYFUNCTION("""COMPUTED_VALUE"""),44112.42196759259)</f>
        <v>44112.42197</v>
      </c>
      <c r="D185" s="4" t="str">
        <f>IFERROR(__xludf.DUMMYFUNCTION("""COMPUTED_VALUE"""),"RESOLVED")</f>
        <v>RESOLVED</v>
      </c>
      <c r="E185" s="6">
        <f>IFERROR(__xludf.DUMMYFUNCTION("""COMPUTED_VALUE"""),44384.852789351855)</f>
        <v>44384.85279</v>
      </c>
      <c r="F185" s="4" t="str">
        <f>IFERROR(__xludf.DUMMYFUNCTION("""COMPUTED_VALUE""")," ---")</f>
        <v> ---</v>
      </c>
      <c r="G185" s="4" t="str">
        <f>IFERROR(__xludf.DUMMYFUNCTION("""COMPUTED_VALUE"""),"SUSE Linux Enterprise Server 15 SP3")</f>
        <v>SUSE Linux Enterprise Server 15 SP3</v>
      </c>
      <c r="H185" s="7" t="str">
        <f t="shared" si="2"/>
        <v>NO</v>
      </c>
      <c r="I185" s="7" t="str">
        <f t="shared" si="3"/>
        <v>NO</v>
      </c>
    </row>
    <row r="186">
      <c r="A186" s="4">
        <f>IFERROR(__xludf.DUMMYFUNCTION("""COMPUTED_VALUE"""),1177971.0)</f>
        <v>1177971</v>
      </c>
      <c r="B186" s="4" t="str">
        <f>IFERROR(__xludf.DUMMYFUNCTION("""COMPUTED_VALUE"""),"P2 - High")</f>
        <v>P2 - High</v>
      </c>
      <c r="C186" s="5">
        <f>IFERROR(__xludf.DUMMYFUNCTION("""COMPUTED_VALUE"""),44125.595347222225)</f>
        <v>44125.59535</v>
      </c>
      <c r="D186" s="4" t="str">
        <f>IFERROR(__xludf.DUMMYFUNCTION("""COMPUTED_VALUE"""),"RESOLVED")</f>
        <v>RESOLVED</v>
      </c>
      <c r="E186" s="6">
        <f>IFERROR(__xludf.DUMMYFUNCTION("""COMPUTED_VALUE"""),44384.854675925926)</f>
        <v>44384.85468</v>
      </c>
      <c r="F186" s="4" t="str">
        <f>IFERROR(__xludf.DUMMYFUNCTION("""COMPUTED_VALUE""")," ---")</f>
        <v> ---</v>
      </c>
      <c r="G186" s="4" t="str">
        <f>IFERROR(__xludf.DUMMYFUNCTION("""COMPUTED_VALUE"""),"SUSE Linux Enterprise Server 15 SP3")</f>
        <v>SUSE Linux Enterprise Server 15 SP3</v>
      </c>
      <c r="H186" s="7" t="str">
        <f t="shared" si="2"/>
        <v>NO</v>
      </c>
      <c r="I186" s="7" t="str">
        <f t="shared" si="3"/>
        <v>NO</v>
      </c>
    </row>
    <row r="187">
      <c r="A187" s="4">
        <f>IFERROR(__xludf.DUMMYFUNCTION("""COMPUTED_VALUE"""),1180221.0)</f>
        <v>1180221</v>
      </c>
      <c r="B187" s="4" t="str">
        <f>IFERROR(__xludf.DUMMYFUNCTION("""COMPUTED_VALUE"""),"P2 - High")</f>
        <v>P2 - High</v>
      </c>
      <c r="C187" s="5">
        <f>IFERROR(__xludf.DUMMYFUNCTION("""COMPUTED_VALUE"""),44183.60140046296)</f>
        <v>44183.6014</v>
      </c>
      <c r="D187" s="4" t="str">
        <f>IFERROR(__xludf.DUMMYFUNCTION("""COMPUTED_VALUE"""),"RESOLVED")</f>
        <v>RESOLVED</v>
      </c>
      <c r="E187" s="6">
        <f>IFERROR(__xludf.DUMMYFUNCTION("""COMPUTED_VALUE"""),44384.86418981481)</f>
        <v>44384.86419</v>
      </c>
      <c r="F187" s="4" t="str">
        <f>IFERROR(__xludf.DUMMYFUNCTION("""COMPUTED_VALUE""")," ---")</f>
        <v> ---</v>
      </c>
      <c r="G187" s="4" t="str">
        <f>IFERROR(__xludf.DUMMYFUNCTION("""COMPUTED_VALUE"""),"SUSE Linux Enterprise Server 15 SP3")</f>
        <v>SUSE Linux Enterprise Server 15 SP3</v>
      </c>
      <c r="H187" s="7" t="str">
        <f t="shared" si="2"/>
        <v>NO</v>
      </c>
      <c r="I187" s="7" t="str">
        <f t="shared" si="3"/>
        <v>NO</v>
      </c>
    </row>
    <row r="188">
      <c r="A188" s="4">
        <f>IFERROR(__xludf.DUMMYFUNCTION("""COMPUTED_VALUE"""),1184360.0)</f>
        <v>1184360</v>
      </c>
      <c r="B188" s="4" t="str">
        <f>IFERROR(__xludf.DUMMYFUNCTION("""COMPUTED_VALUE"""),"P2 - High")</f>
        <v>P2 - High</v>
      </c>
      <c r="C188" s="5">
        <f>IFERROR(__xludf.DUMMYFUNCTION("""COMPUTED_VALUE"""),44292.38822916667)</f>
        <v>44292.38823</v>
      </c>
      <c r="D188" s="4" t="str">
        <f>IFERROR(__xludf.DUMMYFUNCTION("""COMPUTED_VALUE"""),"RESOLVED")</f>
        <v>RESOLVED</v>
      </c>
      <c r="E188" s="6">
        <f>IFERROR(__xludf.DUMMYFUNCTION("""COMPUTED_VALUE"""),44342.622199074074)</f>
        <v>44342.6222</v>
      </c>
      <c r="F188" s="4" t="str">
        <f>IFERROR(__xludf.DUMMYFUNCTION("""COMPUTED_VALUE""")," ---")</f>
        <v> ---</v>
      </c>
      <c r="G188" s="4" t="str">
        <f>IFERROR(__xludf.DUMMYFUNCTION("""COMPUTED_VALUE"""),"SUSE Linux Enterprise Server 15 SP3")</f>
        <v>SUSE Linux Enterprise Server 15 SP3</v>
      </c>
      <c r="H188" s="7" t="str">
        <f t="shared" si="2"/>
        <v>NO</v>
      </c>
      <c r="I188" s="7" t="str">
        <f t="shared" si="3"/>
        <v>NO</v>
      </c>
    </row>
    <row r="189">
      <c r="A189" s="4">
        <f>IFERROR(__xludf.DUMMYFUNCTION("""COMPUTED_VALUE"""),1185954.0)</f>
        <v>1185954</v>
      </c>
      <c r="B189" s="4" t="str">
        <f>IFERROR(__xludf.DUMMYFUNCTION("""COMPUTED_VALUE"""),"P2 - High")</f>
        <v>P2 - High</v>
      </c>
      <c r="C189" s="5">
        <f>IFERROR(__xludf.DUMMYFUNCTION("""COMPUTED_VALUE"""),44328.35962962963)</f>
        <v>44328.35963</v>
      </c>
      <c r="D189" s="4" t="str">
        <f>IFERROR(__xludf.DUMMYFUNCTION("""COMPUTED_VALUE"""),"RESOLVED")</f>
        <v>RESOLVED</v>
      </c>
      <c r="E189" s="6">
        <f>IFERROR(__xludf.DUMMYFUNCTION("""COMPUTED_VALUE"""),44388.70392361111)</f>
        <v>44388.70392</v>
      </c>
      <c r="F189" s="4" t="str">
        <f>IFERROR(__xludf.DUMMYFUNCTION("""COMPUTED_VALUE""")," ---")</f>
        <v> ---</v>
      </c>
      <c r="G189" s="4" t="str">
        <f>IFERROR(__xludf.DUMMYFUNCTION("""COMPUTED_VALUE"""),"SUSE Linux Enterprise Server 15 SP3")</f>
        <v>SUSE Linux Enterprise Server 15 SP3</v>
      </c>
      <c r="H189" s="7" t="str">
        <f t="shared" si="2"/>
        <v>NO</v>
      </c>
      <c r="I189" s="7" t="str">
        <f t="shared" si="3"/>
        <v>NO</v>
      </c>
    </row>
    <row r="190">
      <c r="A190" s="4">
        <f>IFERROR(__xludf.DUMMYFUNCTION("""COMPUTED_VALUE"""),1186472.0)</f>
        <v>1186472</v>
      </c>
      <c r="B190" s="4" t="str">
        <f>IFERROR(__xludf.DUMMYFUNCTION("""COMPUTED_VALUE"""),"P2 - High")</f>
        <v>P2 - High</v>
      </c>
      <c r="C190" s="5">
        <f>IFERROR(__xludf.DUMMYFUNCTION("""COMPUTED_VALUE"""),44342.62946759259)</f>
        <v>44342.62947</v>
      </c>
      <c r="D190" s="4" t="str">
        <f>IFERROR(__xludf.DUMMYFUNCTION("""COMPUTED_VALUE"""),"RESOLVED")</f>
        <v>RESOLVED</v>
      </c>
      <c r="E190" s="6">
        <f>IFERROR(__xludf.DUMMYFUNCTION("""COMPUTED_VALUE"""),44384.89111111111)</f>
        <v>44384.89111</v>
      </c>
      <c r="F190" s="4" t="str">
        <f>IFERROR(__xludf.DUMMYFUNCTION("""COMPUTED_VALUE""")," ---")</f>
        <v> ---</v>
      </c>
      <c r="G190" s="4" t="str">
        <f>IFERROR(__xludf.DUMMYFUNCTION("""COMPUTED_VALUE"""),"SUSE Linux Enterprise Server 15 SP3")</f>
        <v>SUSE Linux Enterprise Server 15 SP3</v>
      </c>
      <c r="H190" s="7" t="str">
        <f t="shared" si="2"/>
        <v>NO</v>
      </c>
      <c r="I190" s="7" t="str">
        <f t="shared" si="3"/>
        <v>NO</v>
      </c>
    </row>
    <row r="191">
      <c r="A191" s="4">
        <f>IFERROR(__xludf.DUMMYFUNCTION("""COMPUTED_VALUE"""),1180745.0)</f>
        <v>1180745</v>
      </c>
      <c r="B191" s="4" t="str">
        <f>IFERROR(__xludf.DUMMYFUNCTION("""COMPUTED_VALUE"""),"P2 - High")</f>
        <v>P2 - High</v>
      </c>
      <c r="C191" s="5">
        <f>IFERROR(__xludf.DUMMYFUNCTION("""COMPUTED_VALUE"""),44206.61849537037)</f>
        <v>44206.6185</v>
      </c>
      <c r="D191" s="4" t="str">
        <f>IFERROR(__xludf.DUMMYFUNCTION("""COMPUTED_VALUE"""),"RESOLVED")</f>
        <v>RESOLVED</v>
      </c>
      <c r="E191" s="6">
        <f>IFERROR(__xludf.DUMMYFUNCTION("""COMPUTED_VALUE"""),44286.374398148146)</f>
        <v>44286.3744</v>
      </c>
      <c r="F191" s="4" t="str">
        <f>IFERROR(__xludf.DUMMYFUNCTION("""COMPUTED_VALUE""")," ---")</f>
        <v> ---</v>
      </c>
      <c r="G191" s="4" t="str">
        <f>IFERROR(__xludf.DUMMYFUNCTION("""COMPUTED_VALUE"""),"SUSE Linux Enterprise Server 15 SP3")</f>
        <v>SUSE Linux Enterprise Server 15 SP3</v>
      </c>
      <c r="H191" s="7" t="str">
        <f t="shared" si="2"/>
        <v>NO</v>
      </c>
      <c r="I191" s="7" t="str">
        <f t="shared" si="3"/>
        <v>NO</v>
      </c>
    </row>
    <row r="192">
      <c r="A192" s="4">
        <f>IFERROR(__xludf.DUMMYFUNCTION("""COMPUTED_VALUE"""),1181435.0)</f>
        <v>1181435</v>
      </c>
      <c r="B192" s="4" t="str">
        <f>IFERROR(__xludf.DUMMYFUNCTION("""COMPUTED_VALUE"""),"P2 - High")</f>
        <v>P2 - High</v>
      </c>
      <c r="C192" s="5">
        <f>IFERROR(__xludf.DUMMYFUNCTION("""COMPUTED_VALUE"""),44223.03364583333)</f>
        <v>44223.03365</v>
      </c>
      <c r="D192" s="4" t="str">
        <f>IFERROR(__xludf.DUMMYFUNCTION("""COMPUTED_VALUE"""),"RESOLVED")</f>
        <v>RESOLVED</v>
      </c>
      <c r="E192" s="6">
        <f>IFERROR(__xludf.DUMMYFUNCTION("""COMPUTED_VALUE"""),44387.93640046296)</f>
        <v>44387.9364</v>
      </c>
      <c r="F192" s="4" t="str">
        <f>IFERROR(__xludf.DUMMYFUNCTION("""COMPUTED_VALUE""")," ---")</f>
        <v> ---</v>
      </c>
      <c r="G192" s="4" t="str">
        <f>IFERROR(__xludf.DUMMYFUNCTION("""COMPUTED_VALUE"""),"SUSE Linux Enterprise Server 15 SP3")</f>
        <v>SUSE Linux Enterprise Server 15 SP3</v>
      </c>
      <c r="H192" s="7" t="str">
        <f t="shared" si="2"/>
        <v>NO</v>
      </c>
      <c r="I192" s="7" t="str">
        <f t="shared" si="3"/>
        <v>NO</v>
      </c>
    </row>
    <row r="193">
      <c r="A193" s="4">
        <f>IFERROR(__xludf.DUMMYFUNCTION("""COMPUTED_VALUE"""),1182871.0)</f>
        <v>1182871</v>
      </c>
      <c r="B193" s="4" t="str">
        <f>IFERROR(__xludf.DUMMYFUNCTION("""COMPUTED_VALUE"""),"P2 - High")</f>
        <v>P2 - High</v>
      </c>
      <c r="C193" s="5">
        <f>IFERROR(__xludf.DUMMYFUNCTION("""COMPUTED_VALUE"""),44256.66693287037)</f>
        <v>44256.66693</v>
      </c>
      <c r="D193" s="4" t="str">
        <f>IFERROR(__xludf.DUMMYFUNCTION("""COMPUTED_VALUE"""),"RESOLVED")</f>
        <v>RESOLVED</v>
      </c>
      <c r="E193" s="6">
        <f>IFERROR(__xludf.DUMMYFUNCTION("""COMPUTED_VALUE"""),44365.260659722226)</f>
        <v>44365.26066</v>
      </c>
      <c r="F193" s="4" t="str">
        <f>IFERROR(__xludf.DUMMYFUNCTION("""COMPUTED_VALUE""")," ---")</f>
        <v> ---</v>
      </c>
      <c r="G193" s="4" t="str">
        <f>IFERROR(__xludf.DUMMYFUNCTION("""COMPUTED_VALUE"""),"SUSE Linux Enterprise Server 15 SP3")</f>
        <v>SUSE Linux Enterprise Server 15 SP3</v>
      </c>
      <c r="H193" s="7" t="str">
        <f t="shared" si="2"/>
        <v>NO</v>
      </c>
      <c r="I193" s="7" t="str">
        <f t="shared" si="3"/>
        <v>NO</v>
      </c>
    </row>
    <row r="194">
      <c r="A194" s="4">
        <f>IFERROR(__xludf.DUMMYFUNCTION("""COMPUTED_VALUE"""),1184180.0)</f>
        <v>1184180</v>
      </c>
      <c r="B194" s="4" t="str">
        <f>IFERROR(__xludf.DUMMYFUNCTION("""COMPUTED_VALUE"""),"P2 - High")</f>
        <v>P2 - High</v>
      </c>
      <c r="C194" s="5">
        <f>IFERROR(__xludf.DUMMYFUNCTION("""COMPUTED_VALUE"""),44285.70238425926)</f>
        <v>44285.70238</v>
      </c>
      <c r="D194" s="4" t="str">
        <f>IFERROR(__xludf.DUMMYFUNCTION("""COMPUTED_VALUE"""),"RESOLVED")</f>
        <v>RESOLVED</v>
      </c>
      <c r="E194" s="6">
        <f>IFERROR(__xludf.DUMMYFUNCTION("""COMPUTED_VALUE"""),44482.55912037037)</f>
        <v>44482.55912</v>
      </c>
      <c r="F194" s="4" t="str">
        <f>IFERROR(__xludf.DUMMYFUNCTION("""COMPUTED_VALUE""")," ---")</f>
        <v> ---</v>
      </c>
      <c r="G194" s="4" t="str">
        <f>IFERROR(__xludf.DUMMYFUNCTION("""COMPUTED_VALUE"""),"SUSE Linux Enterprise Server 15 SP3")</f>
        <v>SUSE Linux Enterprise Server 15 SP3</v>
      </c>
      <c r="H194" s="7" t="str">
        <f t="shared" si="2"/>
        <v>NO</v>
      </c>
      <c r="I194" s="7" t="str">
        <f t="shared" si="3"/>
        <v>NO</v>
      </c>
    </row>
    <row r="195">
      <c r="A195" s="4">
        <f>IFERROR(__xludf.DUMMYFUNCTION("""COMPUTED_VALUE"""),1185489.0)</f>
        <v>1185489</v>
      </c>
      <c r="B195" s="4" t="str">
        <f>IFERROR(__xludf.DUMMYFUNCTION("""COMPUTED_VALUE"""),"P2 - High")</f>
        <v>P2 - High</v>
      </c>
      <c r="C195" s="5">
        <f>IFERROR(__xludf.DUMMYFUNCTION("""COMPUTED_VALUE"""),44316.189467592594)</f>
        <v>44316.18947</v>
      </c>
      <c r="D195" s="4" t="str">
        <f>IFERROR(__xludf.DUMMYFUNCTION("""COMPUTED_VALUE"""),"RESOLVED")</f>
        <v>RESOLVED</v>
      </c>
      <c r="E195" s="6">
        <f>IFERROR(__xludf.DUMMYFUNCTION("""COMPUTED_VALUE"""),44364.23484953704)</f>
        <v>44364.23485</v>
      </c>
      <c r="F195" s="4" t="str">
        <f>IFERROR(__xludf.DUMMYFUNCTION("""COMPUTED_VALUE""")," ---")</f>
        <v> ---</v>
      </c>
      <c r="G195" s="4" t="str">
        <f>IFERROR(__xludf.DUMMYFUNCTION("""COMPUTED_VALUE"""),"PUBLIC SUSE Linux Enterprise Server 15 SP3")</f>
        <v>PUBLIC SUSE Linux Enterprise Server 15 SP3</v>
      </c>
      <c r="H195" s="7" t="str">
        <f t="shared" si="2"/>
        <v>NO</v>
      </c>
      <c r="I195" s="7" t="str">
        <f t="shared" si="3"/>
        <v>NO</v>
      </c>
    </row>
    <row r="196">
      <c r="A196" s="4">
        <f>IFERROR(__xludf.DUMMYFUNCTION("""COMPUTED_VALUE"""),1187093.0)</f>
        <v>1187093</v>
      </c>
      <c r="B196" s="4" t="str">
        <f>IFERROR(__xludf.DUMMYFUNCTION("""COMPUTED_VALUE"""),"P2 - High")</f>
        <v>P2 - High</v>
      </c>
      <c r="C196" s="5">
        <f>IFERROR(__xludf.DUMMYFUNCTION("""COMPUTED_VALUE"""),44356.347974537035)</f>
        <v>44356.34797</v>
      </c>
      <c r="D196" s="4" t="str">
        <f>IFERROR(__xludf.DUMMYFUNCTION("""COMPUTED_VALUE"""),"RESOLVED")</f>
        <v>RESOLVED</v>
      </c>
      <c r="E196" s="6">
        <f>IFERROR(__xludf.DUMMYFUNCTION("""COMPUTED_VALUE"""),44397.40152777778)</f>
        <v>44397.40153</v>
      </c>
      <c r="F196" s="4" t="str">
        <f>IFERROR(__xludf.DUMMYFUNCTION("""COMPUTED_VALUE""")," ---")</f>
        <v> ---</v>
      </c>
      <c r="G196" s="4" t="str">
        <f>IFERROR(__xludf.DUMMYFUNCTION("""COMPUTED_VALUE"""),"SUSE Linux Enterprise Server 15 SP3")</f>
        <v>SUSE Linux Enterprise Server 15 SP3</v>
      </c>
      <c r="H196" s="7" t="str">
        <f t="shared" si="2"/>
        <v>NO</v>
      </c>
      <c r="I196" s="7" t="str">
        <f t="shared" si="3"/>
        <v>NO</v>
      </c>
    </row>
    <row r="197">
      <c r="A197" s="4">
        <f>IFERROR(__xludf.DUMMYFUNCTION("""COMPUTED_VALUE"""),1184760.0)</f>
        <v>1184760</v>
      </c>
      <c r="B197" s="4" t="str">
        <f>IFERROR(__xludf.DUMMYFUNCTION("""COMPUTED_VALUE"""),"P2 - High")</f>
        <v>P2 - High</v>
      </c>
      <c r="C197" s="5">
        <f>IFERROR(__xludf.DUMMYFUNCTION("""COMPUTED_VALUE"""),44300.681655092594)</f>
        <v>44300.68166</v>
      </c>
      <c r="D197" s="4" t="str">
        <f>IFERROR(__xludf.DUMMYFUNCTION("""COMPUTED_VALUE"""),"RESOLVED")</f>
        <v>RESOLVED</v>
      </c>
      <c r="E197" s="6">
        <f>IFERROR(__xludf.DUMMYFUNCTION("""COMPUTED_VALUE"""),44484.47405092593)</f>
        <v>44484.47405</v>
      </c>
      <c r="F197" s="4" t="str">
        <f>IFERROR(__xludf.DUMMYFUNCTION("""COMPUTED_VALUE""")," ---")</f>
        <v> ---</v>
      </c>
      <c r="G197" s="4" t="str">
        <f>IFERROR(__xludf.DUMMYFUNCTION("""COMPUTED_VALUE"""),"SUSE Linux Enterprise Server 15 SP3")</f>
        <v>SUSE Linux Enterprise Server 15 SP3</v>
      </c>
      <c r="H197" s="7" t="str">
        <f t="shared" si="2"/>
        <v>NO</v>
      </c>
      <c r="I197" s="7" t="str">
        <f t="shared" si="3"/>
        <v>NO</v>
      </c>
    </row>
    <row r="198">
      <c r="A198" s="4">
        <f>IFERROR(__xludf.DUMMYFUNCTION("""COMPUTED_VALUE"""),1180848.0)</f>
        <v>1180848</v>
      </c>
      <c r="B198" s="4" t="str">
        <f>IFERROR(__xludf.DUMMYFUNCTION("""COMPUTED_VALUE"""),"P2 - High")</f>
        <v>P2 - High</v>
      </c>
      <c r="C198" s="5">
        <f>IFERROR(__xludf.DUMMYFUNCTION("""COMPUTED_VALUE"""),44209.16872685185)</f>
        <v>44209.16873</v>
      </c>
      <c r="D198" s="4" t="str">
        <f>IFERROR(__xludf.DUMMYFUNCTION("""COMPUTED_VALUE"""),"RESOLVED")</f>
        <v>RESOLVED</v>
      </c>
      <c r="E198" s="6">
        <f>IFERROR(__xludf.DUMMYFUNCTION("""COMPUTED_VALUE"""),44384.86578703704)</f>
        <v>44384.86579</v>
      </c>
      <c r="F198" s="4" t="str">
        <f>IFERROR(__xludf.DUMMYFUNCTION("""COMPUTED_VALUE""")," ---")</f>
        <v> ---</v>
      </c>
      <c r="G198" s="4" t="str">
        <f>IFERROR(__xludf.DUMMYFUNCTION("""COMPUTED_VALUE"""),"SUSE Linux Enterprise Server 15 SP3")</f>
        <v>SUSE Linux Enterprise Server 15 SP3</v>
      </c>
      <c r="H198" s="7" t="str">
        <f t="shared" si="2"/>
        <v>NO</v>
      </c>
      <c r="I198" s="7" t="str">
        <f t="shared" si="3"/>
        <v>NO</v>
      </c>
    </row>
    <row r="199">
      <c r="A199" s="4">
        <f>IFERROR(__xludf.DUMMYFUNCTION("""COMPUTED_VALUE"""),1184777.0)</f>
        <v>1184777</v>
      </c>
      <c r="B199" s="4" t="str">
        <f>IFERROR(__xludf.DUMMYFUNCTION("""COMPUTED_VALUE"""),"P2 - High")</f>
        <v>P2 - High</v>
      </c>
      <c r="C199" s="5">
        <f>IFERROR(__xludf.DUMMYFUNCTION("""COMPUTED_VALUE"""),44301.34349537037)</f>
        <v>44301.3435</v>
      </c>
      <c r="D199" s="4" t="str">
        <f>IFERROR(__xludf.DUMMYFUNCTION("""COMPUTED_VALUE"""),"RESOLVED")</f>
        <v>RESOLVED</v>
      </c>
      <c r="E199" s="6">
        <f>IFERROR(__xludf.DUMMYFUNCTION("""COMPUTED_VALUE"""),44578.490625)</f>
        <v>44578.49063</v>
      </c>
      <c r="F199" s="4" t="str">
        <f>IFERROR(__xludf.DUMMYFUNCTION("""COMPUTED_VALUE""")," ---")</f>
        <v> ---</v>
      </c>
      <c r="G199" s="4" t="str">
        <f>IFERROR(__xludf.DUMMYFUNCTION("""COMPUTED_VALUE"""),"SUSE Linux Enterprise Server 15 SP3")</f>
        <v>SUSE Linux Enterprise Server 15 SP3</v>
      </c>
      <c r="H199" s="7" t="str">
        <f t="shared" si="2"/>
        <v>NO</v>
      </c>
      <c r="I199" s="7" t="str">
        <f t="shared" si="3"/>
        <v>NO</v>
      </c>
    </row>
    <row r="200">
      <c r="A200" s="4">
        <f>IFERROR(__xludf.DUMMYFUNCTION("""COMPUTED_VALUE"""),1178852.0)</f>
        <v>1178852</v>
      </c>
      <c r="B200" s="4" t="str">
        <f>IFERROR(__xludf.DUMMYFUNCTION("""COMPUTED_VALUE"""),"P2 - High")</f>
        <v>P2 - High</v>
      </c>
      <c r="C200" s="5">
        <f>IFERROR(__xludf.DUMMYFUNCTION("""COMPUTED_VALUE"""),44151.744780092595)</f>
        <v>44151.74478</v>
      </c>
      <c r="D200" s="4" t="str">
        <f>IFERROR(__xludf.DUMMYFUNCTION("""COMPUTED_VALUE"""),"RESOLVED")</f>
        <v>RESOLVED</v>
      </c>
      <c r="E200" s="6">
        <f>IFERROR(__xludf.DUMMYFUNCTION("""COMPUTED_VALUE"""),44384.85858796296)</f>
        <v>44384.85859</v>
      </c>
      <c r="F200" s="4" t="str">
        <f>IFERROR(__xludf.DUMMYFUNCTION("""COMPUTED_VALUE""")," ---")</f>
        <v> ---</v>
      </c>
      <c r="G200" s="4" t="str">
        <f>IFERROR(__xludf.DUMMYFUNCTION("""COMPUTED_VALUE"""),"SUSE Linux Enterprise Server 15 SP3")</f>
        <v>SUSE Linux Enterprise Server 15 SP3</v>
      </c>
      <c r="H200" s="7" t="str">
        <f t="shared" si="2"/>
        <v>NO</v>
      </c>
      <c r="I200" s="7" t="str">
        <f t="shared" si="3"/>
        <v>NO</v>
      </c>
    </row>
    <row r="201">
      <c r="A201" s="4">
        <f>IFERROR(__xludf.DUMMYFUNCTION("""COMPUTED_VALUE"""),1176587.0)</f>
        <v>1176587</v>
      </c>
      <c r="B201" s="4" t="str">
        <f>IFERROR(__xludf.DUMMYFUNCTION("""COMPUTED_VALUE"""),"P2 - High")</f>
        <v>P2 - High</v>
      </c>
      <c r="C201" s="5">
        <f>IFERROR(__xludf.DUMMYFUNCTION("""COMPUTED_VALUE"""),44090.37596064815)</f>
        <v>44090.37596</v>
      </c>
      <c r="D201" s="4" t="str">
        <f>IFERROR(__xludf.DUMMYFUNCTION("""COMPUTED_VALUE"""),"RESOLVED")</f>
        <v>RESOLVED</v>
      </c>
      <c r="E201" s="6">
        <f>IFERROR(__xludf.DUMMYFUNCTION("""COMPUTED_VALUE"""),44384.84851851852)</f>
        <v>44384.84852</v>
      </c>
      <c r="F201" s="4" t="str">
        <f>IFERROR(__xludf.DUMMYFUNCTION("""COMPUTED_VALUE""")," ---")</f>
        <v> ---</v>
      </c>
      <c r="G201" s="4" t="str">
        <f>IFERROR(__xludf.DUMMYFUNCTION("""COMPUTED_VALUE"""),"SUSE Linux Enterprise Server 15 SP3")</f>
        <v>SUSE Linux Enterprise Server 15 SP3</v>
      </c>
      <c r="H201" s="7" t="str">
        <f t="shared" si="2"/>
        <v>NO</v>
      </c>
      <c r="I201" s="7" t="str">
        <f t="shared" si="3"/>
        <v>NO</v>
      </c>
    </row>
    <row r="202">
      <c r="A202" s="4">
        <f>IFERROR(__xludf.DUMMYFUNCTION("""COMPUTED_VALUE"""),1180261.0)</f>
        <v>1180261</v>
      </c>
      <c r="B202" s="4" t="str">
        <f>IFERROR(__xludf.DUMMYFUNCTION("""COMPUTED_VALUE"""),"P2 - High")</f>
        <v>P2 - High</v>
      </c>
      <c r="C202" s="5">
        <f>IFERROR(__xludf.DUMMYFUNCTION("""COMPUTED_VALUE"""),44186.49549768519)</f>
        <v>44186.4955</v>
      </c>
      <c r="D202" s="4" t="str">
        <f>IFERROR(__xludf.DUMMYFUNCTION("""COMPUTED_VALUE"""),"RESOLVED")</f>
        <v>RESOLVED</v>
      </c>
      <c r="E202" s="6">
        <f>IFERROR(__xludf.DUMMYFUNCTION("""COMPUTED_VALUE"""),44384.86425925926)</f>
        <v>44384.86426</v>
      </c>
      <c r="F202" s="4" t="str">
        <f>IFERROR(__xludf.DUMMYFUNCTION("""COMPUTED_VALUE""")," ---")</f>
        <v> ---</v>
      </c>
      <c r="G202" s="4" t="str">
        <f>IFERROR(__xludf.DUMMYFUNCTION("""COMPUTED_VALUE"""),"SUSE Linux Enterprise Server 15 SP3")</f>
        <v>SUSE Linux Enterprise Server 15 SP3</v>
      </c>
      <c r="H202" s="7" t="str">
        <f t="shared" si="2"/>
        <v>NO</v>
      </c>
      <c r="I202" s="7" t="str">
        <f t="shared" si="3"/>
        <v>NO</v>
      </c>
    </row>
    <row r="203">
      <c r="A203" s="4">
        <f>IFERROR(__xludf.DUMMYFUNCTION("""COMPUTED_VALUE"""),1175052.0)</f>
        <v>1175052</v>
      </c>
      <c r="B203" s="4" t="str">
        <f>IFERROR(__xludf.DUMMYFUNCTION("""COMPUTED_VALUE"""),"P2 - High")</f>
        <v>P2 - High</v>
      </c>
      <c r="C203" s="5">
        <f>IFERROR(__xludf.DUMMYFUNCTION("""COMPUTED_VALUE"""),44053.41888888889)</f>
        <v>44053.41889</v>
      </c>
      <c r="D203" s="4" t="str">
        <f>IFERROR(__xludf.DUMMYFUNCTION("""COMPUTED_VALUE"""),"RESOLVED")</f>
        <v>RESOLVED</v>
      </c>
      <c r="E203" s="6">
        <f>IFERROR(__xludf.DUMMYFUNCTION("""COMPUTED_VALUE"""),44482.55824074074)</f>
        <v>44482.55824</v>
      </c>
      <c r="F203" s="4" t="str">
        <f>IFERROR(__xludf.DUMMYFUNCTION("""COMPUTED_VALUE""")," ---")</f>
        <v> ---</v>
      </c>
      <c r="G203" s="4" t="str">
        <f>IFERROR(__xludf.DUMMYFUNCTION("""COMPUTED_VALUE"""),"SUSE Linux Enterprise Server 15 SP3")</f>
        <v>SUSE Linux Enterprise Server 15 SP3</v>
      </c>
      <c r="H203" s="7" t="str">
        <f t="shared" si="2"/>
        <v>NO</v>
      </c>
      <c r="I203" s="7" t="str">
        <f t="shared" si="3"/>
        <v>NO</v>
      </c>
    </row>
    <row r="204">
      <c r="A204" s="4">
        <f>IFERROR(__xludf.DUMMYFUNCTION("""COMPUTED_VALUE"""),1176915.0)</f>
        <v>1176915</v>
      </c>
      <c r="B204" s="4" t="str">
        <f>IFERROR(__xludf.DUMMYFUNCTION("""COMPUTED_VALUE"""),"P2 - High")</f>
        <v>P2 - High</v>
      </c>
      <c r="C204" s="5">
        <f>IFERROR(__xludf.DUMMYFUNCTION("""COMPUTED_VALUE"""),44098.51400462963)</f>
        <v>44098.514</v>
      </c>
      <c r="D204" s="4" t="str">
        <f>IFERROR(__xludf.DUMMYFUNCTION("""COMPUTED_VALUE"""),"RESOLVED")</f>
        <v>RESOLVED</v>
      </c>
      <c r="E204" s="6">
        <f>IFERROR(__xludf.DUMMYFUNCTION("""COMPUTED_VALUE"""),44175.64)</f>
        <v>44175.64</v>
      </c>
      <c r="F204" s="4" t="str">
        <f>IFERROR(__xludf.DUMMYFUNCTION("""COMPUTED_VALUE""")," ---")</f>
        <v> ---</v>
      </c>
      <c r="G204" s="4" t="str">
        <f>IFERROR(__xludf.DUMMYFUNCTION("""COMPUTED_VALUE"""),"SUSE Linux Enterprise Server 15 SP3")</f>
        <v>SUSE Linux Enterprise Server 15 SP3</v>
      </c>
      <c r="H204" s="7" t="str">
        <f t="shared" si="2"/>
        <v>NO</v>
      </c>
      <c r="I204" s="7" t="str">
        <f t="shared" si="3"/>
        <v>NO</v>
      </c>
    </row>
    <row r="205">
      <c r="A205" s="4">
        <f>IFERROR(__xludf.DUMMYFUNCTION("""COMPUTED_VALUE"""),1176917.0)</f>
        <v>1176917</v>
      </c>
      <c r="B205" s="4" t="str">
        <f>IFERROR(__xludf.DUMMYFUNCTION("""COMPUTED_VALUE"""),"P2 - High")</f>
        <v>P2 - High</v>
      </c>
      <c r="C205" s="5">
        <f>IFERROR(__xludf.DUMMYFUNCTION("""COMPUTED_VALUE"""),44098.514872685184)</f>
        <v>44098.51487</v>
      </c>
      <c r="D205" s="4" t="str">
        <f>IFERROR(__xludf.DUMMYFUNCTION("""COMPUTED_VALUE"""),"RESOLVED")</f>
        <v>RESOLVED</v>
      </c>
      <c r="E205" s="6">
        <f>IFERROR(__xludf.DUMMYFUNCTION("""COMPUTED_VALUE"""),44146.44505787037)</f>
        <v>44146.44506</v>
      </c>
      <c r="F205" s="4" t="str">
        <f>IFERROR(__xludf.DUMMYFUNCTION("""COMPUTED_VALUE""")," ---")</f>
        <v> ---</v>
      </c>
      <c r="G205" s="4" t="str">
        <f>IFERROR(__xludf.DUMMYFUNCTION("""COMPUTED_VALUE"""),"SUSE Linux Enterprise Server 15 SP3")</f>
        <v>SUSE Linux Enterprise Server 15 SP3</v>
      </c>
      <c r="H205" s="7" t="str">
        <f t="shared" si="2"/>
        <v>NO</v>
      </c>
      <c r="I205" s="7" t="str">
        <f t="shared" si="3"/>
        <v>NO</v>
      </c>
    </row>
    <row r="206">
      <c r="A206" s="4">
        <f>IFERROR(__xludf.DUMMYFUNCTION("""COMPUTED_VALUE"""),1179243.0)</f>
        <v>1179243</v>
      </c>
      <c r="B206" s="4" t="str">
        <f>IFERROR(__xludf.DUMMYFUNCTION("""COMPUTED_VALUE"""),"P2 - High")</f>
        <v>P2 - High</v>
      </c>
      <c r="C206" s="5">
        <f>IFERROR(__xludf.DUMMYFUNCTION("""COMPUTED_VALUE"""),44161.410208333335)</f>
        <v>44161.41021</v>
      </c>
      <c r="D206" s="4" t="str">
        <f>IFERROR(__xludf.DUMMYFUNCTION("""COMPUTED_VALUE"""),"RESOLVED")</f>
        <v>RESOLVED</v>
      </c>
      <c r="E206" s="6">
        <f>IFERROR(__xludf.DUMMYFUNCTION("""COMPUTED_VALUE"""),44425.681284722225)</f>
        <v>44425.68128</v>
      </c>
      <c r="F206" s="4" t="str">
        <f>IFERROR(__xludf.DUMMYFUNCTION("""COMPUTED_VALUE""")," ---")</f>
        <v> ---</v>
      </c>
      <c r="G206" s="4" t="str">
        <f>IFERROR(__xludf.DUMMYFUNCTION("""COMPUTED_VALUE"""),"SUSE Linux Enterprise Server 15 SP3")</f>
        <v>SUSE Linux Enterprise Server 15 SP3</v>
      </c>
      <c r="H206" s="7" t="str">
        <f t="shared" si="2"/>
        <v>NO</v>
      </c>
      <c r="I206" s="7" t="str">
        <f t="shared" si="3"/>
        <v>NO</v>
      </c>
    </row>
    <row r="207">
      <c r="A207" s="4">
        <f>IFERROR(__xludf.DUMMYFUNCTION("""COMPUTED_VALUE"""),1179887.0)</f>
        <v>1179887</v>
      </c>
      <c r="B207" s="4" t="str">
        <f>IFERROR(__xludf.DUMMYFUNCTION("""COMPUTED_VALUE"""),"P2 - High")</f>
        <v>P2 - High</v>
      </c>
      <c r="C207" s="5">
        <f>IFERROR(__xludf.DUMMYFUNCTION("""COMPUTED_VALUE"""),44175.50780092592)</f>
        <v>44175.5078</v>
      </c>
      <c r="D207" s="4" t="str">
        <f>IFERROR(__xludf.DUMMYFUNCTION("""COMPUTED_VALUE"""),"RESOLVED")</f>
        <v>RESOLVED</v>
      </c>
      <c r="E207" s="6">
        <f>IFERROR(__xludf.DUMMYFUNCTION("""COMPUTED_VALUE"""),44362.629965277774)</f>
        <v>44362.62997</v>
      </c>
      <c r="F207" s="4" t="str">
        <f>IFERROR(__xludf.DUMMYFUNCTION("""COMPUTED_VALUE""")," ---")</f>
        <v> ---</v>
      </c>
      <c r="G207" s="4" t="str">
        <f>IFERROR(__xludf.DUMMYFUNCTION("""COMPUTED_VALUE"""),"SUSE Linux Enterprise Server 15 SP3")</f>
        <v>SUSE Linux Enterprise Server 15 SP3</v>
      </c>
      <c r="H207" s="7" t="str">
        <f t="shared" si="2"/>
        <v>NO</v>
      </c>
      <c r="I207" s="7" t="str">
        <f t="shared" si="3"/>
        <v>NO</v>
      </c>
    </row>
    <row r="208">
      <c r="A208" s="4">
        <f>IFERROR(__xludf.DUMMYFUNCTION("""COMPUTED_VALUE"""),1179888.0)</f>
        <v>1179888</v>
      </c>
      <c r="B208" s="4" t="str">
        <f>IFERROR(__xludf.DUMMYFUNCTION("""COMPUTED_VALUE"""),"P2 - High")</f>
        <v>P2 - High</v>
      </c>
      <c r="C208" s="5">
        <f>IFERROR(__xludf.DUMMYFUNCTION("""COMPUTED_VALUE"""),44175.51467592592)</f>
        <v>44175.51468</v>
      </c>
      <c r="D208" s="4" t="str">
        <f>IFERROR(__xludf.DUMMYFUNCTION("""COMPUTED_VALUE"""),"RESOLVED")</f>
        <v>RESOLVED</v>
      </c>
      <c r="E208" s="6">
        <f>IFERROR(__xludf.DUMMYFUNCTION("""COMPUTED_VALUE"""),44362.6300462963)</f>
        <v>44362.63005</v>
      </c>
      <c r="F208" s="4" t="str">
        <f>IFERROR(__xludf.DUMMYFUNCTION("""COMPUTED_VALUE""")," ---")</f>
        <v> ---</v>
      </c>
      <c r="G208" s="4" t="str">
        <f>IFERROR(__xludf.DUMMYFUNCTION("""COMPUTED_VALUE"""),"SUSE Linux Enterprise Server 15 SP3")</f>
        <v>SUSE Linux Enterprise Server 15 SP3</v>
      </c>
      <c r="H208" s="7" t="str">
        <f t="shared" si="2"/>
        <v>NO</v>
      </c>
      <c r="I208" s="7" t="str">
        <f t="shared" si="3"/>
        <v>NO</v>
      </c>
    </row>
    <row r="209">
      <c r="A209" s="4">
        <f>IFERROR(__xludf.DUMMYFUNCTION("""COMPUTED_VALUE"""),1179896.0)</f>
        <v>1179896</v>
      </c>
      <c r="B209" s="4" t="str">
        <f>IFERROR(__xludf.DUMMYFUNCTION("""COMPUTED_VALUE"""),"P2 - High")</f>
        <v>P2 - High</v>
      </c>
      <c r="C209" s="5">
        <f>IFERROR(__xludf.DUMMYFUNCTION("""COMPUTED_VALUE"""),44175.59789351852)</f>
        <v>44175.59789</v>
      </c>
      <c r="D209" s="4" t="str">
        <f>IFERROR(__xludf.DUMMYFUNCTION("""COMPUTED_VALUE"""),"RESOLVED")</f>
        <v>RESOLVED</v>
      </c>
      <c r="E209" s="6">
        <f>IFERROR(__xludf.DUMMYFUNCTION("""COMPUTED_VALUE"""),44362.630208333336)</f>
        <v>44362.63021</v>
      </c>
      <c r="F209" s="4" t="str">
        <f>IFERROR(__xludf.DUMMYFUNCTION("""COMPUTED_VALUE""")," ---")</f>
        <v> ---</v>
      </c>
      <c r="G209" s="4" t="str">
        <f>IFERROR(__xludf.DUMMYFUNCTION("""COMPUTED_VALUE"""),"SUSE Linux Enterprise Server 15 SP3")</f>
        <v>SUSE Linux Enterprise Server 15 SP3</v>
      </c>
      <c r="H209" s="7" t="str">
        <f t="shared" si="2"/>
        <v>NO</v>
      </c>
      <c r="I209" s="7" t="str">
        <f t="shared" si="3"/>
        <v>NO</v>
      </c>
    </row>
    <row r="210">
      <c r="A210" s="4">
        <f>IFERROR(__xludf.DUMMYFUNCTION("""COMPUTED_VALUE"""),1179929.0)</f>
        <v>1179929</v>
      </c>
      <c r="B210" s="4" t="str">
        <f>IFERROR(__xludf.DUMMYFUNCTION("""COMPUTED_VALUE"""),"P2 - High")</f>
        <v>P2 - High</v>
      </c>
      <c r="C210" s="5">
        <f>IFERROR(__xludf.DUMMYFUNCTION("""COMPUTED_VALUE"""),44176.362222222226)</f>
        <v>44176.36222</v>
      </c>
      <c r="D210" s="4" t="str">
        <f>IFERROR(__xludf.DUMMYFUNCTION("""COMPUTED_VALUE"""),"RESOLVED")</f>
        <v>RESOLVED</v>
      </c>
      <c r="E210" s="6">
        <f>IFERROR(__xludf.DUMMYFUNCTION("""COMPUTED_VALUE"""),44384.86351851852)</f>
        <v>44384.86352</v>
      </c>
      <c r="F210" s="4" t="str">
        <f>IFERROR(__xludf.DUMMYFUNCTION("""COMPUTED_VALUE"""),"Yes")</f>
        <v>Yes</v>
      </c>
      <c r="G210" s="4" t="str">
        <f>IFERROR(__xludf.DUMMYFUNCTION("""COMPUTED_VALUE"""),"SUSE Linux Enterprise Server 15 SP3")</f>
        <v>SUSE Linux Enterprise Server 15 SP3</v>
      </c>
      <c r="H210" s="7" t="str">
        <f t="shared" si="2"/>
        <v>NO</v>
      </c>
      <c r="I210" s="7" t="str">
        <f t="shared" si="3"/>
        <v>NO</v>
      </c>
    </row>
    <row r="211">
      <c r="A211" s="4">
        <f>IFERROR(__xludf.DUMMYFUNCTION("""COMPUTED_VALUE"""),1179950.0)</f>
        <v>1179950</v>
      </c>
      <c r="B211" s="4" t="str">
        <f>IFERROR(__xludf.DUMMYFUNCTION("""COMPUTED_VALUE"""),"P2 - High")</f>
        <v>P2 - High</v>
      </c>
      <c r="C211" s="5">
        <f>IFERROR(__xludf.DUMMYFUNCTION("""COMPUTED_VALUE"""),44176.55642361111)</f>
        <v>44176.55642</v>
      </c>
      <c r="D211" s="4" t="str">
        <f>IFERROR(__xludf.DUMMYFUNCTION("""COMPUTED_VALUE"""),"RESOLVED")</f>
        <v>RESOLVED</v>
      </c>
      <c r="E211" s="6">
        <f>IFERROR(__xludf.DUMMYFUNCTION("""COMPUTED_VALUE"""),44384.863587962966)</f>
        <v>44384.86359</v>
      </c>
      <c r="F211" s="4" t="str">
        <f>IFERROR(__xludf.DUMMYFUNCTION("""COMPUTED_VALUE""")," ---")</f>
        <v> ---</v>
      </c>
      <c r="G211" s="4" t="str">
        <f>IFERROR(__xludf.DUMMYFUNCTION("""COMPUTED_VALUE"""),"SUSE Linux Enterprise Server 15 SP3")</f>
        <v>SUSE Linux Enterprise Server 15 SP3</v>
      </c>
      <c r="H211" s="7" t="str">
        <f t="shared" si="2"/>
        <v>NO</v>
      </c>
      <c r="I211" s="7" t="str">
        <f t="shared" si="3"/>
        <v>NO</v>
      </c>
    </row>
    <row r="212">
      <c r="A212" s="4">
        <f>IFERROR(__xludf.DUMMYFUNCTION("""COMPUTED_VALUE"""),1180072.0)</f>
        <v>1180072</v>
      </c>
      <c r="B212" s="4" t="str">
        <f>IFERROR(__xludf.DUMMYFUNCTION("""COMPUTED_VALUE"""),"P2 - High")</f>
        <v>P2 - High</v>
      </c>
      <c r="C212" s="5">
        <f>IFERROR(__xludf.DUMMYFUNCTION("""COMPUTED_VALUE"""),44181.0490625)</f>
        <v>44181.04906</v>
      </c>
      <c r="D212" s="4" t="str">
        <f>IFERROR(__xludf.DUMMYFUNCTION("""COMPUTED_VALUE"""),"RESOLVED")</f>
        <v>RESOLVED</v>
      </c>
      <c r="E212" s="6">
        <f>IFERROR(__xludf.DUMMYFUNCTION("""COMPUTED_VALUE"""),44384.86373842593)</f>
        <v>44384.86374</v>
      </c>
      <c r="F212" s="4" t="str">
        <f>IFERROR(__xludf.DUMMYFUNCTION("""COMPUTED_VALUE""")," ---")</f>
        <v> ---</v>
      </c>
      <c r="G212" s="4" t="str">
        <f>IFERROR(__xludf.DUMMYFUNCTION("""COMPUTED_VALUE"""),"SUSE Linux Enterprise Server 15 SP3")</f>
        <v>SUSE Linux Enterprise Server 15 SP3</v>
      </c>
      <c r="H212" s="7" t="str">
        <f t="shared" si="2"/>
        <v>NO</v>
      </c>
      <c r="I212" s="7" t="str">
        <f t="shared" si="3"/>
        <v>NO</v>
      </c>
    </row>
    <row r="213">
      <c r="A213" s="4">
        <f>IFERROR(__xludf.DUMMYFUNCTION("""COMPUTED_VALUE"""),1180100.0)</f>
        <v>1180100</v>
      </c>
      <c r="B213" s="4" t="str">
        <f>IFERROR(__xludf.DUMMYFUNCTION("""COMPUTED_VALUE"""),"P2 - High")</f>
        <v>P2 - High</v>
      </c>
      <c r="C213" s="5">
        <f>IFERROR(__xludf.DUMMYFUNCTION("""COMPUTED_VALUE"""),44181.45211805555)</f>
        <v>44181.45212</v>
      </c>
      <c r="D213" s="4" t="str">
        <f>IFERROR(__xludf.DUMMYFUNCTION("""COMPUTED_VALUE"""),"RESOLVED")</f>
        <v>RESOLVED</v>
      </c>
      <c r="E213" s="6">
        <f>IFERROR(__xludf.DUMMYFUNCTION("""COMPUTED_VALUE"""),44736.68188657407)</f>
        <v>44736.68189</v>
      </c>
      <c r="F213" s="4" t="str">
        <f>IFERROR(__xludf.DUMMYFUNCTION("""COMPUTED_VALUE""")," ---")</f>
        <v> ---</v>
      </c>
      <c r="G213" s="4" t="str">
        <f>IFERROR(__xludf.DUMMYFUNCTION("""COMPUTED_VALUE"""),"SUSE Linux Enterprise Server 15 SP3")</f>
        <v>SUSE Linux Enterprise Server 15 SP3</v>
      </c>
      <c r="H213" s="7" t="str">
        <f t="shared" si="2"/>
        <v>NO</v>
      </c>
      <c r="I213" s="7" t="str">
        <f t="shared" si="3"/>
        <v>NO</v>
      </c>
    </row>
    <row r="214">
      <c r="A214" s="4">
        <f>IFERROR(__xludf.DUMMYFUNCTION("""COMPUTED_VALUE"""),1180567.0)</f>
        <v>1180567</v>
      </c>
      <c r="B214" s="4" t="str">
        <f>IFERROR(__xludf.DUMMYFUNCTION("""COMPUTED_VALUE"""),"P2 - High")</f>
        <v>P2 - High</v>
      </c>
      <c r="C214" s="5">
        <f>IFERROR(__xludf.DUMMYFUNCTION("""COMPUTED_VALUE"""),44201.44552083333)</f>
        <v>44201.44552</v>
      </c>
      <c r="D214" s="4" t="str">
        <f>IFERROR(__xludf.DUMMYFUNCTION("""COMPUTED_VALUE"""),"RESOLVED")</f>
        <v>RESOLVED</v>
      </c>
      <c r="E214" s="6">
        <f>IFERROR(__xludf.DUMMYFUNCTION("""COMPUTED_VALUE"""),44384.864953703705)</f>
        <v>44384.86495</v>
      </c>
      <c r="F214" s="4" t="str">
        <f>IFERROR(__xludf.DUMMYFUNCTION("""COMPUTED_VALUE""")," ---")</f>
        <v> ---</v>
      </c>
      <c r="G214" s="4" t="str">
        <f>IFERROR(__xludf.DUMMYFUNCTION("""COMPUTED_VALUE"""),"SUSE Linux Enterprise Server 15 SP3")</f>
        <v>SUSE Linux Enterprise Server 15 SP3</v>
      </c>
      <c r="H214" s="7" t="str">
        <f t="shared" si="2"/>
        <v>YES</v>
      </c>
      <c r="I214" s="7" t="str">
        <f t="shared" si="3"/>
        <v>NO</v>
      </c>
    </row>
    <row r="215">
      <c r="A215" s="4">
        <f>IFERROR(__xludf.DUMMYFUNCTION("""COMPUTED_VALUE"""),1180581.0)</f>
        <v>1180581</v>
      </c>
      <c r="B215" s="4" t="str">
        <f>IFERROR(__xludf.DUMMYFUNCTION("""COMPUTED_VALUE"""),"P2 - High")</f>
        <v>P2 - High</v>
      </c>
      <c r="C215" s="5">
        <f>IFERROR(__xludf.DUMMYFUNCTION("""COMPUTED_VALUE"""),44201.57019675926)</f>
        <v>44201.5702</v>
      </c>
      <c r="D215" s="4" t="str">
        <f>IFERROR(__xludf.DUMMYFUNCTION("""COMPUTED_VALUE"""),"RESOLVED")</f>
        <v>RESOLVED</v>
      </c>
      <c r="E215" s="6">
        <f>IFERROR(__xludf.DUMMYFUNCTION("""COMPUTED_VALUE"""),44384.86502314815)</f>
        <v>44384.86502</v>
      </c>
      <c r="F215" s="4" t="str">
        <f>IFERROR(__xludf.DUMMYFUNCTION("""COMPUTED_VALUE""")," ---")</f>
        <v> ---</v>
      </c>
      <c r="G215" s="4" t="str">
        <f>IFERROR(__xludf.DUMMYFUNCTION("""COMPUTED_VALUE"""),"SUSE Linux Enterprise Server 15 SP3")</f>
        <v>SUSE Linux Enterprise Server 15 SP3</v>
      </c>
      <c r="H215" s="7" t="str">
        <f t="shared" si="2"/>
        <v>YES</v>
      </c>
      <c r="I215" s="7" t="str">
        <f t="shared" si="3"/>
        <v>NO</v>
      </c>
    </row>
    <row r="216">
      <c r="A216" s="4">
        <f>IFERROR(__xludf.DUMMYFUNCTION("""COMPUTED_VALUE"""),1180814.0)</f>
        <v>1180814</v>
      </c>
      <c r="B216" s="4" t="str">
        <f>IFERROR(__xludf.DUMMYFUNCTION("""COMPUTED_VALUE"""),"P2 - High")</f>
        <v>P2 - High</v>
      </c>
      <c r="C216" s="5">
        <f>IFERROR(__xludf.DUMMYFUNCTION("""COMPUTED_VALUE"""),44208.41768518519)</f>
        <v>44208.41769</v>
      </c>
      <c r="D216" s="4" t="str">
        <f>IFERROR(__xludf.DUMMYFUNCTION("""COMPUTED_VALUE"""),"RESOLVED")</f>
        <v>RESOLVED</v>
      </c>
      <c r="E216" s="6">
        <f>IFERROR(__xludf.DUMMYFUNCTION("""COMPUTED_VALUE"""),44736.46365740741)</f>
        <v>44736.46366</v>
      </c>
      <c r="F216" s="4" t="str">
        <f>IFERROR(__xludf.DUMMYFUNCTION("""COMPUTED_VALUE""")," ---")</f>
        <v> ---</v>
      </c>
      <c r="G216" s="4" t="str">
        <f>IFERROR(__xludf.DUMMYFUNCTION("""COMPUTED_VALUE"""),"SUSE Linux Enterprise Server 15 SP3")</f>
        <v>SUSE Linux Enterprise Server 15 SP3</v>
      </c>
      <c r="H216" s="7" t="str">
        <f t="shared" si="2"/>
        <v>NO</v>
      </c>
      <c r="I216" s="7" t="str">
        <f t="shared" si="3"/>
        <v>NO</v>
      </c>
    </row>
    <row r="217">
      <c r="A217" s="4">
        <f>IFERROR(__xludf.DUMMYFUNCTION("""COMPUTED_VALUE"""),1181148.0)</f>
        <v>1181148</v>
      </c>
      <c r="B217" s="4" t="str">
        <f>IFERROR(__xludf.DUMMYFUNCTION("""COMPUTED_VALUE"""),"P2 - High")</f>
        <v>P2 - High</v>
      </c>
      <c r="C217" s="5">
        <f>IFERROR(__xludf.DUMMYFUNCTION("""COMPUTED_VALUE"""),44216.3269212963)</f>
        <v>44216.32692</v>
      </c>
      <c r="D217" s="4" t="str">
        <f>IFERROR(__xludf.DUMMYFUNCTION("""COMPUTED_VALUE"""),"RESOLVED")</f>
        <v>RESOLVED</v>
      </c>
      <c r="E217" s="6">
        <f>IFERROR(__xludf.DUMMYFUNCTION("""COMPUTED_VALUE"""),44697.531956018516)</f>
        <v>44697.53196</v>
      </c>
      <c r="F217" s="4" t="str">
        <f>IFERROR(__xludf.DUMMYFUNCTION("""COMPUTED_VALUE""")," ---")</f>
        <v> ---</v>
      </c>
      <c r="G217" s="4" t="str">
        <f>IFERROR(__xludf.DUMMYFUNCTION("""COMPUTED_VALUE"""),"SUSE Linux Enterprise Server 15 SP3")</f>
        <v>SUSE Linux Enterprise Server 15 SP3</v>
      </c>
      <c r="H217" s="7" t="str">
        <f t="shared" si="2"/>
        <v>NO</v>
      </c>
      <c r="I217" s="7" t="str">
        <f t="shared" si="3"/>
        <v>NO</v>
      </c>
    </row>
    <row r="218">
      <c r="A218" s="4">
        <f>IFERROR(__xludf.DUMMYFUNCTION("""COMPUTED_VALUE"""),1181158.0)</f>
        <v>1181158</v>
      </c>
      <c r="B218" s="4" t="str">
        <f>IFERROR(__xludf.DUMMYFUNCTION("""COMPUTED_VALUE"""),"P2 - High")</f>
        <v>P2 - High</v>
      </c>
      <c r="C218" s="5">
        <f>IFERROR(__xludf.DUMMYFUNCTION("""COMPUTED_VALUE"""),44216.41079861111)</f>
        <v>44216.4108</v>
      </c>
      <c r="D218" s="4" t="str">
        <f>IFERROR(__xludf.DUMMYFUNCTION("""COMPUTED_VALUE"""),"RESOLVED")</f>
        <v>RESOLVED</v>
      </c>
      <c r="E218" s="6">
        <f>IFERROR(__xludf.DUMMYFUNCTION("""COMPUTED_VALUE"""),44536.75922453704)</f>
        <v>44536.75922</v>
      </c>
      <c r="F218" s="4" t="str">
        <f>IFERROR(__xludf.DUMMYFUNCTION("""COMPUTED_VALUE""")," ---")</f>
        <v> ---</v>
      </c>
      <c r="G218" s="4" t="str">
        <f>IFERROR(__xludf.DUMMYFUNCTION("""COMPUTED_VALUE"""),"SUSE Linux Enterprise Server 15 SP3")</f>
        <v>SUSE Linux Enterprise Server 15 SP3</v>
      </c>
      <c r="H218" s="7" t="str">
        <f t="shared" si="2"/>
        <v>NO</v>
      </c>
      <c r="I218" s="7" t="str">
        <f t="shared" si="3"/>
        <v>NO</v>
      </c>
    </row>
    <row r="219">
      <c r="A219" s="4">
        <f>IFERROR(__xludf.DUMMYFUNCTION("""COMPUTED_VALUE"""),1181203.0)</f>
        <v>1181203</v>
      </c>
      <c r="B219" s="4" t="str">
        <f>IFERROR(__xludf.DUMMYFUNCTION("""COMPUTED_VALUE"""),"P2 - High")</f>
        <v>P2 - High</v>
      </c>
      <c r="C219" s="5">
        <f>IFERROR(__xludf.DUMMYFUNCTION("""COMPUTED_VALUE"""),44217.369259259256)</f>
        <v>44217.36926</v>
      </c>
      <c r="D219" s="4" t="str">
        <f>IFERROR(__xludf.DUMMYFUNCTION("""COMPUTED_VALUE"""),"RESOLVED")</f>
        <v>RESOLVED</v>
      </c>
      <c r="E219" s="6">
        <f>IFERROR(__xludf.DUMMYFUNCTION("""COMPUTED_VALUE"""),44384.86703703704)</f>
        <v>44384.86704</v>
      </c>
      <c r="F219" s="4" t="str">
        <f>IFERROR(__xludf.DUMMYFUNCTION("""COMPUTED_VALUE""")," ---")</f>
        <v> ---</v>
      </c>
      <c r="G219" s="4" t="str">
        <f>IFERROR(__xludf.DUMMYFUNCTION("""COMPUTED_VALUE"""),"SUSE Linux Enterprise Server 15 SP3")</f>
        <v>SUSE Linux Enterprise Server 15 SP3</v>
      </c>
      <c r="H219" s="7" t="str">
        <f t="shared" si="2"/>
        <v>NO</v>
      </c>
      <c r="I219" s="7" t="str">
        <f t="shared" si="3"/>
        <v>NO</v>
      </c>
    </row>
    <row r="220">
      <c r="A220" s="4">
        <f>IFERROR(__xludf.DUMMYFUNCTION("""COMPUTED_VALUE"""),1181928.0)</f>
        <v>1181928</v>
      </c>
      <c r="B220" s="4" t="str">
        <f>IFERROR(__xludf.DUMMYFUNCTION("""COMPUTED_VALUE"""),"P2 - High")</f>
        <v>P2 - High</v>
      </c>
      <c r="C220" s="5">
        <f>IFERROR(__xludf.DUMMYFUNCTION("""COMPUTED_VALUE"""),44235.376076388886)</f>
        <v>44235.37608</v>
      </c>
      <c r="D220" s="4" t="str">
        <f>IFERROR(__xludf.DUMMYFUNCTION("""COMPUTED_VALUE"""),"RESOLVED")</f>
        <v>RESOLVED</v>
      </c>
      <c r="E220" s="6">
        <f>IFERROR(__xludf.DUMMYFUNCTION("""COMPUTED_VALUE"""),44384.87037037037)</f>
        <v>44384.87037</v>
      </c>
      <c r="F220" s="4" t="str">
        <f>IFERROR(__xludf.DUMMYFUNCTION("""COMPUTED_VALUE""")," ---")</f>
        <v> ---</v>
      </c>
      <c r="G220" s="4" t="str">
        <f>IFERROR(__xludf.DUMMYFUNCTION("""COMPUTED_VALUE"""),"SUSE Linux Enterprise Server 15 SP3")</f>
        <v>SUSE Linux Enterprise Server 15 SP3</v>
      </c>
      <c r="H220" s="7" t="str">
        <f t="shared" si="2"/>
        <v>NO</v>
      </c>
      <c r="I220" s="7" t="str">
        <f t="shared" si="3"/>
        <v>NO</v>
      </c>
    </row>
    <row r="221">
      <c r="A221" s="4">
        <f>IFERROR(__xludf.DUMMYFUNCTION("""COMPUTED_VALUE"""),1181960.0)</f>
        <v>1181960</v>
      </c>
      <c r="B221" s="4" t="str">
        <f>IFERROR(__xludf.DUMMYFUNCTION("""COMPUTED_VALUE"""),"P2 - High")</f>
        <v>P2 - High</v>
      </c>
      <c r="C221" s="5">
        <f>IFERROR(__xludf.DUMMYFUNCTION("""COMPUTED_VALUE"""),44235.722858796296)</f>
        <v>44235.72286</v>
      </c>
      <c r="D221" s="4" t="str">
        <f>IFERROR(__xludf.DUMMYFUNCTION("""COMPUTED_VALUE"""),"RESOLVED")</f>
        <v>RESOLVED</v>
      </c>
      <c r="E221" s="6">
        <f>IFERROR(__xludf.DUMMYFUNCTION("""COMPUTED_VALUE"""),44624.92888888889)</f>
        <v>44624.92889</v>
      </c>
      <c r="F221" s="4" t="str">
        <f>IFERROR(__xludf.DUMMYFUNCTION("""COMPUTED_VALUE""")," ---")</f>
        <v> ---</v>
      </c>
      <c r="G221" s="4" t="str">
        <f>IFERROR(__xludf.DUMMYFUNCTION("""COMPUTED_VALUE"""),"SUSE Linux Enterprise Server 15 SP3")</f>
        <v>SUSE Linux Enterprise Server 15 SP3</v>
      </c>
      <c r="H221" s="7" t="str">
        <f t="shared" si="2"/>
        <v>NO</v>
      </c>
      <c r="I221" s="7" t="str">
        <f t="shared" si="3"/>
        <v>NO</v>
      </c>
    </row>
    <row r="222">
      <c r="A222" s="4">
        <f>IFERROR(__xludf.DUMMYFUNCTION("""COMPUTED_VALUE"""),1181985.0)</f>
        <v>1181985</v>
      </c>
      <c r="B222" s="4" t="str">
        <f>IFERROR(__xludf.DUMMYFUNCTION("""COMPUTED_VALUE"""),"P2 - High")</f>
        <v>P2 - High</v>
      </c>
      <c r="C222" s="5">
        <f>IFERROR(__xludf.DUMMYFUNCTION("""COMPUTED_VALUE"""),44236.425578703704)</f>
        <v>44236.42558</v>
      </c>
      <c r="D222" s="4" t="str">
        <f>IFERROR(__xludf.DUMMYFUNCTION("""COMPUTED_VALUE"""),"RESOLVED")</f>
        <v>RESOLVED</v>
      </c>
      <c r="E222" s="6">
        <f>IFERROR(__xludf.DUMMYFUNCTION("""COMPUTED_VALUE"""),44384.870520833334)</f>
        <v>44384.87052</v>
      </c>
      <c r="F222" s="4" t="str">
        <f>IFERROR(__xludf.DUMMYFUNCTION("""COMPUTED_VALUE""")," ---")</f>
        <v> ---</v>
      </c>
      <c r="G222" s="4" t="str">
        <f>IFERROR(__xludf.DUMMYFUNCTION("""COMPUTED_VALUE"""),"SUSE Linux Enterprise Server 15 SP3")</f>
        <v>SUSE Linux Enterprise Server 15 SP3</v>
      </c>
      <c r="H222" s="7" t="str">
        <f t="shared" si="2"/>
        <v>NO</v>
      </c>
      <c r="I222" s="7" t="str">
        <f t="shared" si="3"/>
        <v>NO</v>
      </c>
    </row>
    <row r="223">
      <c r="A223" s="4">
        <f>IFERROR(__xludf.DUMMYFUNCTION("""COMPUTED_VALUE"""),1183662.0)</f>
        <v>1183662</v>
      </c>
      <c r="B223" s="4" t="str">
        <f>IFERROR(__xludf.DUMMYFUNCTION("""COMPUTED_VALUE"""),"P2 - High")</f>
        <v>P2 - High</v>
      </c>
      <c r="C223" s="5">
        <f>IFERROR(__xludf.DUMMYFUNCTION("""COMPUTED_VALUE"""),44272.68341435185)</f>
        <v>44272.68341</v>
      </c>
      <c r="D223" s="4" t="str">
        <f>IFERROR(__xludf.DUMMYFUNCTION("""COMPUTED_VALUE"""),"RESOLVED")</f>
        <v>RESOLVED</v>
      </c>
      <c r="E223" s="6">
        <f>IFERROR(__xludf.DUMMYFUNCTION("""COMPUTED_VALUE"""),44388.725)</f>
        <v>44388.725</v>
      </c>
      <c r="F223" s="4" t="str">
        <f>IFERROR(__xludf.DUMMYFUNCTION("""COMPUTED_VALUE"""),"Yes")</f>
        <v>Yes</v>
      </c>
      <c r="G223" s="4" t="str">
        <f>IFERROR(__xludf.DUMMYFUNCTION("""COMPUTED_VALUE"""),"SUSE Linux Enterprise Server 15 SP3")</f>
        <v>SUSE Linux Enterprise Server 15 SP3</v>
      </c>
      <c r="H223" s="7" t="str">
        <f t="shared" si="2"/>
        <v>NO</v>
      </c>
      <c r="I223" s="7" t="str">
        <f t="shared" si="3"/>
        <v>NO</v>
      </c>
    </row>
    <row r="224">
      <c r="A224" s="4">
        <f>IFERROR(__xludf.DUMMYFUNCTION("""COMPUTED_VALUE"""),1184209.0)</f>
        <v>1184209</v>
      </c>
      <c r="B224" s="4" t="str">
        <f>IFERROR(__xludf.DUMMYFUNCTION("""COMPUTED_VALUE"""),"P2 - High")</f>
        <v>P2 - High</v>
      </c>
      <c r="C224" s="5">
        <f>IFERROR(__xludf.DUMMYFUNCTION("""COMPUTED_VALUE"""),44286.419537037036)</f>
        <v>44286.41954</v>
      </c>
      <c r="D224" s="4" t="str">
        <f>IFERROR(__xludf.DUMMYFUNCTION("""COMPUTED_VALUE"""),"RESOLVED")</f>
        <v>RESOLVED</v>
      </c>
      <c r="E224" s="6">
        <f>IFERROR(__xludf.DUMMYFUNCTION("""COMPUTED_VALUE"""),44701.34402777778)</f>
        <v>44701.34403</v>
      </c>
      <c r="F224" s="4" t="str">
        <f>IFERROR(__xludf.DUMMYFUNCTION("""COMPUTED_VALUE""")," ---")</f>
        <v> ---</v>
      </c>
      <c r="G224" s="4" t="str">
        <f>IFERROR(__xludf.DUMMYFUNCTION("""COMPUTED_VALUE"""),"SUSE Linux Enterprise Server 15 SP3")</f>
        <v>SUSE Linux Enterprise Server 15 SP3</v>
      </c>
      <c r="H224" s="7" t="str">
        <f t="shared" si="2"/>
        <v>NO</v>
      </c>
      <c r="I224" s="7" t="str">
        <f t="shared" si="3"/>
        <v>NO</v>
      </c>
    </row>
    <row r="225">
      <c r="A225" s="4">
        <f>IFERROR(__xludf.DUMMYFUNCTION("""COMPUTED_VALUE"""),1184350.0)</f>
        <v>1184350</v>
      </c>
      <c r="B225" s="4" t="str">
        <f>IFERROR(__xludf.DUMMYFUNCTION("""COMPUTED_VALUE"""),"P2 - High")</f>
        <v>P2 - High</v>
      </c>
      <c r="C225" s="5">
        <f>IFERROR(__xludf.DUMMYFUNCTION("""COMPUTED_VALUE"""),44292.340995370374)</f>
        <v>44292.341</v>
      </c>
      <c r="D225" s="4" t="str">
        <f>IFERROR(__xludf.DUMMYFUNCTION("""COMPUTED_VALUE"""),"RESOLVED")</f>
        <v>RESOLVED</v>
      </c>
      <c r="E225" s="6">
        <f>IFERROR(__xludf.DUMMYFUNCTION("""COMPUTED_VALUE"""),44425.681666666664)</f>
        <v>44425.68167</v>
      </c>
      <c r="F225" s="4" t="str">
        <f>IFERROR(__xludf.DUMMYFUNCTION("""COMPUTED_VALUE""")," ---")</f>
        <v> ---</v>
      </c>
      <c r="G225" s="4" t="str">
        <f>IFERROR(__xludf.DUMMYFUNCTION("""COMPUTED_VALUE"""),"SUSE Linux Enterprise Server 15 SP3")</f>
        <v>SUSE Linux Enterprise Server 15 SP3</v>
      </c>
      <c r="H225" s="7" t="str">
        <f t="shared" si="2"/>
        <v>NO</v>
      </c>
      <c r="I225" s="7" t="str">
        <f t="shared" si="3"/>
        <v>NO</v>
      </c>
    </row>
    <row r="226">
      <c r="A226" s="4">
        <f>IFERROR(__xludf.DUMMYFUNCTION("""COMPUTED_VALUE"""),1184615.0)</f>
        <v>1184615</v>
      </c>
      <c r="B226" s="4" t="str">
        <f>IFERROR(__xludf.DUMMYFUNCTION("""COMPUTED_VALUE"""),"P2 - High")</f>
        <v>P2 - High</v>
      </c>
      <c r="C226" s="5">
        <f>IFERROR(__xludf.DUMMYFUNCTION("""COMPUTED_VALUE"""),44298.536412037036)</f>
        <v>44298.53641</v>
      </c>
      <c r="D226" s="4" t="str">
        <f>IFERROR(__xludf.DUMMYFUNCTION("""COMPUTED_VALUE"""),"RESOLVED")</f>
        <v>RESOLVED</v>
      </c>
      <c r="E226" s="6">
        <f>IFERROR(__xludf.DUMMYFUNCTION("""COMPUTED_VALUE"""),44388.728483796294)</f>
        <v>44388.72848</v>
      </c>
      <c r="F226" s="4" t="str">
        <f>IFERROR(__xludf.DUMMYFUNCTION("""COMPUTED_VALUE"""),"Yes")</f>
        <v>Yes</v>
      </c>
      <c r="G226" s="4" t="str">
        <f>IFERROR(__xludf.DUMMYFUNCTION("""COMPUTED_VALUE"""),"SUSE Linux Enterprise Server 15 SP3")</f>
        <v>SUSE Linux Enterprise Server 15 SP3</v>
      </c>
      <c r="H226" s="7" t="str">
        <f t="shared" si="2"/>
        <v>NO</v>
      </c>
      <c r="I226" s="7" t="str">
        <f t="shared" si="3"/>
        <v>NO</v>
      </c>
    </row>
    <row r="227">
      <c r="A227" s="4">
        <f>IFERROR(__xludf.DUMMYFUNCTION("""COMPUTED_VALUE"""),1185550.0)</f>
        <v>1185550</v>
      </c>
      <c r="B227" s="4" t="str">
        <f>IFERROR(__xludf.DUMMYFUNCTION("""COMPUTED_VALUE"""),"P2 - High")</f>
        <v>P2 - High</v>
      </c>
      <c r="C227" s="5">
        <f>IFERROR(__xludf.DUMMYFUNCTION("""COMPUTED_VALUE"""),44319.32760416667)</f>
        <v>44319.3276</v>
      </c>
      <c r="D227" s="4" t="str">
        <f>IFERROR(__xludf.DUMMYFUNCTION("""COMPUTED_VALUE"""),"RESOLVED")</f>
        <v>RESOLVED</v>
      </c>
      <c r="E227" s="6">
        <f>IFERROR(__xludf.DUMMYFUNCTION("""COMPUTED_VALUE"""),44489.6081712963)</f>
        <v>44489.60817</v>
      </c>
      <c r="F227" s="4" t="str">
        <f>IFERROR(__xludf.DUMMYFUNCTION("""COMPUTED_VALUE"""),"Yes")</f>
        <v>Yes</v>
      </c>
      <c r="G227" s="4" t="str">
        <f>IFERROR(__xludf.DUMMYFUNCTION("""COMPUTED_VALUE"""),"SUSE Linux Enterprise Server 15 SP3")</f>
        <v>SUSE Linux Enterprise Server 15 SP3</v>
      </c>
      <c r="H227" s="7" t="str">
        <f t="shared" si="2"/>
        <v>NO</v>
      </c>
      <c r="I227" s="7" t="str">
        <f t="shared" si="3"/>
        <v>NO</v>
      </c>
    </row>
    <row r="228">
      <c r="A228" s="4">
        <f>IFERROR(__xludf.DUMMYFUNCTION("""COMPUTED_VALUE"""),1186460.0)</f>
        <v>1186460</v>
      </c>
      <c r="B228" s="4" t="str">
        <f>IFERROR(__xludf.DUMMYFUNCTION("""COMPUTED_VALUE"""),"P2 - High")</f>
        <v>P2 - High</v>
      </c>
      <c r="C228" s="5">
        <f>IFERROR(__xludf.DUMMYFUNCTION("""COMPUTED_VALUE"""),44342.3203125)</f>
        <v>44342.32031</v>
      </c>
      <c r="D228" s="4" t="str">
        <f>IFERROR(__xludf.DUMMYFUNCTION("""COMPUTED_VALUE"""),"RESOLVED")</f>
        <v>RESOLVED</v>
      </c>
      <c r="E228" s="6">
        <f>IFERROR(__xludf.DUMMYFUNCTION("""COMPUTED_VALUE"""),44435.67486111111)</f>
        <v>44435.67486</v>
      </c>
      <c r="F228" s="4" t="str">
        <f>IFERROR(__xludf.DUMMYFUNCTION("""COMPUTED_VALUE""")," ---")</f>
        <v> ---</v>
      </c>
      <c r="G228" s="4" t="str">
        <f>IFERROR(__xludf.DUMMYFUNCTION("""COMPUTED_VALUE"""),"SUSE Linux Enterprise Server 15 SP3")</f>
        <v>SUSE Linux Enterprise Server 15 SP3</v>
      </c>
      <c r="H228" s="7" t="str">
        <f t="shared" si="2"/>
        <v>NO</v>
      </c>
      <c r="I228" s="7" t="str">
        <f t="shared" si="3"/>
        <v>NO</v>
      </c>
    </row>
    <row r="229">
      <c r="A229" s="4">
        <f>IFERROR(__xludf.DUMMYFUNCTION("""COMPUTED_VALUE"""),1187541.0)</f>
        <v>1187541</v>
      </c>
      <c r="B229" s="4" t="str">
        <f>IFERROR(__xludf.DUMMYFUNCTION("""COMPUTED_VALUE"""),"P2 - High")</f>
        <v>P2 - High</v>
      </c>
      <c r="C229" s="5">
        <f>IFERROR(__xludf.DUMMYFUNCTION("""COMPUTED_VALUE"""),44368.438425925924)</f>
        <v>44368.43843</v>
      </c>
      <c r="D229" s="4" t="str">
        <f>IFERROR(__xludf.DUMMYFUNCTION("""COMPUTED_VALUE"""),"RESOLVED")</f>
        <v>RESOLVED</v>
      </c>
      <c r="E229" s="6">
        <f>IFERROR(__xludf.DUMMYFUNCTION("""COMPUTED_VALUE"""),44688.680451388886)</f>
        <v>44688.68045</v>
      </c>
      <c r="F229" s="4" t="str">
        <f>IFERROR(__xludf.DUMMYFUNCTION("""COMPUTED_VALUE"""),"Yes")</f>
        <v>Yes</v>
      </c>
      <c r="G229" s="4" t="str">
        <f>IFERROR(__xludf.DUMMYFUNCTION("""COMPUTED_VALUE"""),"SUSE Linux Enterprise Server 15 SP3")</f>
        <v>SUSE Linux Enterprise Server 15 SP3</v>
      </c>
      <c r="H229" s="7" t="str">
        <f t="shared" si="2"/>
        <v>NO</v>
      </c>
      <c r="I229" s="7" t="str">
        <f t="shared" si="3"/>
        <v>NO</v>
      </c>
    </row>
    <row r="230">
      <c r="A230" s="4">
        <f>IFERROR(__xludf.DUMMYFUNCTION("""COMPUTED_VALUE"""),1179474.0)</f>
        <v>1179474</v>
      </c>
      <c r="B230" s="4" t="str">
        <f>IFERROR(__xludf.DUMMYFUNCTION("""COMPUTED_VALUE"""),"P2 - High")</f>
        <v>P2 - High</v>
      </c>
      <c r="C230" s="5">
        <f>IFERROR(__xludf.DUMMYFUNCTION("""COMPUTED_VALUE"""),44166.62287037037)</f>
        <v>44166.62287</v>
      </c>
      <c r="D230" s="4" t="str">
        <f>IFERROR(__xludf.DUMMYFUNCTION("""COMPUTED_VALUE"""),"RESOLVED")</f>
        <v>RESOLVED</v>
      </c>
      <c r="E230" s="6">
        <f>IFERROR(__xludf.DUMMYFUNCTION("""COMPUTED_VALUE"""),44383.60083333333)</f>
        <v>44383.60083</v>
      </c>
      <c r="F230" s="4" t="str">
        <f>IFERROR(__xludf.DUMMYFUNCTION("""COMPUTED_VALUE""")," ---")</f>
        <v> ---</v>
      </c>
      <c r="G230" s="4" t="str">
        <f>IFERROR(__xludf.DUMMYFUNCTION("""COMPUTED_VALUE"""),"SUSE Linux Enterprise Server 15 SP3")</f>
        <v>SUSE Linux Enterprise Server 15 SP3</v>
      </c>
      <c r="H230" s="7" t="str">
        <f t="shared" si="2"/>
        <v>NO</v>
      </c>
      <c r="I230" s="7" t="str">
        <f t="shared" si="3"/>
        <v>NO</v>
      </c>
    </row>
    <row r="231">
      <c r="A231" s="4">
        <f>IFERROR(__xludf.DUMMYFUNCTION("""COMPUTED_VALUE"""),1180477.0)</f>
        <v>1180477</v>
      </c>
      <c r="B231" s="4" t="str">
        <f>IFERROR(__xludf.DUMMYFUNCTION("""COMPUTED_VALUE"""),"P2 - High")</f>
        <v>P2 - High</v>
      </c>
      <c r="C231" s="5">
        <f>IFERROR(__xludf.DUMMYFUNCTION("""COMPUTED_VALUE"""),44196.428148148145)</f>
        <v>44196.42815</v>
      </c>
      <c r="D231" s="4" t="str">
        <f>IFERROR(__xludf.DUMMYFUNCTION("""COMPUTED_VALUE"""),"RESOLVED")</f>
        <v>RESOLVED</v>
      </c>
      <c r="E231" s="6">
        <f>IFERROR(__xludf.DUMMYFUNCTION("""COMPUTED_VALUE"""),44365.262025462966)</f>
        <v>44365.26203</v>
      </c>
      <c r="F231" s="4" t="str">
        <f>IFERROR(__xludf.DUMMYFUNCTION("""COMPUTED_VALUE""")," ---")</f>
        <v> ---</v>
      </c>
      <c r="G231" s="4" t="str">
        <f>IFERROR(__xludf.DUMMYFUNCTION("""COMPUTED_VALUE"""),"SUSE Linux Enterprise Server 15 SP3")</f>
        <v>SUSE Linux Enterprise Server 15 SP3</v>
      </c>
      <c r="H231" s="7" t="str">
        <f t="shared" si="2"/>
        <v>YES</v>
      </c>
      <c r="I231" s="7" t="str">
        <f t="shared" si="3"/>
        <v>NO</v>
      </c>
    </row>
    <row r="232">
      <c r="A232" s="4">
        <f>IFERROR(__xludf.DUMMYFUNCTION("""COMPUTED_VALUE"""),1176732.0)</f>
        <v>1176732</v>
      </c>
      <c r="B232" s="4" t="str">
        <f>IFERROR(__xludf.DUMMYFUNCTION("""COMPUTED_VALUE"""),"P2 - High")</f>
        <v>P2 - High</v>
      </c>
      <c r="C232" s="5">
        <f>IFERROR(__xludf.DUMMYFUNCTION("""COMPUTED_VALUE"""),44092.86591435185)</f>
        <v>44092.86591</v>
      </c>
      <c r="D232" s="4" t="str">
        <f>IFERROR(__xludf.DUMMYFUNCTION("""COMPUTED_VALUE"""),"RESOLVED")</f>
        <v>RESOLVED</v>
      </c>
      <c r="E232" s="6">
        <f>IFERROR(__xludf.DUMMYFUNCTION("""COMPUTED_VALUE"""),44624.92675925926)</f>
        <v>44624.92676</v>
      </c>
      <c r="F232" s="4" t="str">
        <f>IFERROR(__xludf.DUMMYFUNCTION("""COMPUTED_VALUE""")," ---")</f>
        <v> ---</v>
      </c>
      <c r="G232" s="4" t="str">
        <f>IFERROR(__xludf.DUMMYFUNCTION("""COMPUTED_VALUE"""),"SUSE Linux Enterprise Server 15 SP3")</f>
        <v>SUSE Linux Enterprise Server 15 SP3</v>
      </c>
      <c r="H232" s="7" t="str">
        <f t="shared" si="2"/>
        <v>NO</v>
      </c>
      <c r="I232" s="7" t="str">
        <f t="shared" si="3"/>
        <v>NO</v>
      </c>
    </row>
    <row r="233">
      <c r="A233" s="4">
        <f>IFERROR(__xludf.DUMMYFUNCTION("""COMPUTED_VALUE"""),1184129.0)</f>
        <v>1184129</v>
      </c>
      <c r="B233" s="4" t="str">
        <f>IFERROR(__xludf.DUMMYFUNCTION("""COMPUTED_VALUE"""),"P2 - High")</f>
        <v>P2 - High</v>
      </c>
      <c r="C233" s="5">
        <f>IFERROR(__xludf.DUMMYFUNCTION("""COMPUTED_VALUE"""),44284.554502314815)</f>
        <v>44284.5545</v>
      </c>
      <c r="D233" s="4" t="str">
        <f>IFERROR(__xludf.DUMMYFUNCTION("""COMPUTED_VALUE"""),"RESOLVED")</f>
        <v>RESOLVED</v>
      </c>
      <c r="E233" s="6">
        <f>IFERROR(__xludf.DUMMYFUNCTION("""COMPUTED_VALUE"""),44384.88327546296)</f>
        <v>44384.88328</v>
      </c>
      <c r="F233" s="4" t="str">
        <f>IFERROR(__xludf.DUMMYFUNCTION("""COMPUTED_VALUE""")," ---")</f>
        <v> ---</v>
      </c>
      <c r="G233" s="4" t="str">
        <f>IFERROR(__xludf.DUMMYFUNCTION("""COMPUTED_VALUE"""),"SUSE Linux Enterprise Server 15 SP3")</f>
        <v>SUSE Linux Enterprise Server 15 SP3</v>
      </c>
      <c r="H233" s="7" t="str">
        <f t="shared" si="2"/>
        <v>NO</v>
      </c>
      <c r="I233" s="7" t="str">
        <f t="shared" si="3"/>
        <v>NO</v>
      </c>
    </row>
    <row r="234">
      <c r="A234" s="4">
        <f>IFERROR(__xludf.DUMMYFUNCTION("""COMPUTED_VALUE"""),1184706.0)</f>
        <v>1184706</v>
      </c>
      <c r="B234" s="4" t="str">
        <f>IFERROR(__xludf.DUMMYFUNCTION("""COMPUTED_VALUE"""),"P2 - High")</f>
        <v>P2 - High</v>
      </c>
      <c r="C234" s="5">
        <f>IFERROR(__xludf.DUMMYFUNCTION("""COMPUTED_VALUE"""),44300.3621412037)</f>
        <v>44300.36214</v>
      </c>
      <c r="D234" s="4" t="str">
        <f>IFERROR(__xludf.DUMMYFUNCTION("""COMPUTED_VALUE"""),"RESOLVED")</f>
        <v>RESOLVED</v>
      </c>
      <c r="E234" s="6">
        <f>IFERROR(__xludf.DUMMYFUNCTION("""COMPUTED_VALUE"""),44349.56313657408)</f>
        <v>44349.56314</v>
      </c>
      <c r="F234" s="4" t="str">
        <f>IFERROR(__xludf.DUMMYFUNCTION("""COMPUTED_VALUE""")," ---")</f>
        <v> ---</v>
      </c>
      <c r="G234" s="4" t="str">
        <f>IFERROR(__xludf.DUMMYFUNCTION("""COMPUTED_VALUE"""),"SUSE Linux Enterprise Server 15 SP3")</f>
        <v>SUSE Linux Enterprise Server 15 SP3</v>
      </c>
      <c r="H234" s="7" t="str">
        <f t="shared" si="2"/>
        <v>NO</v>
      </c>
      <c r="I234" s="7" t="str">
        <f t="shared" si="3"/>
        <v>NO</v>
      </c>
    </row>
    <row r="235">
      <c r="A235" s="4">
        <f>IFERROR(__xludf.DUMMYFUNCTION("""COMPUTED_VALUE"""),1182955.0)</f>
        <v>1182955</v>
      </c>
      <c r="B235" s="4" t="str">
        <f>IFERROR(__xludf.DUMMYFUNCTION("""COMPUTED_VALUE"""),"P2 - High")</f>
        <v>P2 - High</v>
      </c>
      <c r="C235" s="5">
        <f>IFERROR(__xludf.DUMMYFUNCTION("""COMPUTED_VALUE"""),44258.3403125)</f>
        <v>44258.34031</v>
      </c>
      <c r="D235" s="4" t="str">
        <f>IFERROR(__xludf.DUMMYFUNCTION("""COMPUTED_VALUE"""),"RESOLVED")</f>
        <v>RESOLVED</v>
      </c>
      <c r="E235" s="6">
        <f>IFERROR(__xludf.DUMMYFUNCTION("""COMPUTED_VALUE"""),44421.533425925925)</f>
        <v>44421.53343</v>
      </c>
      <c r="F235" s="4" t="str">
        <f>IFERROR(__xludf.DUMMYFUNCTION("""COMPUTED_VALUE""")," ---")</f>
        <v> ---</v>
      </c>
      <c r="G235" s="4" t="str">
        <f>IFERROR(__xludf.DUMMYFUNCTION("""COMPUTED_VALUE"""),"SUSE Linux Enterprise Server 15 SP3")</f>
        <v>SUSE Linux Enterprise Server 15 SP3</v>
      </c>
      <c r="H235" s="7" t="str">
        <f t="shared" si="2"/>
        <v>NO</v>
      </c>
      <c r="I235" s="7" t="str">
        <f t="shared" si="3"/>
        <v>NO</v>
      </c>
    </row>
    <row r="236">
      <c r="A236" s="4">
        <f>IFERROR(__xludf.DUMMYFUNCTION("""COMPUTED_VALUE"""),1181719.0)</f>
        <v>1181719</v>
      </c>
      <c r="B236" s="4" t="str">
        <f>IFERROR(__xludf.DUMMYFUNCTION("""COMPUTED_VALUE"""),"P2 - High")</f>
        <v>P2 - High</v>
      </c>
      <c r="C236" s="5">
        <f>IFERROR(__xludf.DUMMYFUNCTION("""COMPUTED_VALUE"""),44230.300833333335)</f>
        <v>44230.30083</v>
      </c>
      <c r="D236" s="4" t="str">
        <f>IFERROR(__xludf.DUMMYFUNCTION("""COMPUTED_VALUE"""),"RESOLVED")</f>
        <v>RESOLVED</v>
      </c>
      <c r="E236" s="6">
        <f>IFERROR(__xludf.DUMMYFUNCTION("""COMPUTED_VALUE"""),44384.869525462964)</f>
        <v>44384.86953</v>
      </c>
      <c r="F236" s="4" t="str">
        <f>IFERROR(__xludf.DUMMYFUNCTION("""COMPUTED_VALUE""")," ---")</f>
        <v> ---</v>
      </c>
      <c r="G236" s="4" t="str">
        <f>IFERROR(__xludf.DUMMYFUNCTION("""COMPUTED_VALUE"""),"SUSE Linux Enterprise Server 15 SP3")</f>
        <v>SUSE Linux Enterprise Server 15 SP3</v>
      </c>
      <c r="H236" s="7" t="str">
        <f t="shared" si="2"/>
        <v>NO</v>
      </c>
      <c r="I236" s="7" t="str">
        <f t="shared" si="3"/>
        <v>NO</v>
      </c>
    </row>
    <row r="237">
      <c r="A237" s="4">
        <f>IFERROR(__xludf.DUMMYFUNCTION("""COMPUTED_VALUE"""),1178431.0)</f>
        <v>1178431</v>
      </c>
      <c r="B237" s="4" t="str">
        <f>IFERROR(__xludf.DUMMYFUNCTION("""COMPUTED_VALUE"""),"P2 - High")</f>
        <v>P2 - High</v>
      </c>
      <c r="C237" s="5">
        <f>IFERROR(__xludf.DUMMYFUNCTION("""COMPUTED_VALUE"""),44139.52730324074)</f>
        <v>44139.5273</v>
      </c>
      <c r="D237" s="4" t="str">
        <f>IFERROR(__xludf.DUMMYFUNCTION("""COMPUTED_VALUE"""),"RESOLVED")</f>
        <v>RESOLVED</v>
      </c>
      <c r="E237" s="6">
        <f>IFERROR(__xludf.DUMMYFUNCTION("""COMPUTED_VALUE"""),44384.85711805556)</f>
        <v>44384.85712</v>
      </c>
      <c r="F237" s="4" t="str">
        <f>IFERROR(__xludf.DUMMYFUNCTION("""COMPUTED_VALUE""")," ---")</f>
        <v> ---</v>
      </c>
      <c r="G237" s="4" t="str">
        <f>IFERROR(__xludf.DUMMYFUNCTION("""COMPUTED_VALUE"""),"SUSE Linux Enterprise Server 15 SP3")</f>
        <v>SUSE Linux Enterprise Server 15 SP3</v>
      </c>
      <c r="H237" s="7" t="str">
        <f t="shared" si="2"/>
        <v>NO</v>
      </c>
      <c r="I237" s="7" t="str">
        <f t="shared" si="3"/>
        <v>NO</v>
      </c>
    </row>
    <row r="238">
      <c r="A238" s="4">
        <f>IFERROR(__xludf.DUMMYFUNCTION("""COMPUTED_VALUE"""),1186417.0)</f>
        <v>1186417</v>
      </c>
      <c r="B238" s="4" t="str">
        <f>IFERROR(__xludf.DUMMYFUNCTION("""COMPUTED_VALUE"""),"P2 - High")</f>
        <v>P2 - High</v>
      </c>
      <c r="C238" s="5">
        <f>IFERROR(__xludf.DUMMYFUNCTION("""COMPUTED_VALUE"""),44341.52291666667)</f>
        <v>44341.52292</v>
      </c>
      <c r="D238" s="4" t="str">
        <f>IFERROR(__xludf.DUMMYFUNCTION("""COMPUTED_VALUE"""),"RESOLVED")</f>
        <v>RESOLVED</v>
      </c>
      <c r="E238" s="6">
        <f>IFERROR(__xludf.DUMMYFUNCTION("""COMPUTED_VALUE"""),44494.83804398148)</f>
        <v>44494.83804</v>
      </c>
      <c r="F238" s="4" t="str">
        <f>IFERROR(__xludf.DUMMYFUNCTION("""COMPUTED_VALUE""")," ---")</f>
        <v> ---</v>
      </c>
      <c r="G238" s="4" t="str">
        <f>IFERROR(__xludf.DUMMYFUNCTION("""COMPUTED_VALUE"""),"SUSE Linux Enterprise Server 15 SP3")</f>
        <v>SUSE Linux Enterprise Server 15 SP3</v>
      </c>
      <c r="H238" s="7" t="str">
        <f t="shared" si="2"/>
        <v>NO</v>
      </c>
      <c r="I238" s="7" t="str">
        <f t="shared" si="3"/>
        <v>NO</v>
      </c>
    </row>
    <row r="239">
      <c r="A239" s="4">
        <f>IFERROR(__xludf.DUMMYFUNCTION("""COMPUTED_VALUE"""),1179121.0)</f>
        <v>1179121</v>
      </c>
      <c r="B239" s="4" t="str">
        <f>IFERROR(__xludf.DUMMYFUNCTION("""COMPUTED_VALUE"""),"P2 - High")</f>
        <v>P2 - High</v>
      </c>
      <c r="C239" s="5">
        <f>IFERROR(__xludf.DUMMYFUNCTION("""COMPUTED_VALUE"""),44159.29814814815)</f>
        <v>44159.29815</v>
      </c>
      <c r="D239" s="4" t="str">
        <f>IFERROR(__xludf.DUMMYFUNCTION("""COMPUTED_VALUE"""),"RESOLVED")</f>
        <v>RESOLVED</v>
      </c>
      <c r="E239" s="6">
        <f>IFERROR(__xludf.DUMMYFUNCTION("""COMPUTED_VALUE"""),44365.264074074075)</f>
        <v>44365.26407</v>
      </c>
      <c r="F239" s="4" t="str">
        <f>IFERROR(__xludf.DUMMYFUNCTION("""COMPUTED_VALUE""")," ---")</f>
        <v> ---</v>
      </c>
      <c r="G239" s="4" t="str">
        <f>IFERROR(__xludf.DUMMYFUNCTION("""COMPUTED_VALUE"""),"SUSE Linux Enterprise Server 15 SP3")</f>
        <v>SUSE Linux Enterprise Server 15 SP3</v>
      </c>
      <c r="H239" s="7" t="str">
        <f t="shared" si="2"/>
        <v>NO</v>
      </c>
      <c r="I239" s="7" t="str">
        <f t="shared" si="3"/>
        <v>NO</v>
      </c>
    </row>
    <row r="240">
      <c r="A240" s="4">
        <f>IFERROR(__xludf.DUMMYFUNCTION("""COMPUTED_VALUE"""),1179125.0)</f>
        <v>1179125</v>
      </c>
      <c r="B240" s="4" t="str">
        <f>IFERROR(__xludf.DUMMYFUNCTION("""COMPUTED_VALUE"""),"P2 - High")</f>
        <v>P2 - High</v>
      </c>
      <c r="C240" s="5">
        <f>IFERROR(__xludf.DUMMYFUNCTION("""COMPUTED_VALUE"""),44159.33068287037)</f>
        <v>44159.33068</v>
      </c>
      <c r="D240" s="4" t="str">
        <f>IFERROR(__xludf.DUMMYFUNCTION("""COMPUTED_VALUE"""),"RESOLVED")</f>
        <v>RESOLVED</v>
      </c>
      <c r="E240" s="6">
        <f>IFERROR(__xludf.DUMMYFUNCTION("""COMPUTED_VALUE"""),44365.26194444444)</f>
        <v>44365.26194</v>
      </c>
      <c r="F240" s="4" t="str">
        <f>IFERROR(__xludf.DUMMYFUNCTION("""COMPUTED_VALUE""")," ---")</f>
        <v> ---</v>
      </c>
      <c r="G240" s="4" t="str">
        <f>IFERROR(__xludf.DUMMYFUNCTION("""COMPUTED_VALUE"""),"SUSE Linux Enterprise Server 15 SP3")</f>
        <v>SUSE Linux Enterprise Server 15 SP3</v>
      </c>
      <c r="H240" s="7" t="str">
        <f t="shared" si="2"/>
        <v>NO</v>
      </c>
      <c r="I240" s="7" t="str">
        <f t="shared" si="3"/>
        <v>NO</v>
      </c>
    </row>
    <row r="241">
      <c r="A241" s="4">
        <f>IFERROR(__xludf.DUMMYFUNCTION("""COMPUTED_VALUE"""),1181785.0)</f>
        <v>1181785</v>
      </c>
      <c r="B241" s="4" t="str">
        <f>IFERROR(__xludf.DUMMYFUNCTION("""COMPUTED_VALUE"""),"P2 - High")</f>
        <v>P2 - High</v>
      </c>
      <c r="C241" s="5">
        <f>IFERROR(__xludf.DUMMYFUNCTION("""COMPUTED_VALUE"""),44231.40881944444)</f>
        <v>44231.40882</v>
      </c>
      <c r="D241" s="4" t="str">
        <f>IFERROR(__xludf.DUMMYFUNCTION("""COMPUTED_VALUE"""),"RESOLVED")</f>
        <v>RESOLVED</v>
      </c>
      <c r="E241" s="6">
        <f>IFERROR(__xludf.DUMMYFUNCTION("""COMPUTED_VALUE"""),44384.86990740741)</f>
        <v>44384.86991</v>
      </c>
      <c r="F241" s="4" t="str">
        <f>IFERROR(__xludf.DUMMYFUNCTION("""COMPUTED_VALUE""")," ---")</f>
        <v> ---</v>
      </c>
      <c r="G241" s="4" t="str">
        <f>IFERROR(__xludf.DUMMYFUNCTION("""COMPUTED_VALUE"""),"PUBLIC SUSE Linux Enterprise Server 15 SP3")</f>
        <v>PUBLIC SUSE Linux Enterprise Server 15 SP3</v>
      </c>
      <c r="H241" s="7" t="str">
        <f t="shared" si="2"/>
        <v>NO</v>
      </c>
      <c r="I241" s="7" t="str">
        <f t="shared" si="3"/>
        <v>NO</v>
      </c>
    </row>
    <row r="242">
      <c r="A242" s="4">
        <f>IFERROR(__xludf.DUMMYFUNCTION("""COMPUTED_VALUE"""),1184882.0)</f>
        <v>1184882</v>
      </c>
      <c r="B242" s="4" t="str">
        <f>IFERROR(__xludf.DUMMYFUNCTION("""COMPUTED_VALUE"""),"P2 - High")</f>
        <v>P2 - High</v>
      </c>
      <c r="C242" s="5">
        <f>IFERROR(__xludf.DUMMYFUNCTION("""COMPUTED_VALUE"""),44302.54371527778)</f>
        <v>44302.54372</v>
      </c>
      <c r="D242" s="4" t="str">
        <f>IFERROR(__xludf.DUMMYFUNCTION("""COMPUTED_VALUE"""),"RESOLVED")</f>
        <v>RESOLVED</v>
      </c>
      <c r="E242" s="6">
        <f>IFERROR(__xludf.DUMMYFUNCTION("""COMPUTED_VALUE"""),44487.05092592593)</f>
        <v>44487.05093</v>
      </c>
      <c r="F242" s="4" t="str">
        <f>IFERROR(__xludf.DUMMYFUNCTION("""COMPUTED_VALUE""")," ---")</f>
        <v> ---</v>
      </c>
      <c r="G242" s="4" t="str">
        <f>IFERROR(__xludf.DUMMYFUNCTION("""COMPUTED_VALUE"""),"SUSE Linux Enterprise Server 15 SP3")</f>
        <v>SUSE Linux Enterprise Server 15 SP3</v>
      </c>
      <c r="H242" s="7" t="str">
        <f t="shared" si="2"/>
        <v>NO</v>
      </c>
      <c r="I242" s="7" t="str">
        <f t="shared" si="3"/>
        <v>NO</v>
      </c>
    </row>
    <row r="243">
      <c r="A243" s="4">
        <f>IFERROR(__xludf.DUMMYFUNCTION("""COMPUTED_VALUE"""),1177106.0)</f>
        <v>1177106</v>
      </c>
      <c r="B243" s="4" t="str">
        <f>IFERROR(__xludf.DUMMYFUNCTION("""COMPUTED_VALUE"""),"P2 - High")</f>
        <v>P2 - High</v>
      </c>
      <c r="C243" s="5">
        <f>IFERROR(__xludf.DUMMYFUNCTION("""COMPUTED_VALUE"""),44103.83461805555)</f>
        <v>44103.83462</v>
      </c>
      <c r="D243" s="4" t="str">
        <f>IFERROR(__xludf.DUMMYFUNCTION("""COMPUTED_VALUE"""),"RESOLVED")</f>
        <v>RESOLVED</v>
      </c>
      <c r="E243" s="6">
        <f>IFERROR(__xludf.DUMMYFUNCTION("""COMPUTED_VALUE"""),44187.37724537037)</f>
        <v>44187.37725</v>
      </c>
      <c r="F243" s="4" t="str">
        <f>IFERROR(__xludf.DUMMYFUNCTION("""COMPUTED_VALUE""")," ---")</f>
        <v> ---</v>
      </c>
      <c r="G243" s="4" t="str">
        <f>IFERROR(__xludf.DUMMYFUNCTION("""COMPUTED_VALUE"""),"SUSE Linux Enterprise Server 15 SP3")</f>
        <v>SUSE Linux Enterprise Server 15 SP3</v>
      </c>
      <c r="H243" s="7" t="str">
        <f t="shared" si="2"/>
        <v>NO</v>
      </c>
      <c r="I243" s="7" t="str">
        <f t="shared" si="3"/>
        <v>NO</v>
      </c>
    </row>
    <row r="244">
      <c r="A244" s="4">
        <f>IFERROR(__xludf.DUMMYFUNCTION("""COMPUTED_VALUE"""),1181192.0)</f>
        <v>1181192</v>
      </c>
      <c r="B244" s="4" t="str">
        <f>IFERROR(__xludf.DUMMYFUNCTION("""COMPUTED_VALUE"""),"P2 - High")</f>
        <v>P2 - High</v>
      </c>
      <c r="C244" s="5">
        <f>IFERROR(__xludf.DUMMYFUNCTION("""COMPUTED_VALUE"""),44216.98537037037)</f>
        <v>44216.98537</v>
      </c>
      <c r="D244" s="4" t="str">
        <f>IFERROR(__xludf.DUMMYFUNCTION("""COMPUTED_VALUE"""),"RESOLVED")</f>
        <v>RESOLVED</v>
      </c>
      <c r="E244" s="6">
        <f>IFERROR(__xludf.DUMMYFUNCTION("""COMPUTED_VALUE"""),44484.53875)</f>
        <v>44484.53875</v>
      </c>
      <c r="F244" s="4" t="str">
        <f>IFERROR(__xludf.DUMMYFUNCTION("""COMPUTED_VALUE""")," ---")</f>
        <v> ---</v>
      </c>
      <c r="G244" s="4" t="str">
        <f>IFERROR(__xludf.DUMMYFUNCTION("""COMPUTED_VALUE"""),"SUSE Linux Enterprise Server 15 SP3")</f>
        <v>SUSE Linux Enterprise Server 15 SP3</v>
      </c>
      <c r="H244" s="7" t="str">
        <f t="shared" si="2"/>
        <v>NO</v>
      </c>
      <c r="I244" s="7" t="str">
        <f t="shared" si="3"/>
        <v>NO</v>
      </c>
    </row>
    <row r="245">
      <c r="A245" s="4">
        <f>IFERROR(__xludf.DUMMYFUNCTION("""COMPUTED_VALUE"""),1184238.0)</f>
        <v>1184238</v>
      </c>
      <c r="B245" s="4" t="str">
        <f>IFERROR(__xludf.DUMMYFUNCTION("""COMPUTED_VALUE"""),"P2 - High")</f>
        <v>P2 - High</v>
      </c>
      <c r="C245" s="5">
        <f>IFERROR(__xludf.DUMMYFUNCTION("""COMPUTED_VALUE"""),44286.709710648145)</f>
        <v>44286.70971</v>
      </c>
      <c r="D245" s="4" t="str">
        <f>IFERROR(__xludf.DUMMYFUNCTION("""COMPUTED_VALUE"""),"RESOLVED")</f>
        <v>RESOLVED</v>
      </c>
      <c r="E245" s="6">
        <f>IFERROR(__xludf.DUMMYFUNCTION("""COMPUTED_VALUE"""),44365.26280092593)</f>
        <v>44365.2628</v>
      </c>
      <c r="F245" s="4" t="str">
        <f>IFERROR(__xludf.DUMMYFUNCTION("""COMPUTED_VALUE""")," ---")</f>
        <v> ---</v>
      </c>
      <c r="G245" s="4" t="str">
        <f>IFERROR(__xludf.DUMMYFUNCTION("""COMPUTED_VALUE"""),"SUSE Linux Enterprise Server 15 SP3")</f>
        <v>SUSE Linux Enterprise Server 15 SP3</v>
      </c>
      <c r="H245" s="7" t="str">
        <f t="shared" si="2"/>
        <v>NO</v>
      </c>
      <c r="I245" s="7" t="str">
        <f t="shared" si="3"/>
        <v>NO</v>
      </c>
    </row>
    <row r="246">
      <c r="A246" s="4">
        <f>IFERROR(__xludf.DUMMYFUNCTION("""COMPUTED_VALUE"""),1174114.0)</f>
        <v>1174114</v>
      </c>
      <c r="B246" s="4" t="str">
        <f>IFERROR(__xludf.DUMMYFUNCTION("""COMPUTED_VALUE"""),"P2 - High")</f>
        <v>P2 - High</v>
      </c>
      <c r="C246" s="5">
        <f>IFERROR(__xludf.DUMMYFUNCTION("""COMPUTED_VALUE"""),44026.475694444445)</f>
        <v>44026.47569</v>
      </c>
      <c r="D246" s="4" t="str">
        <f>IFERROR(__xludf.DUMMYFUNCTION("""COMPUTED_VALUE"""),"RESOLVED")</f>
        <v>RESOLVED</v>
      </c>
      <c r="E246" s="6">
        <f>IFERROR(__xludf.DUMMYFUNCTION("""COMPUTED_VALUE"""),44365.26493055555)</f>
        <v>44365.26493</v>
      </c>
      <c r="F246" s="4" t="str">
        <f>IFERROR(__xludf.DUMMYFUNCTION("""COMPUTED_VALUE""")," ---")</f>
        <v> ---</v>
      </c>
      <c r="G246" s="4" t="str">
        <f>IFERROR(__xludf.DUMMYFUNCTION("""COMPUTED_VALUE"""),"SUSE Linux Enterprise Server 15 SP3")</f>
        <v>SUSE Linux Enterprise Server 15 SP3</v>
      </c>
      <c r="H246" s="7" t="str">
        <f t="shared" si="2"/>
        <v>NO</v>
      </c>
      <c r="I246" s="7" t="str">
        <f t="shared" si="3"/>
        <v>NO</v>
      </c>
    </row>
    <row r="247">
      <c r="A247" s="4">
        <f>IFERROR(__xludf.DUMMYFUNCTION("""COMPUTED_VALUE"""),1175499.0)</f>
        <v>1175499</v>
      </c>
      <c r="B247" s="4" t="str">
        <f>IFERROR(__xludf.DUMMYFUNCTION("""COMPUTED_VALUE"""),"P2 - High")</f>
        <v>P2 - High</v>
      </c>
      <c r="C247" s="5">
        <f>IFERROR(__xludf.DUMMYFUNCTION("""COMPUTED_VALUE"""),44062.65702546296)</f>
        <v>44062.65703</v>
      </c>
      <c r="D247" s="4" t="str">
        <f>IFERROR(__xludf.DUMMYFUNCTION("""COMPUTED_VALUE"""),"RESOLVED")</f>
        <v>RESOLVED</v>
      </c>
      <c r="E247" s="6">
        <f>IFERROR(__xludf.DUMMYFUNCTION("""COMPUTED_VALUE"""),44546.55403935185)</f>
        <v>44546.55404</v>
      </c>
      <c r="F247" s="4" t="str">
        <f>IFERROR(__xludf.DUMMYFUNCTION("""COMPUTED_VALUE""")," ---")</f>
        <v> ---</v>
      </c>
      <c r="G247" s="4" t="str">
        <f>IFERROR(__xludf.DUMMYFUNCTION("""COMPUTED_VALUE"""),"SUSE Linux Enterprise Server 15 SP3")</f>
        <v>SUSE Linux Enterprise Server 15 SP3</v>
      </c>
      <c r="H247" s="7" t="str">
        <f t="shared" si="2"/>
        <v>NO</v>
      </c>
      <c r="I247" s="7" t="str">
        <f t="shared" si="3"/>
        <v>NO</v>
      </c>
    </row>
    <row r="248">
      <c r="A248" s="4">
        <f>IFERROR(__xludf.DUMMYFUNCTION("""COMPUTED_VALUE"""),1176774.0)</f>
        <v>1176774</v>
      </c>
      <c r="B248" s="4" t="str">
        <f>IFERROR(__xludf.DUMMYFUNCTION("""COMPUTED_VALUE"""),"P2 - High")</f>
        <v>P2 - High</v>
      </c>
      <c r="C248" s="5">
        <f>IFERROR(__xludf.DUMMYFUNCTION("""COMPUTED_VALUE"""),44095.54443287037)</f>
        <v>44095.54443</v>
      </c>
      <c r="D248" s="4" t="str">
        <f>IFERROR(__xludf.DUMMYFUNCTION("""COMPUTED_VALUE"""),"RESOLVED")</f>
        <v>RESOLVED</v>
      </c>
      <c r="E248" s="6">
        <f>IFERROR(__xludf.DUMMYFUNCTION("""COMPUTED_VALUE"""),44688.67921296296)</f>
        <v>44688.67921</v>
      </c>
      <c r="F248" s="4" t="str">
        <f>IFERROR(__xludf.DUMMYFUNCTION("""COMPUTED_VALUE""")," ---")</f>
        <v> ---</v>
      </c>
      <c r="G248" s="4" t="str">
        <f>IFERROR(__xludf.DUMMYFUNCTION("""COMPUTED_VALUE"""),"SUSE Linux Enterprise Server 15 SP3")</f>
        <v>SUSE Linux Enterprise Server 15 SP3</v>
      </c>
      <c r="H248" s="7" t="str">
        <f t="shared" si="2"/>
        <v>NO</v>
      </c>
      <c r="I248" s="7" t="str">
        <f t="shared" si="3"/>
        <v>NO</v>
      </c>
    </row>
    <row r="249">
      <c r="A249" s="4">
        <f>IFERROR(__xludf.DUMMYFUNCTION("""COMPUTED_VALUE"""),1177678.0)</f>
        <v>1177678</v>
      </c>
      <c r="B249" s="4" t="str">
        <f>IFERROR(__xludf.DUMMYFUNCTION("""COMPUTED_VALUE"""),"P2 - High")</f>
        <v>P2 - High</v>
      </c>
      <c r="C249" s="5">
        <f>IFERROR(__xludf.DUMMYFUNCTION("""COMPUTED_VALUE"""),44118.4718287037)</f>
        <v>44118.47183</v>
      </c>
      <c r="D249" s="4" t="str">
        <f>IFERROR(__xludf.DUMMYFUNCTION("""COMPUTED_VALUE"""),"RESOLVED")</f>
        <v>RESOLVED</v>
      </c>
      <c r="E249" s="6">
        <f>IFERROR(__xludf.DUMMYFUNCTION("""COMPUTED_VALUE"""),44384.85325231482)</f>
        <v>44384.85325</v>
      </c>
      <c r="F249" s="4" t="str">
        <f>IFERROR(__xludf.DUMMYFUNCTION("""COMPUTED_VALUE""")," ---")</f>
        <v> ---</v>
      </c>
      <c r="G249" s="4" t="str">
        <f>IFERROR(__xludf.DUMMYFUNCTION("""COMPUTED_VALUE"""),"SUSE Linux Enterprise Server 15 SP3")</f>
        <v>SUSE Linux Enterprise Server 15 SP3</v>
      </c>
      <c r="H249" s="7" t="str">
        <f t="shared" si="2"/>
        <v>NO</v>
      </c>
      <c r="I249" s="7" t="str">
        <f t="shared" si="3"/>
        <v>NO</v>
      </c>
    </row>
    <row r="250">
      <c r="A250" s="4">
        <f>IFERROR(__xludf.DUMMYFUNCTION("""COMPUTED_VALUE"""),1178464.0)</f>
        <v>1178464</v>
      </c>
      <c r="B250" s="4" t="str">
        <f>IFERROR(__xludf.DUMMYFUNCTION("""COMPUTED_VALUE"""),"P2 - High")</f>
        <v>P2 - High</v>
      </c>
      <c r="C250" s="5">
        <f>IFERROR(__xludf.DUMMYFUNCTION("""COMPUTED_VALUE"""),44140.4284837963)</f>
        <v>44140.42848</v>
      </c>
      <c r="D250" s="4" t="str">
        <f>IFERROR(__xludf.DUMMYFUNCTION("""COMPUTED_VALUE"""),"RESOLVED")</f>
        <v>RESOLVED</v>
      </c>
      <c r="E250" s="6">
        <f>IFERROR(__xludf.DUMMYFUNCTION("""COMPUTED_VALUE"""),44384.85726851852)</f>
        <v>44384.85727</v>
      </c>
      <c r="F250" s="4" t="str">
        <f>IFERROR(__xludf.DUMMYFUNCTION("""COMPUTED_VALUE""")," ---")</f>
        <v> ---</v>
      </c>
      <c r="G250" s="4" t="str">
        <f>IFERROR(__xludf.DUMMYFUNCTION("""COMPUTED_VALUE"""),"SUSE Linux Enterprise Server 15 SP3")</f>
        <v>SUSE Linux Enterprise Server 15 SP3</v>
      </c>
      <c r="H250" s="7" t="str">
        <f t="shared" si="2"/>
        <v>NO</v>
      </c>
      <c r="I250" s="7" t="str">
        <f t="shared" si="3"/>
        <v>NO</v>
      </c>
    </row>
    <row r="251">
      <c r="A251" s="4">
        <f>IFERROR(__xludf.DUMMYFUNCTION("""COMPUTED_VALUE"""),1180945.0)</f>
        <v>1180945</v>
      </c>
      <c r="B251" s="4" t="str">
        <f>IFERROR(__xludf.DUMMYFUNCTION("""COMPUTED_VALUE"""),"P2 - High")</f>
        <v>P2 - High</v>
      </c>
      <c r="C251" s="5">
        <f>IFERROR(__xludf.DUMMYFUNCTION("""COMPUTED_VALUE"""),44210.70087962963)</f>
        <v>44210.70088</v>
      </c>
      <c r="D251" s="4" t="str">
        <f>IFERROR(__xludf.DUMMYFUNCTION("""COMPUTED_VALUE"""),"RESOLVED")</f>
        <v>RESOLVED</v>
      </c>
      <c r="E251" s="6">
        <f>IFERROR(__xludf.DUMMYFUNCTION("""COMPUTED_VALUE"""),44384.86601851852)</f>
        <v>44384.86602</v>
      </c>
      <c r="F251" s="4" t="str">
        <f>IFERROR(__xludf.DUMMYFUNCTION("""COMPUTED_VALUE""")," ---")</f>
        <v> ---</v>
      </c>
      <c r="G251" s="4" t="str">
        <f>IFERROR(__xludf.DUMMYFUNCTION("""COMPUTED_VALUE"""),"SUSE Linux Enterprise Server 15 SP3")</f>
        <v>SUSE Linux Enterprise Server 15 SP3</v>
      </c>
      <c r="H251" s="7" t="str">
        <f t="shared" si="2"/>
        <v>NO</v>
      </c>
      <c r="I251" s="7" t="str">
        <f t="shared" si="3"/>
        <v>NO</v>
      </c>
    </row>
    <row r="252">
      <c r="A252" s="4">
        <f>IFERROR(__xludf.DUMMYFUNCTION("""COMPUTED_VALUE"""),1181147.0)</f>
        <v>1181147</v>
      </c>
      <c r="B252" s="4" t="str">
        <f>IFERROR(__xludf.DUMMYFUNCTION("""COMPUTED_VALUE"""),"P2 - High")</f>
        <v>P2 - High</v>
      </c>
      <c r="C252" s="5">
        <f>IFERROR(__xludf.DUMMYFUNCTION("""COMPUTED_VALUE"""),44216.268159722225)</f>
        <v>44216.26816</v>
      </c>
      <c r="D252" s="4" t="str">
        <f>IFERROR(__xludf.DUMMYFUNCTION("""COMPUTED_VALUE"""),"RESOLVED")</f>
        <v>RESOLVED</v>
      </c>
      <c r="E252" s="6">
        <f>IFERROR(__xludf.DUMMYFUNCTION("""COMPUTED_VALUE"""),44689.19144675926)</f>
        <v>44689.19145</v>
      </c>
      <c r="F252" s="4" t="str">
        <f>IFERROR(__xludf.DUMMYFUNCTION("""COMPUTED_VALUE""")," ---")</f>
        <v> ---</v>
      </c>
      <c r="G252" s="4" t="str">
        <f>IFERROR(__xludf.DUMMYFUNCTION("""COMPUTED_VALUE"""),"SUSE Linux Enterprise Server 15 SP3")</f>
        <v>SUSE Linux Enterprise Server 15 SP3</v>
      </c>
      <c r="H252" s="7" t="str">
        <f t="shared" si="2"/>
        <v>NO</v>
      </c>
      <c r="I252" s="7" t="str">
        <f t="shared" si="3"/>
        <v>NO</v>
      </c>
    </row>
    <row r="253">
      <c r="A253" s="4">
        <f>IFERROR(__xludf.DUMMYFUNCTION("""COMPUTED_VALUE"""),1186938.0)</f>
        <v>1186938</v>
      </c>
      <c r="B253" s="4" t="str">
        <f>IFERROR(__xludf.DUMMYFUNCTION("""COMPUTED_VALUE"""),"P2 - High")</f>
        <v>P2 - High</v>
      </c>
      <c r="C253" s="5">
        <f>IFERROR(__xludf.DUMMYFUNCTION("""COMPUTED_VALUE"""),44354.58965277778)</f>
        <v>44354.58965</v>
      </c>
      <c r="D253" s="4" t="str">
        <f>IFERROR(__xludf.DUMMYFUNCTION("""COMPUTED_VALUE"""),"RESOLVED")</f>
        <v>RESOLVED</v>
      </c>
      <c r="E253" s="6">
        <f>IFERROR(__xludf.DUMMYFUNCTION("""COMPUTED_VALUE"""),44651.55684027778)</f>
        <v>44651.55684</v>
      </c>
      <c r="F253" s="4" t="str">
        <f>IFERROR(__xludf.DUMMYFUNCTION("""COMPUTED_VALUE""")," ---")</f>
        <v> ---</v>
      </c>
      <c r="G253" s="4" t="str">
        <f>IFERROR(__xludf.DUMMYFUNCTION("""COMPUTED_VALUE"""),"SUSE Linux Enterprise Server 15 SP3")</f>
        <v>SUSE Linux Enterprise Server 15 SP3</v>
      </c>
      <c r="H253" s="7" t="str">
        <f t="shared" si="2"/>
        <v>NO</v>
      </c>
      <c r="I253" s="7" t="str">
        <f t="shared" si="3"/>
        <v>NO</v>
      </c>
    </row>
    <row r="254">
      <c r="A254" s="4">
        <f>IFERROR(__xludf.DUMMYFUNCTION("""COMPUTED_VALUE"""),1174282.0)</f>
        <v>1174282</v>
      </c>
      <c r="B254" s="4" t="str">
        <f>IFERROR(__xludf.DUMMYFUNCTION("""COMPUTED_VALUE"""),"P2 - High")</f>
        <v>P2 - High</v>
      </c>
      <c r="C254" s="5">
        <f>IFERROR(__xludf.DUMMYFUNCTION("""COMPUTED_VALUE"""),44031.439780092594)</f>
        <v>44031.43978</v>
      </c>
      <c r="D254" s="4" t="str">
        <f>IFERROR(__xludf.DUMMYFUNCTION("""COMPUTED_VALUE"""),"RESOLVED")</f>
        <v>RESOLVED</v>
      </c>
      <c r="E254" s="6">
        <f>IFERROR(__xludf.DUMMYFUNCTION("""COMPUTED_VALUE"""),44365.26253472222)</f>
        <v>44365.26253</v>
      </c>
      <c r="F254" s="4" t="str">
        <f>IFERROR(__xludf.DUMMYFUNCTION("""COMPUTED_VALUE""")," ---")</f>
        <v> ---</v>
      </c>
      <c r="G254" s="4" t="str">
        <f>IFERROR(__xludf.DUMMYFUNCTION("""COMPUTED_VALUE"""),"SUSE Linux Enterprise Server 15 SP3")</f>
        <v>SUSE Linux Enterprise Server 15 SP3</v>
      </c>
      <c r="H254" s="7" t="str">
        <f t="shared" si="2"/>
        <v>NO</v>
      </c>
      <c r="I254" s="7" t="str">
        <f t="shared" si="3"/>
        <v>NO</v>
      </c>
    </row>
    <row r="255">
      <c r="A255" s="4">
        <f>IFERROR(__xludf.DUMMYFUNCTION("""COMPUTED_VALUE"""),1174516.0)</f>
        <v>1174516</v>
      </c>
      <c r="B255" s="4" t="str">
        <f>IFERROR(__xludf.DUMMYFUNCTION("""COMPUTED_VALUE"""),"P2 - High")</f>
        <v>P2 - High</v>
      </c>
      <c r="C255" s="5">
        <f>IFERROR(__xludf.DUMMYFUNCTION("""COMPUTED_VALUE"""),44039.30299768518)</f>
        <v>44039.303</v>
      </c>
      <c r="D255" s="4" t="str">
        <f>IFERROR(__xludf.DUMMYFUNCTION("""COMPUTED_VALUE"""),"RESOLVED")</f>
        <v>RESOLVED</v>
      </c>
      <c r="E255" s="6">
        <f>IFERROR(__xludf.DUMMYFUNCTION("""COMPUTED_VALUE"""),44230.21375)</f>
        <v>44230.21375</v>
      </c>
      <c r="F255" s="4" t="str">
        <f>IFERROR(__xludf.DUMMYFUNCTION("""COMPUTED_VALUE""")," ---")</f>
        <v> ---</v>
      </c>
      <c r="G255" s="4" t="str">
        <f>IFERROR(__xludf.DUMMYFUNCTION("""COMPUTED_VALUE"""),"SUSE Linux Enterprise Server 15 SP3")</f>
        <v>SUSE Linux Enterprise Server 15 SP3</v>
      </c>
      <c r="H255" s="7" t="str">
        <f t="shared" si="2"/>
        <v>NO</v>
      </c>
      <c r="I255" s="7" t="str">
        <f t="shared" si="3"/>
        <v>NO</v>
      </c>
    </row>
    <row r="256">
      <c r="A256" s="4">
        <f>IFERROR(__xludf.DUMMYFUNCTION("""COMPUTED_VALUE"""),1176919.0)</f>
        <v>1176919</v>
      </c>
      <c r="B256" s="4" t="str">
        <f>IFERROR(__xludf.DUMMYFUNCTION("""COMPUTED_VALUE"""),"P2 - High")</f>
        <v>P2 - High</v>
      </c>
      <c r="C256" s="5">
        <f>IFERROR(__xludf.DUMMYFUNCTION("""COMPUTED_VALUE"""),44098.51600694445)</f>
        <v>44098.51601</v>
      </c>
      <c r="D256" s="4" t="str">
        <f>IFERROR(__xludf.DUMMYFUNCTION("""COMPUTED_VALUE"""),"RESOLVED")</f>
        <v>RESOLVED</v>
      </c>
      <c r="E256" s="6">
        <f>IFERROR(__xludf.DUMMYFUNCTION("""COMPUTED_VALUE"""),44392.69247685185)</f>
        <v>44392.69248</v>
      </c>
      <c r="F256" s="4" t="str">
        <f>IFERROR(__xludf.DUMMYFUNCTION("""COMPUTED_VALUE""")," ---")</f>
        <v> ---</v>
      </c>
      <c r="G256" s="4" t="str">
        <f>IFERROR(__xludf.DUMMYFUNCTION("""COMPUTED_VALUE"""),"SUSE Linux Enterprise Server 15 SP3")</f>
        <v>SUSE Linux Enterprise Server 15 SP3</v>
      </c>
      <c r="H256" s="7" t="str">
        <f t="shared" si="2"/>
        <v>NO</v>
      </c>
      <c r="I256" s="7" t="str">
        <f t="shared" si="3"/>
        <v>NO</v>
      </c>
    </row>
    <row r="257">
      <c r="A257" s="4">
        <f>IFERROR(__xludf.DUMMYFUNCTION("""COMPUTED_VALUE"""),1178213.0)</f>
        <v>1178213</v>
      </c>
      <c r="B257" s="4" t="str">
        <f>IFERROR(__xludf.DUMMYFUNCTION("""COMPUTED_VALUE"""),"P2 - High")</f>
        <v>P2 - High</v>
      </c>
      <c r="C257" s="5">
        <f>IFERROR(__xludf.DUMMYFUNCTION("""COMPUTED_VALUE"""),44132.23876157407)</f>
        <v>44132.23876</v>
      </c>
      <c r="D257" s="4" t="str">
        <f>IFERROR(__xludf.DUMMYFUNCTION("""COMPUTED_VALUE"""),"RESOLVED")</f>
        <v>RESOLVED</v>
      </c>
      <c r="E257" s="6">
        <f>IFERROR(__xludf.DUMMYFUNCTION("""COMPUTED_VALUE"""),44365.26353009259)</f>
        <v>44365.26353</v>
      </c>
      <c r="F257" s="4" t="str">
        <f>IFERROR(__xludf.DUMMYFUNCTION("""COMPUTED_VALUE""")," ---")</f>
        <v> ---</v>
      </c>
      <c r="G257" s="4" t="str">
        <f>IFERROR(__xludf.DUMMYFUNCTION("""COMPUTED_VALUE"""),"SUSE Linux Enterprise Server 15 SP3")</f>
        <v>SUSE Linux Enterprise Server 15 SP3</v>
      </c>
      <c r="H257" s="7" t="str">
        <f t="shared" si="2"/>
        <v>NO</v>
      </c>
      <c r="I257" s="7" t="str">
        <f t="shared" si="3"/>
        <v>NO</v>
      </c>
    </row>
    <row r="258">
      <c r="A258" s="4">
        <f>IFERROR(__xludf.DUMMYFUNCTION("""COMPUTED_VALUE"""),1178325.0)</f>
        <v>1178325</v>
      </c>
      <c r="B258" s="4" t="str">
        <f>IFERROR(__xludf.DUMMYFUNCTION("""COMPUTED_VALUE"""),"P2 - High")</f>
        <v>P2 - High</v>
      </c>
      <c r="C258" s="5">
        <f>IFERROR(__xludf.DUMMYFUNCTION("""COMPUTED_VALUE"""),44135.82554398148)</f>
        <v>44135.82554</v>
      </c>
      <c r="D258" s="4" t="str">
        <f>IFERROR(__xludf.DUMMYFUNCTION("""COMPUTED_VALUE"""),"RESOLVED")</f>
        <v>RESOLVED</v>
      </c>
      <c r="E258" s="6">
        <f>IFERROR(__xludf.DUMMYFUNCTION("""COMPUTED_VALUE"""),44384.85637731481)</f>
        <v>44384.85638</v>
      </c>
      <c r="F258" s="4" t="str">
        <f>IFERROR(__xludf.DUMMYFUNCTION("""COMPUTED_VALUE""")," ---")</f>
        <v> ---</v>
      </c>
      <c r="G258" s="4" t="str">
        <f>IFERROR(__xludf.DUMMYFUNCTION("""COMPUTED_VALUE"""),"SUSE Linux Enterprise Server 15 SP3")</f>
        <v>SUSE Linux Enterprise Server 15 SP3</v>
      </c>
      <c r="H258" s="7" t="str">
        <f t="shared" si="2"/>
        <v>NO</v>
      </c>
      <c r="I258" s="7" t="str">
        <f t="shared" si="3"/>
        <v>NO</v>
      </c>
    </row>
    <row r="259">
      <c r="A259" s="4">
        <f>IFERROR(__xludf.DUMMYFUNCTION("""COMPUTED_VALUE"""),1180561.0)</f>
        <v>1180561</v>
      </c>
      <c r="B259" s="4" t="str">
        <f>IFERROR(__xludf.DUMMYFUNCTION("""COMPUTED_VALUE"""),"P2 - High")</f>
        <v>P2 - High</v>
      </c>
      <c r="C259" s="5">
        <f>IFERROR(__xludf.DUMMYFUNCTION("""COMPUTED_VALUE"""),44201.409108796295)</f>
        <v>44201.40911</v>
      </c>
      <c r="D259" s="4" t="str">
        <f>IFERROR(__xludf.DUMMYFUNCTION("""COMPUTED_VALUE"""),"RESOLVED")</f>
        <v>RESOLVED</v>
      </c>
      <c r="E259" s="6">
        <f>IFERROR(__xludf.DUMMYFUNCTION("""COMPUTED_VALUE"""),44208.57974537037)</f>
        <v>44208.57975</v>
      </c>
      <c r="F259" s="4" t="str">
        <f>IFERROR(__xludf.DUMMYFUNCTION("""COMPUTED_VALUE""")," ---")</f>
        <v> ---</v>
      </c>
      <c r="G259" s="4" t="str">
        <f>IFERROR(__xludf.DUMMYFUNCTION("""COMPUTED_VALUE"""),"SUSE Linux Enterprise Server 15 SP3")</f>
        <v>SUSE Linux Enterprise Server 15 SP3</v>
      </c>
      <c r="H259" s="7" t="str">
        <f t="shared" si="2"/>
        <v>YES</v>
      </c>
      <c r="I259" s="7" t="str">
        <f t="shared" si="3"/>
        <v>NO</v>
      </c>
    </row>
    <row r="260">
      <c r="A260" s="4">
        <f>IFERROR(__xludf.DUMMYFUNCTION("""COMPUTED_VALUE"""),1183850.0)</f>
        <v>1183850</v>
      </c>
      <c r="B260" s="4" t="str">
        <f>IFERROR(__xludf.DUMMYFUNCTION("""COMPUTED_VALUE"""),"P2 - High")</f>
        <v>P2 - High</v>
      </c>
      <c r="C260" s="5">
        <f>IFERROR(__xludf.DUMMYFUNCTION("""COMPUTED_VALUE"""),44277.401354166665)</f>
        <v>44277.40135</v>
      </c>
      <c r="D260" s="4" t="str">
        <f>IFERROR(__xludf.DUMMYFUNCTION("""COMPUTED_VALUE"""),"RESOLVED")</f>
        <v>RESOLVED</v>
      </c>
      <c r="E260" s="6">
        <f>IFERROR(__xludf.DUMMYFUNCTION("""COMPUTED_VALUE"""),44384.88234953704)</f>
        <v>44384.88235</v>
      </c>
      <c r="F260" s="4" t="str">
        <f>IFERROR(__xludf.DUMMYFUNCTION("""COMPUTED_VALUE""")," ---")</f>
        <v> ---</v>
      </c>
      <c r="G260" s="4" t="str">
        <f>IFERROR(__xludf.DUMMYFUNCTION("""COMPUTED_VALUE"""),"SUSE Linux Enterprise Server 15 SP3")</f>
        <v>SUSE Linux Enterprise Server 15 SP3</v>
      </c>
      <c r="H260" s="7" t="str">
        <f t="shared" si="2"/>
        <v>NO</v>
      </c>
      <c r="I260" s="7" t="str">
        <f t="shared" si="3"/>
        <v>NO</v>
      </c>
    </row>
    <row r="261">
      <c r="A261" s="4">
        <f>IFERROR(__xludf.DUMMYFUNCTION("""COMPUTED_VALUE"""),1178426.0)</f>
        <v>1178426</v>
      </c>
      <c r="B261" s="4" t="str">
        <f>IFERROR(__xludf.DUMMYFUNCTION("""COMPUTED_VALUE"""),"P2 - High")</f>
        <v>P2 - High</v>
      </c>
      <c r="C261" s="5">
        <f>IFERROR(__xludf.DUMMYFUNCTION("""COMPUTED_VALUE"""),44139.43809027778)</f>
        <v>44139.43809</v>
      </c>
      <c r="D261" s="4" t="str">
        <f>IFERROR(__xludf.DUMMYFUNCTION("""COMPUTED_VALUE"""),"RESOLVED")</f>
        <v>RESOLVED</v>
      </c>
      <c r="E261" s="6">
        <f>IFERROR(__xludf.DUMMYFUNCTION("""COMPUTED_VALUE"""),44384.85704861111)</f>
        <v>44384.85705</v>
      </c>
      <c r="F261" s="4" t="str">
        <f>IFERROR(__xludf.DUMMYFUNCTION("""COMPUTED_VALUE""")," ---")</f>
        <v> ---</v>
      </c>
      <c r="G261" s="4" t="str">
        <f>IFERROR(__xludf.DUMMYFUNCTION("""COMPUTED_VALUE"""),"SUSE Linux Enterprise Server 15 SP3")</f>
        <v>SUSE Linux Enterprise Server 15 SP3</v>
      </c>
      <c r="H261" s="7" t="str">
        <f t="shared" si="2"/>
        <v>NO</v>
      </c>
      <c r="I261" s="7" t="str">
        <f t="shared" si="3"/>
        <v>NO</v>
      </c>
    </row>
    <row r="262">
      <c r="A262" s="4">
        <f>IFERROR(__xludf.DUMMYFUNCTION("""COMPUTED_VALUE"""),1179164.0)</f>
        <v>1179164</v>
      </c>
      <c r="B262" s="4" t="str">
        <f>IFERROR(__xludf.DUMMYFUNCTION("""COMPUTED_VALUE"""),"P2 - High")</f>
        <v>P2 - High</v>
      </c>
      <c r="C262" s="5">
        <f>IFERROR(__xludf.DUMMYFUNCTION("""COMPUTED_VALUE"""),44159.66392361111)</f>
        <v>44159.66392</v>
      </c>
      <c r="D262" s="4" t="str">
        <f>IFERROR(__xludf.DUMMYFUNCTION("""COMPUTED_VALUE"""),"RESOLVED")</f>
        <v>RESOLVED</v>
      </c>
      <c r="E262" s="6">
        <f>IFERROR(__xludf.DUMMYFUNCTION("""COMPUTED_VALUE"""),44160.54739583333)</f>
        <v>44160.5474</v>
      </c>
      <c r="F262" s="4" t="str">
        <f>IFERROR(__xludf.DUMMYFUNCTION("""COMPUTED_VALUE""")," ---")</f>
        <v> ---</v>
      </c>
      <c r="G262" s="4" t="str">
        <f>IFERROR(__xludf.DUMMYFUNCTION("""COMPUTED_VALUE"""),"SUSE Linux Enterprise Server 15 SP3")</f>
        <v>SUSE Linux Enterprise Server 15 SP3</v>
      </c>
      <c r="H262" s="7" t="str">
        <f t="shared" si="2"/>
        <v>NO</v>
      </c>
      <c r="I262" s="7" t="str">
        <f t="shared" si="3"/>
        <v>NO</v>
      </c>
    </row>
    <row r="263">
      <c r="A263" s="4">
        <f>IFERROR(__xludf.DUMMYFUNCTION("""COMPUTED_VALUE"""),1180214.0)</f>
        <v>1180214</v>
      </c>
      <c r="B263" s="4" t="str">
        <f>IFERROR(__xludf.DUMMYFUNCTION("""COMPUTED_VALUE"""),"P2 - High")</f>
        <v>P2 - High</v>
      </c>
      <c r="C263" s="5">
        <f>IFERROR(__xludf.DUMMYFUNCTION("""COMPUTED_VALUE"""),44183.52065972222)</f>
        <v>44183.52066</v>
      </c>
      <c r="D263" s="4" t="str">
        <f>IFERROR(__xludf.DUMMYFUNCTION("""COMPUTED_VALUE"""),"RESOLVED")</f>
        <v>RESOLVED</v>
      </c>
      <c r="E263" s="6">
        <f>IFERROR(__xludf.DUMMYFUNCTION("""COMPUTED_VALUE"""),44384.864120370374)</f>
        <v>44384.86412</v>
      </c>
      <c r="F263" s="4" t="str">
        <f>IFERROR(__xludf.DUMMYFUNCTION("""COMPUTED_VALUE""")," ---")</f>
        <v> ---</v>
      </c>
      <c r="G263" s="4" t="str">
        <f>IFERROR(__xludf.DUMMYFUNCTION("""COMPUTED_VALUE"""),"SUSE Linux Enterprise Server 15 SP3")</f>
        <v>SUSE Linux Enterprise Server 15 SP3</v>
      </c>
      <c r="H263" s="7" t="str">
        <f t="shared" si="2"/>
        <v>NO</v>
      </c>
      <c r="I263" s="7" t="str">
        <f t="shared" si="3"/>
        <v>NO</v>
      </c>
    </row>
    <row r="264">
      <c r="A264" s="4">
        <f>IFERROR(__xludf.DUMMYFUNCTION("""COMPUTED_VALUE"""),1182044.0)</f>
        <v>1182044</v>
      </c>
      <c r="B264" s="4" t="str">
        <f>IFERROR(__xludf.DUMMYFUNCTION("""COMPUTED_VALUE"""),"P2 - High")</f>
        <v>P2 - High</v>
      </c>
      <c r="C264" s="5">
        <f>IFERROR(__xludf.DUMMYFUNCTION("""COMPUTED_VALUE"""),44237.496342592596)</f>
        <v>44237.49634</v>
      </c>
      <c r="D264" s="4" t="str">
        <f>IFERROR(__xludf.DUMMYFUNCTION("""COMPUTED_VALUE"""),"RESOLVED")</f>
        <v>RESOLVED</v>
      </c>
      <c r="E264" s="6">
        <f>IFERROR(__xludf.DUMMYFUNCTION("""COMPUTED_VALUE"""),44336.41688657407)</f>
        <v>44336.41689</v>
      </c>
      <c r="F264" s="4" t="str">
        <f>IFERROR(__xludf.DUMMYFUNCTION("""COMPUTED_VALUE""")," ---")</f>
        <v> ---</v>
      </c>
      <c r="G264" s="4" t="str">
        <f>IFERROR(__xludf.DUMMYFUNCTION("""COMPUTED_VALUE"""),"SUSE Linux Enterprise Server 15 SP3")</f>
        <v>SUSE Linux Enterprise Server 15 SP3</v>
      </c>
      <c r="H264" s="7" t="str">
        <f t="shared" si="2"/>
        <v>NO</v>
      </c>
      <c r="I264" s="7" t="str">
        <f t="shared" si="3"/>
        <v>NO</v>
      </c>
    </row>
    <row r="265">
      <c r="A265" s="4">
        <f>IFERROR(__xludf.DUMMYFUNCTION("""COMPUTED_VALUE"""),1183166.0)</f>
        <v>1183166</v>
      </c>
      <c r="B265" s="4" t="str">
        <f>IFERROR(__xludf.DUMMYFUNCTION("""COMPUTED_VALUE"""),"P2 - High")</f>
        <v>P2 - High</v>
      </c>
      <c r="C265" s="5">
        <f>IFERROR(__xludf.DUMMYFUNCTION("""COMPUTED_VALUE"""),44263.46337962963)</f>
        <v>44263.46338</v>
      </c>
      <c r="D265" s="4" t="str">
        <f>IFERROR(__xludf.DUMMYFUNCTION("""COMPUTED_VALUE"""),"RESOLVED")</f>
        <v>RESOLVED</v>
      </c>
      <c r="E265" s="6">
        <f>IFERROR(__xludf.DUMMYFUNCTION("""COMPUTED_VALUE"""),44365.26038194444)</f>
        <v>44365.26038</v>
      </c>
      <c r="F265" s="4" t="str">
        <f>IFERROR(__xludf.DUMMYFUNCTION("""COMPUTED_VALUE""")," ---")</f>
        <v> ---</v>
      </c>
      <c r="G265" s="4" t="str">
        <f>IFERROR(__xludf.DUMMYFUNCTION("""COMPUTED_VALUE"""),"SUSE Linux Enterprise Server 15 SP3")</f>
        <v>SUSE Linux Enterprise Server 15 SP3</v>
      </c>
      <c r="H265" s="7" t="str">
        <f t="shared" si="2"/>
        <v>NO</v>
      </c>
      <c r="I265" s="7" t="str">
        <f t="shared" si="3"/>
        <v>NO</v>
      </c>
    </row>
    <row r="266">
      <c r="A266" s="4">
        <f>IFERROR(__xludf.DUMMYFUNCTION("""COMPUTED_VALUE"""),1184386.0)</f>
        <v>1184386</v>
      </c>
      <c r="B266" s="4" t="str">
        <f>IFERROR(__xludf.DUMMYFUNCTION("""COMPUTED_VALUE"""),"P2 - High")</f>
        <v>P2 - High</v>
      </c>
      <c r="C266" s="5">
        <f>IFERROR(__xludf.DUMMYFUNCTION("""COMPUTED_VALUE"""),44292.55671296296)</f>
        <v>44292.55671</v>
      </c>
      <c r="D266" s="4" t="str">
        <f>IFERROR(__xludf.DUMMYFUNCTION("""COMPUTED_VALUE"""),"RESOLVED")</f>
        <v>RESOLVED</v>
      </c>
      <c r="E266" s="6">
        <f>IFERROR(__xludf.DUMMYFUNCTION("""COMPUTED_VALUE"""),44388.72775462963)</f>
        <v>44388.72775</v>
      </c>
      <c r="F266" s="4" t="str">
        <f>IFERROR(__xludf.DUMMYFUNCTION("""COMPUTED_VALUE""")," ---")</f>
        <v> ---</v>
      </c>
      <c r="G266" s="4" t="str">
        <f>IFERROR(__xludf.DUMMYFUNCTION("""COMPUTED_VALUE"""),"SUSE Linux Enterprise Server 15 SP3")</f>
        <v>SUSE Linux Enterprise Server 15 SP3</v>
      </c>
      <c r="H266" s="7" t="str">
        <f t="shared" si="2"/>
        <v>NO</v>
      </c>
      <c r="I266" s="7" t="str">
        <f t="shared" si="3"/>
        <v>NO</v>
      </c>
    </row>
    <row r="267">
      <c r="A267" s="4">
        <f>IFERROR(__xludf.DUMMYFUNCTION("""COMPUTED_VALUE"""),1179983.0)</f>
        <v>1179983</v>
      </c>
      <c r="B267" s="4" t="str">
        <f>IFERROR(__xludf.DUMMYFUNCTION("""COMPUTED_VALUE"""),"P2 - High")</f>
        <v>P2 - High</v>
      </c>
      <c r="C267" s="5">
        <f>IFERROR(__xludf.DUMMYFUNCTION("""COMPUTED_VALUE"""),44179.12359953704)</f>
        <v>44179.1236</v>
      </c>
      <c r="D267" s="4" t="str">
        <f>IFERROR(__xludf.DUMMYFUNCTION("""COMPUTED_VALUE"""),"VERIFIED")</f>
        <v>VERIFIED</v>
      </c>
      <c r="E267" s="6">
        <f>IFERROR(__xludf.DUMMYFUNCTION("""COMPUTED_VALUE"""),44228.13428240741)</f>
        <v>44228.13428</v>
      </c>
      <c r="F267" s="4" t="str">
        <f>IFERROR(__xludf.DUMMYFUNCTION("""COMPUTED_VALUE""")," ---")</f>
        <v> ---</v>
      </c>
      <c r="G267" s="4" t="str">
        <f>IFERROR(__xludf.DUMMYFUNCTION("""COMPUTED_VALUE"""),"SUSE Linux Enterprise Server 15 SP3")</f>
        <v>SUSE Linux Enterprise Server 15 SP3</v>
      </c>
      <c r="H267" s="7" t="str">
        <f t="shared" si="2"/>
        <v>NO</v>
      </c>
      <c r="I267" s="7" t="str">
        <f t="shared" si="3"/>
        <v>NO</v>
      </c>
    </row>
    <row r="268">
      <c r="A268" s="4">
        <f>IFERROR(__xludf.DUMMYFUNCTION("""COMPUTED_VALUE"""),1179469.0)</f>
        <v>1179469</v>
      </c>
      <c r="B268" s="4" t="str">
        <f>IFERROR(__xludf.DUMMYFUNCTION("""COMPUTED_VALUE"""),"P2 - High")</f>
        <v>P2 - High</v>
      </c>
      <c r="C268" s="5">
        <f>IFERROR(__xludf.DUMMYFUNCTION("""COMPUTED_VALUE"""),44166.58415509259)</f>
        <v>44166.58416</v>
      </c>
      <c r="D268" s="4" t="str">
        <f>IFERROR(__xludf.DUMMYFUNCTION("""COMPUTED_VALUE"""),"VERIFIED")</f>
        <v>VERIFIED</v>
      </c>
      <c r="E268" s="6">
        <f>IFERROR(__xludf.DUMMYFUNCTION("""COMPUTED_VALUE"""),44631.50016203704)</f>
        <v>44631.50016</v>
      </c>
      <c r="F268" s="4" t="str">
        <f>IFERROR(__xludf.DUMMYFUNCTION("""COMPUTED_VALUE""")," ---")</f>
        <v> ---</v>
      </c>
      <c r="G268" s="4" t="str">
        <f>IFERROR(__xludf.DUMMYFUNCTION("""COMPUTED_VALUE"""),"SUSE Linux Enterprise Server 15 SP3")</f>
        <v>SUSE Linux Enterprise Server 15 SP3</v>
      </c>
      <c r="H268" s="7" t="str">
        <f t="shared" si="2"/>
        <v>NO</v>
      </c>
      <c r="I268" s="7" t="str">
        <f t="shared" si="3"/>
        <v>NO</v>
      </c>
    </row>
    <row r="269">
      <c r="A269" s="4">
        <f>IFERROR(__xludf.DUMMYFUNCTION("""COMPUTED_VALUE"""),1184212.0)</f>
        <v>1184212</v>
      </c>
      <c r="B269" s="4" t="str">
        <f>IFERROR(__xludf.DUMMYFUNCTION("""COMPUTED_VALUE"""),"P2 - High")</f>
        <v>P2 - High</v>
      </c>
      <c r="C269" s="5">
        <f>IFERROR(__xludf.DUMMYFUNCTION("""COMPUTED_VALUE"""),44286.460011574076)</f>
        <v>44286.46001</v>
      </c>
      <c r="D269" s="4" t="str">
        <f>IFERROR(__xludf.DUMMYFUNCTION("""COMPUTED_VALUE"""),"VERIFIED")</f>
        <v>VERIFIED</v>
      </c>
      <c r="E269" s="6">
        <f>IFERROR(__xludf.DUMMYFUNCTION("""COMPUTED_VALUE"""),44481.31722222222)</f>
        <v>44481.31722</v>
      </c>
      <c r="F269" s="4" t="str">
        <f>IFERROR(__xludf.DUMMYFUNCTION("""COMPUTED_VALUE""")," ---")</f>
        <v> ---</v>
      </c>
      <c r="G269" s="4" t="str">
        <f>IFERROR(__xludf.DUMMYFUNCTION("""COMPUTED_VALUE"""),"SUSE Linux Enterprise Server 15 SP3")</f>
        <v>SUSE Linux Enterprise Server 15 SP3</v>
      </c>
      <c r="H269" s="7" t="str">
        <f t="shared" si="2"/>
        <v>NO</v>
      </c>
      <c r="I269" s="7" t="str">
        <f t="shared" si="3"/>
        <v>NO</v>
      </c>
    </row>
    <row r="270">
      <c r="A270" s="4">
        <f>IFERROR(__xludf.DUMMYFUNCTION("""COMPUTED_VALUE"""),1180103.0)</f>
        <v>1180103</v>
      </c>
      <c r="B270" s="4" t="str">
        <f>IFERROR(__xludf.DUMMYFUNCTION("""COMPUTED_VALUE"""),"P2 - High")</f>
        <v>P2 - High</v>
      </c>
      <c r="C270" s="5">
        <f>IFERROR(__xludf.DUMMYFUNCTION("""COMPUTED_VALUE"""),44181.45930555555)</f>
        <v>44181.45931</v>
      </c>
      <c r="D270" s="4" t="str">
        <f>IFERROR(__xludf.DUMMYFUNCTION("""COMPUTED_VALUE"""),"VERIFIED")</f>
        <v>VERIFIED</v>
      </c>
      <c r="E270" s="6">
        <f>IFERROR(__xludf.DUMMYFUNCTION("""COMPUTED_VALUE"""),44384.86388888889)</f>
        <v>44384.86389</v>
      </c>
      <c r="F270" s="4" t="str">
        <f>IFERROR(__xludf.DUMMYFUNCTION("""COMPUTED_VALUE""")," ---")</f>
        <v> ---</v>
      </c>
      <c r="G270" s="4" t="str">
        <f>IFERROR(__xludf.DUMMYFUNCTION("""COMPUTED_VALUE"""),"SUSE Linux Enterprise Server 15 SP3")</f>
        <v>SUSE Linux Enterprise Server 15 SP3</v>
      </c>
      <c r="H270" s="7" t="str">
        <f t="shared" si="2"/>
        <v>NO</v>
      </c>
      <c r="I270" s="7" t="str">
        <f t="shared" si="3"/>
        <v>NO</v>
      </c>
    </row>
    <row r="271">
      <c r="A271" s="4">
        <f>IFERROR(__xludf.DUMMYFUNCTION("""COMPUTED_VALUE"""),1178761.0)</f>
        <v>1178761</v>
      </c>
      <c r="B271" s="4" t="str">
        <f>IFERROR(__xludf.DUMMYFUNCTION("""COMPUTED_VALUE"""),"P2 - High")</f>
        <v>P2 - High</v>
      </c>
      <c r="C271" s="5">
        <f>IFERROR(__xludf.DUMMYFUNCTION("""COMPUTED_VALUE"""),44148.338229166664)</f>
        <v>44148.33823</v>
      </c>
      <c r="D271" s="4" t="str">
        <f>IFERROR(__xludf.DUMMYFUNCTION("""COMPUTED_VALUE"""),"VERIFIED")</f>
        <v>VERIFIED</v>
      </c>
      <c r="E271" s="6">
        <f>IFERROR(__xludf.DUMMYFUNCTION("""COMPUTED_VALUE"""),44720.37436342592)</f>
        <v>44720.37436</v>
      </c>
      <c r="F271" s="4" t="str">
        <f>IFERROR(__xludf.DUMMYFUNCTION("""COMPUTED_VALUE"""),"Yes")</f>
        <v>Yes</v>
      </c>
      <c r="G271" s="4" t="str">
        <f>IFERROR(__xludf.DUMMYFUNCTION("""COMPUTED_VALUE"""),"PUBLIC SUSE Linux Enterprise Server 15 SP3")</f>
        <v>PUBLIC SUSE Linux Enterprise Server 15 SP3</v>
      </c>
      <c r="H271" s="7" t="str">
        <f t="shared" si="2"/>
        <v>NO</v>
      </c>
      <c r="I271" s="7" t="str">
        <f t="shared" si="3"/>
        <v>NO</v>
      </c>
    </row>
    <row r="272">
      <c r="A272" s="4">
        <f>IFERROR(__xludf.DUMMYFUNCTION("""COMPUTED_VALUE"""),1184245.0)</f>
        <v>1184245</v>
      </c>
      <c r="B272" s="4" t="str">
        <f>IFERROR(__xludf.DUMMYFUNCTION("""COMPUTED_VALUE"""),"P2 - High")</f>
        <v>P2 - High</v>
      </c>
      <c r="C272" s="5">
        <f>IFERROR(__xludf.DUMMYFUNCTION("""COMPUTED_VALUE"""),44286.79108796296)</f>
        <v>44286.79109</v>
      </c>
      <c r="D272" s="4" t="str">
        <f>IFERROR(__xludf.DUMMYFUNCTION("""COMPUTED_VALUE"""),"VERIFIED")</f>
        <v>VERIFIED</v>
      </c>
      <c r="E272" s="6">
        <f>IFERROR(__xludf.DUMMYFUNCTION("""COMPUTED_VALUE"""),44325.68006944445)</f>
        <v>44325.68007</v>
      </c>
      <c r="F272" s="4" t="str">
        <f>IFERROR(__xludf.DUMMYFUNCTION("""COMPUTED_VALUE""")," ---")</f>
        <v> ---</v>
      </c>
      <c r="G272" s="4" t="str">
        <f>IFERROR(__xludf.DUMMYFUNCTION("""COMPUTED_VALUE"""),"SUSE Linux Enterprise Server 15 SP3")</f>
        <v>SUSE Linux Enterprise Server 15 SP3</v>
      </c>
      <c r="H272" s="7" t="str">
        <f t="shared" si="2"/>
        <v>NO</v>
      </c>
      <c r="I272" s="7" t="str">
        <f t="shared" si="3"/>
        <v>NO</v>
      </c>
    </row>
    <row r="273">
      <c r="A273" s="4">
        <f>IFERROR(__xludf.DUMMYFUNCTION("""COMPUTED_VALUE"""),1184934.0)</f>
        <v>1184934</v>
      </c>
      <c r="B273" s="4" t="str">
        <f>IFERROR(__xludf.DUMMYFUNCTION("""COMPUTED_VALUE"""),"P2 - High")</f>
        <v>P2 - High</v>
      </c>
      <c r="C273" s="5">
        <f>IFERROR(__xludf.DUMMYFUNCTION("""COMPUTED_VALUE"""),44304.68133101852)</f>
        <v>44304.68133</v>
      </c>
      <c r="D273" s="4" t="str">
        <f>IFERROR(__xludf.DUMMYFUNCTION("""COMPUTED_VALUE"""),"VERIFIED")</f>
        <v>VERIFIED</v>
      </c>
      <c r="E273" s="6">
        <f>IFERROR(__xludf.DUMMYFUNCTION("""COMPUTED_VALUE"""),44498.659212962964)</f>
        <v>44498.65921</v>
      </c>
      <c r="F273" s="4" t="str">
        <f>IFERROR(__xludf.DUMMYFUNCTION("""COMPUTED_VALUE""")," ---")</f>
        <v> ---</v>
      </c>
      <c r="G273" s="4" t="str">
        <f>IFERROR(__xludf.DUMMYFUNCTION("""COMPUTED_VALUE"""),"SUSE Linux Enterprise Server 15 SP3")</f>
        <v>SUSE Linux Enterprise Server 15 SP3</v>
      </c>
      <c r="H273" s="7" t="str">
        <f t="shared" si="2"/>
        <v>NO</v>
      </c>
      <c r="I273" s="7" t="str">
        <f t="shared" si="3"/>
        <v>NO</v>
      </c>
    </row>
    <row r="274">
      <c r="A274" s="4">
        <f>IFERROR(__xludf.DUMMYFUNCTION("""COMPUTED_VALUE"""),1185645.0)</f>
        <v>1185645</v>
      </c>
      <c r="B274" s="4" t="str">
        <f>IFERROR(__xludf.DUMMYFUNCTION("""COMPUTED_VALUE"""),"P2 - High")</f>
        <v>P2 - High</v>
      </c>
      <c r="C274" s="5">
        <f>IFERROR(__xludf.DUMMYFUNCTION("""COMPUTED_VALUE"""),44321.41769675926)</f>
        <v>44321.4177</v>
      </c>
      <c r="D274" s="4" t="str">
        <f>IFERROR(__xludf.DUMMYFUNCTION("""COMPUTED_VALUE"""),"VERIFIED")</f>
        <v>VERIFIED</v>
      </c>
      <c r="E274" s="6">
        <f>IFERROR(__xludf.DUMMYFUNCTION("""COMPUTED_VALUE"""),44403.26881944444)</f>
        <v>44403.26882</v>
      </c>
      <c r="F274" s="4" t="str">
        <f>IFERROR(__xludf.DUMMYFUNCTION("""COMPUTED_VALUE""")," ---")</f>
        <v> ---</v>
      </c>
      <c r="G274" s="4" t="str">
        <f>IFERROR(__xludf.DUMMYFUNCTION("""COMPUTED_VALUE"""),"SUSE Linux Enterprise Server 15 SP3")</f>
        <v>SUSE Linux Enterprise Server 15 SP3</v>
      </c>
      <c r="H274" s="7" t="str">
        <f t="shared" si="2"/>
        <v>NO</v>
      </c>
      <c r="I274" s="7" t="str">
        <f t="shared" si="3"/>
        <v>NO</v>
      </c>
    </row>
    <row r="275">
      <c r="A275" s="4">
        <f>IFERROR(__xludf.DUMMYFUNCTION("""COMPUTED_VALUE"""),1182320.0)</f>
        <v>1182320</v>
      </c>
      <c r="B275" s="4" t="str">
        <f>IFERROR(__xludf.DUMMYFUNCTION("""COMPUTED_VALUE"""),"P2 - High")</f>
        <v>P2 - High</v>
      </c>
      <c r="C275" s="5">
        <f>IFERROR(__xludf.DUMMYFUNCTION("""COMPUTED_VALUE"""),44243.54116898148)</f>
        <v>44243.54117</v>
      </c>
      <c r="D275" s="4" t="str">
        <f>IFERROR(__xludf.DUMMYFUNCTION("""COMPUTED_VALUE"""),"VERIFIED")</f>
        <v>VERIFIED</v>
      </c>
      <c r="E275" s="6">
        <f>IFERROR(__xludf.DUMMYFUNCTION("""COMPUTED_VALUE"""),44251.52296296296)</f>
        <v>44251.52296</v>
      </c>
      <c r="F275" s="4" t="str">
        <f>IFERROR(__xludf.DUMMYFUNCTION("""COMPUTED_VALUE""")," ---")</f>
        <v> ---</v>
      </c>
      <c r="G275" s="4" t="str">
        <f>IFERROR(__xludf.DUMMYFUNCTION("""COMPUTED_VALUE"""),"PUBLIC SUSE Linux Enterprise Server 15 SP3")</f>
        <v>PUBLIC SUSE Linux Enterprise Server 15 SP3</v>
      </c>
      <c r="H275" s="7" t="str">
        <f t="shared" si="2"/>
        <v>NO</v>
      </c>
      <c r="I275" s="7" t="str">
        <f t="shared" si="3"/>
        <v>YES</v>
      </c>
    </row>
    <row r="276">
      <c r="A276" s="4">
        <f>IFERROR(__xludf.DUMMYFUNCTION("""COMPUTED_VALUE"""),1179446.0)</f>
        <v>1179446</v>
      </c>
      <c r="B276" s="4" t="str">
        <f>IFERROR(__xludf.DUMMYFUNCTION("""COMPUTED_VALUE"""),"P2 - High")</f>
        <v>P2 - High</v>
      </c>
      <c r="C276" s="5">
        <f>IFERROR(__xludf.DUMMYFUNCTION("""COMPUTED_VALUE"""),44166.39677083334)</f>
        <v>44166.39677</v>
      </c>
      <c r="D276" s="4" t="str">
        <f>IFERROR(__xludf.DUMMYFUNCTION("""COMPUTED_VALUE"""),"VERIFIED")</f>
        <v>VERIFIED</v>
      </c>
      <c r="E276" s="6">
        <f>IFERROR(__xludf.DUMMYFUNCTION("""COMPUTED_VALUE"""),44384.86020833333)</f>
        <v>44384.86021</v>
      </c>
      <c r="F276" s="4" t="str">
        <f>IFERROR(__xludf.DUMMYFUNCTION("""COMPUTED_VALUE""")," ---")</f>
        <v> ---</v>
      </c>
      <c r="G276" s="4" t="str">
        <f>IFERROR(__xludf.DUMMYFUNCTION("""COMPUTED_VALUE"""),"SUSE Linux Enterprise Server 15 SP3")</f>
        <v>SUSE Linux Enterprise Server 15 SP3</v>
      </c>
      <c r="H276" s="7" t="str">
        <f t="shared" si="2"/>
        <v>NO</v>
      </c>
      <c r="I276" s="7" t="str">
        <f t="shared" si="3"/>
        <v>NO</v>
      </c>
    </row>
    <row r="277">
      <c r="A277" s="4">
        <f>IFERROR(__xludf.DUMMYFUNCTION("""COMPUTED_VALUE"""),1181679.0)</f>
        <v>1181679</v>
      </c>
      <c r="B277" s="4" t="str">
        <f>IFERROR(__xludf.DUMMYFUNCTION("""COMPUTED_VALUE"""),"P2 - High")</f>
        <v>P2 - High</v>
      </c>
      <c r="C277" s="5">
        <f>IFERROR(__xludf.DUMMYFUNCTION("""COMPUTED_VALUE"""),44229.313159722224)</f>
        <v>44229.31316</v>
      </c>
      <c r="D277" s="4" t="str">
        <f>IFERROR(__xludf.DUMMYFUNCTION("""COMPUTED_VALUE"""),"VERIFIED")</f>
        <v>VERIFIED</v>
      </c>
      <c r="E277" s="6">
        <f>IFERROR(__xludf.DUMMYFUNCTION("""COMPUTED_VALUE"""),44339.80605324074)</f>
        <v>44339.80605</v>
      </c>
      <c r="F277" s="4" t="str">
        <f>IFERROR(__xludf.DUMMYFUNCTION("""COMPUTED_VALUE""")," ---")</f>
        <v> ---</v>
      </c>
      <c r="G277" s="4" t="str">
        <f>IFERROR(__xludf.DUMMYFUNCTION("""COMPUTED_VALUE"""),"SUSE Linux Enterprise Server 15 SP3")</f>
        <v>SUSE Linux Enterprise Server 15 SP3</v>
      </c>
      <c r="H277" s="7" t="str">
        <f t="shared" si="2"/>
        <v>NO</v>
      </c>
      <c r="I277" s="7" t="str">
        <f t="shared" si="3"/>
        <v>NO</v>
      </c>
    </row>
    <row r="278">
      <c r="A278" s="4">
        <f>IFERROR(__xludf.DUMMYFUNCTION("""COMPUTED_VALUE"""),1182118.0)</f>
        <v>1182118</v>
      </c>
      <c r="B278" s="4" t="str">
        <f>IFERROR(__xludf.DUMMYFUNCTION("""COMPUTED_VALUE"""),"P2 - High")</f>
        <v>P2 - High</v>
      </c>
      <c r="C278" s="5">
        <f>IFERROR(__xludf.DUMMYFUNCTION("""COMPUTED_VALUE"""),44238.521678240744)</f>
        <v>44238.52168</v>
      </c>
      <c r="D278" s="4" t="str">
        <f>IFERROR(__xludf.DUMMYFUNCTION("""COMPUTED_VALUE"""),"VERIFIED")</f>
        <v>VERIFIED</v>
      </c>
      <c r="E278" s="6">
        <f>IFERROR(__xludf.DUMMYFUNCTION("""COMPUTED_VALUE"""),44498.554189814815)</f>
        <v>44498.55419</v>
      </c>
      <c r="F278" s="4" t="str">
        <f>IFERROR(__xludf.DUMMYFUNCTION("""COMPUTED_VALUE""")," ---")</f>
        <v> ---</v>
      </c>
      <c r="G278" s="4" t="str">
        <f>IFERROR(__xludf.DUMMYFUNCTION("""COMPUTED_VALUE"""),"SUSE Linux Enterprise Server 15 SP3")</f>
        <v>SUSE Linux Enterprise Server 15 SP3</v>
      </c>
      <c r="H278" s="7" t="str">
        <f t="shared" si="2"/>
        <v>NO</v>
      </c>
      <c r="I278" s="7" t="str">
        <f t="shared" si="3"/>
        <v>YES</v>
      </c>
    </row>
    <row r="279">
      <c r="A279" s="4">
        <f>IFERROR(__xludf.DUMMYFUNCTION("""COMPUTED_VALUE"""),1186206.0)</f>
        <v>1186206</v>
      </c>
      <c r="B279" s="4" t="str">
        <f>IFERROR(__xludf.DUMMYFUNCTION("""COMPUTED_VALUE"""),"P2 - High")</f>
        <v>P2 - High</v>
      </c>
      <c r="C279" s="5">
        <f>IFERROR(__xludf.DUMMYFUNCTION("""COMPUTED_VALUE"""),44334.5796412037)</f>
        <v>44334.57964</v>
      </c>
      <c r="D279" s="4" t="str">
        <f>IFERROR(__xludf.DUMMYFUNCTION("""COMPUTED_VALUE"""),"VERIFIED")</f>
        <v>VERIFIED</v>
      </c>
      <c r="E279" s="6">
        <f>IFERROR(__xludf.DUMMYFUNCTION("""COMPUTED_VALUE"""),44481.31778935185)</f>
        <v>44481.31779</v>
      </c>
      <c r="F279" s="4" t="str">
        <f>IFERROR(__xludf.DUMMYFUNCTION("""COMPUTED_VALUE""")," ---")</f>
        <v> ---</v>
      </c>
      <c r="G279" s="4" t="str">
        <f>IFERROR(__xludf.DUMMYFUNCTION("""COMPUTED_VALUE"""),"SUSE Linux Enterprise Server 15 SP3")</f>
        <v>SUSE Linux Enterprise Server 15 SP3</v>
      </c>
      <c r="H279" s="7" t="str">
        <f t="shared" si="2"/>
        <v>NO</v>
      </c>
      <c r="I279" s="7" t="str">
        <f t="shared" si="3"/>
        <v>NO</v>
      </c>
    </row>
    <row r="280">
      <c r="A280" s="4">
        <f>IFERROR(__xludf.DUMMYFUNCTION("""COMPUTED_VALUE"""),1176961.0)</f>
        <v>1176961</v>
      </c>
      <c r="B280" s="4" t="str">
        <f>IFERROR(__xludf.DUMMYFUNCTION("""COMPUTED_VALUE"""),"P2 - High")</f>
        <v>P2 - High</v>
      </c>
      <c r="C280" s="5">
        <f>IFERROR(__xludf.DUMMYFUNCTION("""COMPUTED_VALUE"""),44099.307291666664)</f>
        <v>44099.30729</v>
      </c>
      <c r="D280" s="4" t="str">
        <f>IFERROR(__xludf.DUMMYFUNCTION("""COMPUTED_VALUE"""),"VERIFIED")</f>
        <v>VERIFIED</v>
      </c>
      <c r="E280" s="6">
        <f>IFERROR(__xludf.DUMMYFUNCTION("""COMPUTED_VALUE"""),44630.61445601852)</f>
        <v>44630.61446</v>
      </c>
      <c r="F280" s="4" t="str">
        <f>IFERROR(__xludf.DUMMYFUNCTION("""COMPUTED_VALUE""")," ---")</f>
        <v> ---</v>
      </c>
      <c r="G280" s="4" t="str">
        <f>IFERROR(__xludf.DUMMYFUNCTION("""COMPUTED_VALUE"""),"SUSE Linux Enterprise Server 15 SP3")</f>
        <v>SUSE Linux Enterprise Server 15 SP3</v>
      </c>
      <c r="H280" s="7" t="str">
        <f t="shared" si="2"/>
        <v>NO</v>
      </c>
      <c r="I280" s="7" t="str">
        <f t="shared" si="3"/>
        <v>NO</v>
      </c>
    </row>
    <row r="281">
      <c r="A281" s="4">
        <f>IFERROR(__xludf.DUMMYFUNCTION("""COMPUTED_VALUE"""),1177116.0)</f>
        <v>1177116</v>
      </c>
      <c r="B281" s="4" t="str">
        <f>IFERROR(__xludf.DUMMYFUNCTION("""COMPUTED_VALUE"""),"P2 - High")</f>
        <v>P2 - High</v>
      </c>
      <c r="C281" s="5">
        <f>IFERROR(__xludf.DUMMYFUNCTION("""COMPUTED_VALUE"""),44104.29959490741)</f>
        <v>44104.29959</v>
      </c>
      <c r="D281" s="4" t="str">
        <f>IFERROR(__xludf.DUMMYFUNCTION("""COMPUTED_VALUE"""),"VERIFIED")</f>
        <v>VERIFIED</v>
      </c>
      <c r="E281" s="6">
        <f>IFERROR(__xludf.DUMMYFUNCTION("""COMPUTED_VALUE"""),44384.85076388889)</f>
        <v>44384.85076</v>
      </c>
      <c r="F281" s="4" t="str">
        <f>IFERROR(__xludf.DUMMYFUNCTION("""COMPUTED_VALUE""")," ---")</f>
        <v> ---</v>
      </c>
      <c r="G281" s="4" t="str">
        <f>IFERROR(__xludf.DUMMYFUNCTION("""COMPUTED_VALUE"""),"SUSE Linux Enterprise Server 15 SP3")</f>
        <v>SUSE Linux Enterprise Server 15 SP3</v>
      </c>
      <c r="H281" s="7" t="str">
        <f t="shared" si="2"/>
        <v>NO</v>
      </c>
      <c r="I281" s="7" t="str">
        <f t="shared" si="3"/>
        <v>NO</v>
      </c>
    </row>
    <row r="282">
      <c r="A282" s="4">
        <f>IFERROR(__xludf.DUMMYFUNCTION("""COMPUTED_VALUE"""),1177117.0)</f>
        <v>1177117</v>
      </c>
      <c r="B282" s="4" t="str">
        <f>IFERROR(__xludf.DUMMYFUNCTION("""COMPUTED_VALUE"""),"P2 - High")</f>
        <v>P2 - High</v>
      </c>
      <c r="C282" s="5">
        <f>IFERROR(__xludf.DUMMYFUNCTION("""COMPUTED_VALUE"""),44104.30668981482)</f>
        <v>44104.30669</v>
      </c>
      <c r="D282" s="4" t="str">
        <f>IFERROR(__xludf.DUMMYFUNCTION("""COMPUTED_VALUE"""),"VERIFIED")</f>
        <v>VERIFIED</v>
      </c>
      <c r="E282" s="6">
        <f>IFERROR(__xludf.DUMMYFUNCTION("""COMPUTED_VALUE"""),44630.61423611111)</f>
        <v>44630.61424</v>
      </c>
      <c r="F282" s="4" t="str">
        <f>IFERROR(__xludf.DUMMYFUNCTION("""COMPUTED_VALUE""")," ---")</f>
        <v> ---</v>
      </c>
      <c r="G282" s="4" t="str">
        <f>IFERROR(__xludf.DUMMYFUNCTION("""COMPUTED_VALUE"""),"SUSE Linux Enterprise Server 15 SP3")</f>
        <v>SUSE Linux Enterprise Server 15 SP3</v>
      </c>
      <c r="H282" s="7" t="str">
        <f t="shared" si="2"/>
        <v>NO</v>
      </c>
      <c r="I282" s="7" t="str">
        <f t="shared" si="3"/>
        <v>NO</v>
      </c>
    </row>
    <row r="283">
      <c r="A283" s="4">
        <f>IFERROR(__xludf.DUMMYFUNCTION("""COMPUTED_VALUE"""),1178402.0)</f>
        <v>1178402</v>
      </c>
      <c r="B283" s="4" t="str">
        <f>IFERROR(__xludf.DUMMYFUNCTION("""COMPUTED_VALUE"""),"P2 - High")</f>
        <v>P2 - High</v>
      </c>
      <c r="C283" s="5">
        <f>IFERROR(__xludf.DUMMYFUNCTION("""COMPUTED_VALUE"""),44138.68136574074)</f>
        <v>44138.68137</v>
      </c>
      <c r="D283" s="4" t="str">
        <f>IFERROR(__xludf.DUMMYFUNCTION("""COMPUTED_VALUE"""),"VERIFIED")</f>
        <v>VERIFIED</v>
      </c>
      <c r="E283" s="6">
        <f>IFERROR(__xludf.DUMMYFUNCTION("""COMPUTED_VALUE"""),44384.85673611111)</f>
        <v>44384.85674</v>
      </c>
      <c r="F283" s="4" t="str">
        <f>IFERROR(__xludf.DUMMYFUNCTION("""COMPUTED_VALUE""")," ---")</f>
        <v> ---</v>
      </c>
      <c r="G283" s="4" t="str">
        <f>IFERROR(__xludf.DUMMYFUNCTION("""COMPUTED_VALUE"""),"SUSE Linux Enterprise Server 15 SP3")</f>
        <v>SUSE Linux Enterprise Server 15 SP3</v>
      </c>
      <c r="H283" s="7" t="str">
        <f t="shared" si="2"/>
        <v>NO</v>
      </c>
      <c r="I283" s="7" t="str">
        <f t="shared" si="3"/>
        <v>NO</v>
      </c>
    </row>
    <row r="284">
      <c r="A284" s="4">
        <f>IFERROR(__xludf.DUMMYFUNCTION("""COMPUTED_VALUE"""),1179205.0)</f>
        <v>1179205</v>
      </c>
      <c r="B284" s="4" t="str">
        <f>IFERROR(__xludf.DUMMYFUNCTION("""COMPUTED_VALUE"""),"P2 - High")</f>
        <v>P2 - High</v>
      </c>
      <c r="C284" s="5">
        <f>IFERROR(__xludf.DUMMYFUNCTION("""COMPUTED_VALUE"""),44160.598703703705)</f>
        <v>44160.5987</v>
      </c>
      <c r="D284" s="4" t="str">
        <f>IFERROR(__xludf.DUMMYFUNCTION("""COMPUTED_VALUE"""),"VERIFIED")</f>
        <v>VERIFIED</v>
      </c>
      <c r="E284" s="6">
        <f>IFERROR(__xludf.DUMMYFUNCTION("""COMPUTED_VALUE"""),44630.61402777778)</f>
        <v>44630.61403</v>
      </c>
      <c r="F284" s="4" t="str">
        <f>IFERROR(__xludf.DUMMYFUNCTION("""COMPUTED_VALUE""")," ---")</f>
        <v> ---</v>
      </c>
      <c r="G284" s="4" t="str">
        <f>IFERROR(__xludf.DUMMYFUNCTION("""COMPUTED_VALUE"""),"SUSE Linux Enterprise Server 15 SP3")</f>
        <v>SUSE Linux Enterprise Server 15 SP3</v>
      </c>
      <c r="H284" s="7" t="str">
        <f t="shared" si="2"/>
        <v>NO</v>
      </c>
      <c r="I284" s="7" t="str">
        <f t="shared" si="3"/>
        <v>NO</v>
      </c>
    </row>
    <row r="285">
      <c r="A285" s="4">
        <f>IFERROR(__xludf.DUMMYFUNCTION("""COMPUTED_VALUE"""),1179234.0)</f>
        <v>1179234</v>
      </c>
      <c r="B285" s="4" t="str">
        <f>IFERROR(__xludf.DUMMYFUNCTION("""COMPUTED_VALUE"""),"P2 - High")</f>
        <v>P2 - High</v>
      </c>
      <c r="C285" s="5">
        <f>IFERROR(__xludf.DUMMYFUNCTION("""COMPUTED_VALUE"""),44161.312951388885)</f>
        <v>44161.31295</v>
      </c>
      <c r="D285" s="4" t="str">
        <f>IFERROR(__xludf.DUMMYFUNCTION("""COMPUTED_VALUE"""),"VERIFIED")</f>
        <v>VERIFIED</v>
      </c>
      <c r="E285" s="6">
        <f>IFERROR(__xludf.DUMMYFUNCTION("""COMPUTED_VALUE"""),44224.033321759256)</f>
        <v>44224.03332</v>
      </c>
      <c r="F285" s="4" t="str">
        <f>IFERROR(__xludf.DUMMYFUNCTION("""COMPUTED_VALUE""")," ---")</f>
        <v> ---</v>
      </c>
      <c r="G285" s="4" t="str">
        <f>IFERROR(__xludf.DUMMYFUNCTION("""COMPUTED_VALUE"""),"SUSE Linux Enterprise Server 15 SP3")</f>
        <v>SUSE Linux Enterprise Server 15 SP3</v>
      </c>
      <c r="H285" s="7" t="str">
        <f t="shared" si="2"/>
        <v>NO</v>
      </c>
      <c r="I285" s="7" t="str">
        <f t="shared" si="3"/>
        <v>NO</v>
      </c>
    </row>
    <row r="286">
      <c r="A286" s="4">
        <f>IFERROR(__xludf.DUMMYFUNCTION("""COMPUTED_VALUE"""),1179565.0)</f>
        <v>1179565</v>
      </c>
      <c r="B286" s="4" t="str">
        <f>IFERROR(__xludf.DUMMYFUNCTION("""COMPUTED_VALUE"""),"P2 - High")</f>
        <v>P2 - High</v>
      </c>
      <c r="C286" s="5">
        <f>IFERROR(__xludf.DUMMYFUNCTION("""COMPUTED_VALUE"""),44168.6465625)</f>
        <v>44168.64656</v>
      </c>
      <c r="D286" s="4" t="str">
        <f>IFERROR(__xludf.DUMMYFUNCTION("""COMPUTED_VALUE"""),"VERIFIED")</f>
        <v>VERIFIED</v>
      </c>
      <c r="E286" s="6">
        <f>IFERROR(__xludf.DUMMYFUNCTION("""COMPUTED_VALUE"""),44630.613854166666)</f>
        <v>44630.61385</v>
      </c>
      <c r="F286" s="4" t="str">
        <f>IFERROR(__xludf.DUMMYFUNCTION("""COMPUTED_VALUE""")," ---")</f>
        <v> ---</v>
      </c>
      <c r="G286" s="4" t="str">
        <f>IFERROR(__xludf.DUMMYFUNCTION("""COMPUTED_VALUE"""),"SUSE Linux Enterprise Server 15 SP3")</f>
        <v>SUSE Linux Enterprise Server 15 SP3</v>
      </c>
      <c r="H286" s="7" t="str">
        <f t="shared" si="2"/>
        <v>NO</v>
      </c>
      <c r="I286" s="7" t="str">
        <f t="shared" si="3"/>
        <v>NO</v>
      </c>
    </row>
    <row r="287">
      <c r="A287" s="4">
        <f>IFERROR(__xludf.DUMMYFUNCTION("""COMPUTED_VALUE"""),1179603.0)</f>
        <v>1179603</v>
      </c>
      <c r="B287" s="4" t="str">
        <f>IFERROR(__xludf.DUMMYFUNCTION("""COMPUTED_VALUE"""),"P2 - High")</f>
        <v>P2 - High</v>
      </c>
      <c r="C287" s="5">
        <f>IFERROR(__xludf.DUMMYFUNCTION("""COMPUTED_VALUE"""),44169.53537037037)</f>
        <v>44169.53537</v>
      </c>
      <c r="D287" s="4" t="str">
        <f>IFERROR(__xludf.DUMMYFUNCTION("""COMPUTED_VALUE"""),"VERIFIED")</f>
        <v>VERIFIED</v>
      </c>
      <c r="E287" s="6">
        <f>IFERROR(__xludf.DUMMYFUNCTION("""COMPUTED_VALUE"""),44630.613703703704)</f>
        <v>44630.6137</v>
      </c>
      <c r="F287" s="4" t="str">
        <f>IFERROR(__xludf.DUMMYFUNCTION("""COMPUTED_VALUE""")," ---")</f>
        <v> ---</v>
      </c>
      <c r="G287" s="4" t="str">
        <f>IFERROR(__xludf.DUMMYFUNCTION("""COMPUTED_VALUE"""),"SUSE Linux Enterprise Server 15 SP3")</f>
        <v>SUSE Linux Enterprise Server 15 SP3</v>
      </c>
      <c r="H287" s="7" t="str">
        <f t="shared" si="2"/>
        <v>NO</v>
      </c>
      <c r="I287" s="7" t="str">
        <f t="shared" si="3"/>
        <v>NO</v>
      </c>
    </row>
    <row r="288">
      <c r="A288" s="4">
        <f>IFERROR(__xludf.DUMMYFUNCTION("""COMPUTED_VALUE"""),1179611.0)</f>
        <v>1179611</v>
      </c>
      <c r="B288" s="4" t="str">
        <f>IFERROR(__xludf.DUMMYFUNCTION("""COMPUTED_VALUE"""),"P2 - High")</f>
        <v>P2 - High</v>
      </c>
      <c r="C288" s="5">
        <f>IFERROR(__xludf.DUMMYFUNCTION("""COMPUTED_VALUE"""),44169.60513888889)</f>
        <v>44169.60514</v>
      </c>
      <c r="D288" s="4" t="str">
        <f>IFERROR(__xludf.DUMMYFUNCTION("""COMPUTED_VALUE"""),"VERIFIED")</f>
        <v>VERIFIED</v>
      </c>
      <c r="E288" s="6">
        <f>IFERROR(__xludf.DUMMYFUNCTION("""COMPUTED_VALUE"""),44630.61309027778)</f>
        <v>44630.61309</v>
      </c>
      <c r="F288" s="4" t="str">
        <f>IFERROR(__xludf.DUMMYFUNCTION("""COMPUTED_VALUE""")," ---")</f>
        <v> ---</v>
      </c>
      <c r="G288" s="4" t="str">
        <f>IFERROR(__xludf.DUMMYFUNCTION("""COMPUTED_VALUE"""),"SUSE Linux Enterprise Server 15 SP3")</f>
        <v>SUSE Linux Enterprise Server 15 SP3</v>
      </c>
      <c r="H288" s="7" t="str">
        <f t="shared" si="2"/>
        <v>NO</v>
      </c>
      <c r="I288" s="7" t="str">
        <f t="shared" si="3"/>
        <v>NO</v>
      </c>
    </row>
    <row r="289">
      <c r="A289" s="4">
        <f>IFERROR(__xludf.DUMMYFUNCTION("""COMPUTED_VALUE"""),1180114.0)</f>
        <v>1180114</v>
      </c>
      <c r="B289" s="4" t="str">
        <f>IFERROR(__xludf.DUMMYFUNCTION("""COMPUTED_VALUE"""),"P2 - High")</f>
        <v>P2 - High</v>
      </c>
      <c r="C289" s="5">
        <f>IFERROR(__xludf.DUMMYFUNCTION("""COMPUTED_VALUE"""),44181.60523148148)</f>
        <v>44181.60523</v>
      </c>
      <c r="D289" s="4" t="str">
        <f>IFERROR(__xludf.DUMMYFUNCTION("""COMPUTED_VALUE"""),"VERIFIED")</f>
        <v>VERIFIED</v>
      </c>
      <c r="E289" s="6">
        <f>IFERROR(__xludf.DUMMYFUNCTION("""COMPUTED_VALUE"""),44384.863958333335)</f>
        <v>44384.86396</v>
      </c>
      <c r="F289" s="4" t="str">
        <f>IFERROR(__xludf.DUMMYFUNCTION("""COMPUTED_VALUE""")," ---")</f>
        <v> ---</v>
      </c>
      <c r="G289" s="4" t="str">
        <f>IFERROR(__xludf.DUMMYFUNCTION("""COMPUTED_VALUE"""),"SUSE Linux Enterprise Server 15 SP3")</f>
        <v>SUSE Linux Enterprise Server 15 SP3</v>
      </c>
      <c r="H289" s="7" t="str">
        <f t="shared" si="2"/>
        <v>NO</v>
      </c>
      <c r="I289" s="7" t="str">
        <f t="shared" si="3"/>
        <v>NO</v>
      </c>
    </row>
    <row r="290">
      <c r="A290" s="4">
        <f>IFERROR(__xludf.DUMMYFUNCTION("""COMPUTED_VALUE"""),1181070.0)</f>
        <v>1181070</v>
      </c>
      <c r="B290" s="4" t="str">
        <f>IFERROR(__xludf.DUMMYFUNCTION("""COMPUTED_VALUE"""),"P2 - High")</f>
        <v>P2 - High</v>
      </c>
      <c r="C290" s="5">
        <f>IFERROR(__xludf.DUMMYFUNCTION("""COMPUTED_VALUE"""),44214.70207175926)</f>
        <v>44214.70207</v>
      </c>
      <c r="D290" s="4" t="str">
        <f>IFERROR(__xludf.DUMMYFUNCTION("""COMPUTED_VALUE"""),"VERIFIED")</f>
        <v>VERIFIED</v>
      </c>
      <c r="E290" s="6">
        <f>IFERROR(__xludf.DUMMYFUNCTION("""COMPUTED_VALUE"""),44384.86638888889)</f>
        <v>44384.86639</v>
      </c>
      <c r="F290" s="4" t="str">
        <f>IFERROR(__xludf.DUMMYFUNCTION("""COMPUTED_VALUE""")," ---")</f>
        <v> ---</v>
      </c>
      <c r="G290" s="4" t="str">
        <f>IFERROR(__xludf.DUMMYFUNCTION("""COMPUTED_VALUE"""),"SUSE Linux Enterprise Server 15 SP3")</f>
        <v>SUSE Linux Enterprise Server 15 SP3</v>
      </c>
      <c r="H290" s="7" t="str">
        <f t="shared" si="2"/>
        <v>NO</v>
      </c>
      <c r="I290" s="7" t="str">
        <f t="shared" si="3"/>
        <v>NO</v>
      </c>
    </row>
    <row r="291">
      <c r="A291" s="4">
        <f>IFERROR(__xludf.DUMMYFUNCTION("""COMPUTED_VALUE"""),1181074.0)</f>
        <v>1181074</v>
      </c>
      <c r="B291" s="4" t="str">
        <f>IFERROR(__xludf.DUMMYFUNCTION("""COMPUTED_VALUE"""),"P2 - High")</f>
        <v>P2 - High</v>
      </c>
      <c r="C291" s="5">
        <f>IFERROR(__xludf.DUMMYFUNCTION("""COMPUTED_VALUE"""),44214.70899305555)</f>
        <v>44214.70899</v>
      </c>
      <c r="D291" s="4" t="str">
        <f>IFERROR(__xludf.DUMMYFUNCTION("""COMPUTED_VALUE"""),"VERIFIED")</f>
        <v>VERIFIED</v>
      </c>
      <c r="E291" s="6">
        <f>IFERROR(__xludf.DUMMYFUNCTION("""COMPUTED_VALUE"""),44241.77648148148)</f>
        <v>44241.77648</v>
      </c>
      <c r="F291" s="4" t="str">
        <f>IFERROR(__xludf.DUMMYFUNCTION("""COMPUTED_VALUE""")," ---")</f>
        <v> ---</v>
      </c>
      <c r="G291" s="4" t="str">
        <f>IFERROR(__xludf.DUMMYFUNCTION("""COMPUTED_VALUE"""),"SUSE Linux Enterprise Server 15 SP3")</f>
        <v>SUSE Linux Enterprise Server 15 SP3</v>
      </c>
      <c r="H291" s="7" t="str">
        <f t="shared" si="2"/>
        <v>NO</v>
      </c>
      <c r="I291" s="7" t="str">
        <f t="shared" si="3"/>
        <v>NO</v>
      </c>
    </row>
    <row r="292">
      <c r="A292" s="4">
        <f>IFERROR(__xludf.DUMMYFUNCTION("""COMPUTED_VALUE"""),1181076.0)</f>
        <v>1181076</v>
      </c>
      <c r="B292" s="4" t="str">
        <f>IFERROR(__xludf.DUMMYFUNCTION("""COMPUTED_VALUE"""),"P2 - High")</f>
        <v>P2 - High</v>
      </c>
      <c r="C292" s="5">
        <f>IFERROR(__xludf.DUMMYFUNCTION("""COMPUTED_VALUE"""),44214.716365740744)</f>
        <v>44214.71637</v>
      </c>
      <c r="D292" s="4" t="str">
        <f>IFERROR(__xludf.DUMMYFUNCTION("""COMPUTED_VALUE"""),"VERIFIED")</f>
        <v>VERIFIED</v>
      </c>
      <c r="E292" s="6">
        <f>IFERROR(__xludf.DUMMYFUNCTION("""COMPUTED_VALUE"""),44630.612916666665)</f>
        <v>44630.61292</v>
      </c>
      <c r="F292" s="4" t="str">
        <f>IFERROR(__xludf.DUMMYFUNCTION("""COMPUTED_VALUE""")," ---")</f>
        <v> ---</v>
      </c>
      <c r="G292" s="4" t="str">
        <f>IFERROR(__xludf.DUMMYFUNCTION("""COMPUTED_VALUE"""),"SUSE Linux Enterprise Server 15 SP3")</f>
        <v>SUSE Linux Enterprise Server 15 SP3</v>
      </c>
      <c r="H292" s="7" t="str">
        <f t="shared" si="2"/>
        <v>NO</v>
      </c>
      <c r="I292" s="7" t="str">
        <f t="shared" si="3"/>
        <v>NO</v>
      </c>
    </row>
    <row r="293">
      <c r="A293" s="4">
        <f>IFERROR(__xludf.DUMMYFUNCTION("""COMPUTED_VALUE"""),1182127.0)</f>
        <v>1182127</v>
      </c>
      <c r="B293" s="4" t="str">
        <f>IFERROR(__xludf.DUMMYFUNCTION("""COMPUTED_VALUE"""),"P2 - High")</f>
        <v>P2 - High</v>
      </c>
      <c r="C293" s="5">
        <f>IFERROR(__xludf.DUMMYFUNCTION("""COMPUTED_VALUE"""),44238.591157407405)</f>
        <v>44238.59116</v>
      </c>
      <c r="D293" s="4" t="str">
        <f>IFERROR(__xludf.DUMMYFUNCTION("""COMPUTED_VALUE"""),"VERIFIED")</f>
        <v>VERIFIED</v>
      </c>
      <c r="E293" s="6">
        <f>IFERROR(__xludf.DUMMYFUNCTION("""COMPUTED_VALUE"""),44630.61258101852)</f>
        <v>44630.61258</v>
      </c>
      <c r="F293" s="4" t="str">
        <f>IFERROR(__xludf.DUMMYFUNCTION("""COMPUTED_VALUE""")," ---")</f>
        <v> ---</v>
      </c>
      <c r="G293" s="4" t="str">
        <f>IFERROR(__xludf.DUMMYFUNCTION("""COMPUTED_VALUE"""),"SUSE Linux Enterprise Server 15 SP3")</f>
        <v>SUSE Linux Enterprise Server 15 SP3</v>
      </c>
      <c r="H293" s="7" t="str">
        <f t="shared" si="2"/>
        <v>NO</v>
      </c>
      <c r="I293" s="7" t="str">
        <f t="shared" si="3"/>
        <v>YES</v>
      </c>
    </row>
    <row r="294">
      <c r="A294" s="4">
        <f>IFERROR(__xludf.DUMMYFUNCTION("""COMPUTED_VALUE"""),1185980.0)</f>
        <v>1185980</v>
      </c>
      <c r="B294" s="4" t="str">
        <f>IFERROR(__xludf.DUMMYFUNCTION("""COMPUTED_VALUE"""),"P2 - High")</f>
        <v>P2 - High</v>
      </c>
      <c r="C294" s="5">
        <f>IFERROR(__xludf.DUMMYFUNCTION("""COMPUTED_VALUE"""),44328.59311342592)</f>
        <v>44328.59311</v>
      </c>
      <c r="D294" s="4" t="str">
        <f>IFERROR(__xludf.DUMMYFUNCTION("""COMPUTED_VALUE"""),"VERIFIED")</f>
        <v>VERIFIED</v>
      </c>
      <c r="E294" s="6">
        <f>IFERROR(__xludf.DUMMYFUNCTION("""COMPUTED_VALUE"""),44630.6124537037)</f>
        <v>44630.61245</v>
      </c>
      <c r="F294" s="4" t="str">
        <f>IFERROR(__xludf.DUMMYFUNCTION("""COMPUTED_VALUE""")," ---")</f>
        <v> ---</v>
      </c>
      <c r="G294" s="4" t="str">
        <f>IFERROR(__xludf.DUMMYFUNCTION("""COMPUTED_VALUE"""),"SUSE Linux Enterprise Server 15 SP3")</f>
        <v>SUSE Linux Enterprise Server 15 SP3</v>
      </c>
      <c r="H294" s="7" t="str">
        <f t="shared" si="2"/>
        <v>NO</v>
      </c>
      <c r="I294" s="7" t="str">
        <f t="shared" si="3"/>
        <v>NO</v>
      </c>
    </row>
    <row r="295">
      <c r="A295" s="4">
        <f>IFERROR(__xludf.DUMMYFUNCTION("""COMPUTED_VALUE"""),1186467.0)</f>
        <v>1186467</v>
      </c>
      <c r="B295" s="4" t="str">
        <f>IFERROR(__xludf.DUMMYFUNCTION("""COMPUTED_VALUE"""),"P2 - High")</f>
        <v>P2 - High</v>
      </c>
      <c r="C295" s="5">
        <f>IFERROR(__xludf.DUMMYFUNCTION("""COMPUTED_VALUE"""),44342.495416666665)</f>
        <v>44342.49542</v>
      </c>
      <c r="D295" s="4" t="str">
        <f>IFERROR(__xludf.DUMMYFUNCTION("""COMPUTED_VALUE"""),"VERIFIED")</f>
        <v>VERIFIED</v>
      </c>
      <c r="E295" s="6">
        <f>IFERROR(__xludf.DUMMYFUNCTION("""COMPUTED_VALUE"""),44621.67648148148)</f>
        <v>44621.67648</v>
      </c>
      <c r="F295" s="4" t="str">
        <f>IFERROR(__xludf.DUMMYFUNCTION("""COMPUTED_VALUE""")," ---")</f>
        <v> ---</v>
      </c>
      <c r="G295" s="4" t="str">
        <f>IFERROR(__xludf.DUMMYFUNCTION("""COMPUTED_VALUE"""),"SUSE Linux Enterprise Server 15 SP3")</f>
        <v>SUSE Linux Enterprise Server 15 SP3</v>
      </c>
      <c r="H295" s="7" t="str">
        <f t="shared" si="2"/>
        <v>NO</v>
      </c>
      <c r="I295" s="7" t="str">
        <f t="shared" si="3"/>
        <v>NO</v>
      </c>
    </row>
    <row r="296">
      <c r="A296" s="4">
        <f>IFERROR(__xludf.DUMMYFUNCTION("""COMPUTED_VALUE"""),1179948.0)</f>
        <v>1179948</v>
      </c>
      <c r="B296" s="4" t="str">
        <f>IFERROR(__xludf.DUMMYFUNCTION("""COMPUTED_VALUE"""),"P3 - Medium")</f>
        <v>P3 - Medium</v>
      </c>
      <c r="C296" s="5">
        <f>IFERROR(__xludf.DUMMYFUNCTION("""COMPUTED_VALUE"""),44176.462534722225)</f>
        <v>44176.46253</v>
      </c>
      <c r="D296" s="4" t="str">
        <f>IFERROR(__xludf.DUMMYFUNCTION("""COMPUTED_VALUE"""),"NEW")</f>
        <v>NEW</v>
      </c>
      <c r="E296" s="6">
        <f>IFERROR(__xludf.DUMMYFUNCTION("""COMPUTED_VALUE"""),44207.56248842592)</f>
        <v>44207.56249</v>
      </c>
      <c r="F296" s="4" t="str">
        <f>IFERROR(__xludf.DUMMYFUNCTION("""COMPUTED_VALUE""")," ---")</f>
        <v> ---</v>
      </c>
      <c r="G296" s="4" t="str">
        <f>IFERROR(__xludf.DUMMYFUNCTION("""COMPUTED_VALUE"""),"SUSE Linux Enterprise Server 15 SP3")</f>
        <v>SUSE Linux Enterprise Server 15 SP3</v>
      </c>
      <c r="H296" s="7" t="str">
        <f t="shared" si="2"/>
        <v>NO</v>
      </c>
      <c r="I296" s="7" t="str">
        <f t="shared" si="3"/>
        <v>NO</v>
      </c>
    </row>
    <row r="297">
      <c r="A297" s="4">
        <f>IFERROR(__xludf.DUMMYFUNCTION("""COMPUTED_VALUE"""),1180974.0)</f>
        <v>1180974</v>
      </c>
      <c r="B297" s="4" t="str">
        <f>IFERROR(__xludf.DUMMYFUNCTION("""COMPUTED_VALUE"""),"P3 - Medium")</f>
        <v>P3 - Medium</v>
      </c>
      <c r="C297" s="5">
        <f>IFERROR(__xludf.DUMMYFUNCTION("""COMPUTED_VALUE"""),44211.4741087963)</f>
        <v>44211.47411</v>
      </c>
      <c r="D297" s="4" t="str">
        <f>IFERROR(__xludf.DUMMYFUNCTION("""COMPUTED_VALUE"""),"NEW")</f>
        <v>NEW</v>
      </c>
      <c r="E297" s="6">
        <f>IFERROR(__xludf.DUMMYFUNCTION("""COMPUTED_VALUE"""),44636.7677662037)</f>
        <v>44636.76777</v>
      </c>
      <c r="F297" s="4" t="str">
        <f>IFERROR(__xludf.DUMMYFUNCTION("""COMPUTED_VALUE""")," ---")</f>
        <v> ---</v>
      </c>
      <c r="G297" s="4" t="str">
        <f>IFERROR(__xludf.DUMMYFUNCTION("""COMPUTED_VALUE"""),"SUSE Linux Enterprise Server 15 SP3")</f>
        <v>SUSE Linux Enterprise Server 15 SP3</v>
      </c>
      <c r="H297" s="7" t="str">
        <f t="shared" si="2"/>
        <v>NO</v>
      </c>
      <c r="I297" s="7" t="str">
        <f t="shared" si="3"/>
        <v>NO</v>
      </c>
    </row>
    <row r="298">
      <c r="A298" s="4">
        <f>IFERROR(__xludf.DUMMYFUNCTION("""COMPUTED_VALUE"""),1179002.0)</f>
        <v>1179002</v>
      </c>
      <c r="B298" s="4" t="str">
        <f>IFERROR(__xludf.DUMMYFUNCTION("""COMPUTED_VALUE"""),"P3 - Medium")</f>
        <v>P3 - Medium</v>
      </c>
      <c r="C298" s="5">
        <f>IFERROR(__xludf.DUMMYFUNCTION("""COMPUTED_VALUE"""),44155.34689814815)</f>
        <v>44155.3469</v>
      </c>
      <c r="D298" s="4" t="str">
        <f>IFERROR(__xludf.DUMMYFUNCTION("""COMPUTED_VALUE"""),"NEW")</f>
        <v>NEW</v>
      </c>
      <c r="E298" s="6">
        <f>IFERROR(__xludf.DUMMYFUNCTION("""COMPUTED_VALUE"""),44356.476377314815)</f>
        <v>44356.47638</v>
      </c>
      <c r="F298" s="4" t="str">
        <f>IFERROR(__xludf.DUMMYFUNCTION("""COMPUTED_VALUE""")," ---")</f>
        <v> ---</v>
      </c>
      <c r="G298" s="4" t="str">
        <f>IFERROR(__xludf.DUMMYFUNCTION("""COMPUTED_VALUE"""),"SUSE Linux Enterprise Server 15 SP3")</f>
        <v>SUSE Linux Enterprise Server 15 SP3</v>
      </c>
      <c r="H298" s="7" t="str">
        <f t="shared" si="2"/>
        <v>NO</v>
      </c>
      <c r="I298" s="7" t="str">
        <f t="shared" si="3"/>
        <v>NO</v>
      </c>
    </row>
    <row r="299">
      <c r="A299" s="4">
        <f>IFERROR(__xludf.DUMMYFUNCTION("""COMPUTED_VALUE"""),1180990.0)</f>
        <v>1180990</v>
      </c>
      <c r="B299" s="4" t="str">
        <f>IFERROR(__xludf.DUMMYFUNCTION("""COMPUTED_VALUE"""),"P3 - Medium")</f>
        <v>P3 - Medium</v>
      </c>
      <c r="C299" s="5">
        <f>IFERROR(__xludf.DUMMYFUNCTION("""COMPUTED_VALUE"""),44211.618726851855)</f>
        <v>44211.61873</v>
      </c>
      <c r="D299" s="4" t="str">
        <f>IFERROR(__xludf.DUMMYFUNCTION("""COMPUTED_VALUE"""),"NEW")</f>
        <v>NEW</v>
      </c>
      <c r="E299" s="6">
        <f>IFERROR(__xludf.DUMMYFUNCTION("""COMPUTED_VALUE"""),44356.475486111114)</f>
        <v>44356.47549</v>
      </c>
      <c r="F299" s="4" t="str">
        <f>IFERROR(__xludf.DUMMYFUNCTION("""COMPUTED_VALUE""")," ---")</f>
        <v> ---</v>
      </c>
      <c r="G299" s="4" t="str">
        <f>IFERROR(__xludf.DUMMYFUNCTION("""COMPUTED_VALUE"""),"SUSE Linux Enterprise Server 15 SP3")</f>
        <v>SUSE Linux Enterprise Server 15 SP3</v>
      </c>
      <c r="H299" s="7" t="str">
        <f t="shared" si="2"/>
        <v>NO</v>
      </c>
      <c r="I299" s="7" t="str">
        <f t="shared" si="3"/>
        <v>NO</v>
      </c>
    </row>
    <row r="300">
      <c r="A300" s="4">
        <f>IFERROR(__xludf.DUMMYFUNCTION("""COMPUTED_VALUE"""),1181302.0)</f>
        <v>1181302</v>
      </c>
      <c r="B300" s="4" t="str">
        <f>IFERROR(__xludf.DUMMYFUNCTION("""COMPUTED_VALUE"""),"P3 - Medium")</f>
        <v>P3 - Medium</v>
      </c>
      <c r="C300" s="5">
        <f>IFERROR(__xludf.DUMMYFUNCTION("""COMPUTED_VALUE"""),44218.666655092595)</f>
        <v>44218.66666</v>
      </c>
      <c r="D300" s="4" t="str">
        <f>IFERROR(__xludf.DUMMYFUNCTION("""COMPUTED_VALUE"""),"NEW")</f>
        <v>NEW</v>
      </c>
      <c r="E300" s="6">
        <f>IFERROR(__xludf.DUMMYFUNCTION("""COMPUTED_VALUE"""),44383.60071759259)</f>
        <v>44383.60072</v>
      </c>
      <c r="F300" s="4" t="str">
        <f>IFERROR(__xludf.DUMMYFUNCTION("""COMPUTED_VALUE""")," ---")</f>
        <v> ---</v>
      </c>
      <c r="G300" s="4" t="str">
        <f>IFERROR(__xludf.DUMMYFUNCTION("""COMPUTED_VALUE"""),"SUSE Linux Enterprise Server 15 SP3")</f>
        <v>SUSE Linux Enterprise Server 15 SP3</v>
      </c>
      <c r="H300" s="7" t="str">
        <f t="shared" si="2"/>
        <v>NO</v>
      </c>
      <c r="I300" s="7" t="str">
        <f t="shared" si="3"/>
        <v>NO</v>
      </c>
    </row>
    <row r="301">
      <c r="A301" s="4">
        <f>IFERROR(__xludf.DUMMYFUNCTION("""COMPUTED_VALUE"""),1178134.0)</f>
        <v>1178134</v>
      </c>
      <c r="B301" s="4" t="str">
        <f>IFERROR(__xludf.DUMMYFUNCTION("""COMPUTED_VALUE"""),"P3 - Medium")</f>
        <v>P3 - Medium</v>
      </c>
      <c r="C301" s="5">
        <f>IFERROR(__xludf.DUMMYFUNCTION("""COMPUTED_VALUE"""),44130.60369212963)</f>
        <v>44130.60369</v>
      </c>
      <c r="D301" s="4" t="str">
        <f>IFERROR(__xludf.DUMMYFUNCTION("""COMPUTED_VALUE"""),"NEW")</f>
        <v>NEW</v>
      </c>
      <c r="E301" s="6">
        <f>IFERROR(__xludf.DUMMYFUNCTION("""COMPUTED_VALUE"""),44736.68184027778)</f>
        <v>44736.68184</v>
      </c>
      <c r="F301" s="4" t="str">
        <f>IFERROR(__xludf.DUMMYFUNCTION("""COMPUTED_VALUE""")," ---")</f>
        <v> ---</v>
      </c>
      <c r="G301" s="4" t="str">
        <f>IFERROR(__xludf.DUMMYFUNCTION("""COMPUTED_VALUE"""),"SUSE Linux Enterprise Server 15 SP3")</f>
        <v>SUSE Linux Enterprise Server 15 SP3</v>
      </c>
      <c r="H301" s="7" t="str">
        <f t="shared" si="2"/>
        <v>NO</v>
      </c>
      <c r="I301" s="7" t="str">
        <f t="shared" si="3"/>
        <v>NO</v>
      </c>
    </row>
    <row r="302">
      <c r="A302" s="4">
        <f>IFERROR(__xludf.DUMMYFUNCTION("""COMPUTED_VALUE"""),1183448.0)</f>
        <v>1183448</v>
      </c>
      <c r="B302" s="4" t="str">
        <f>IFERROR(__xludf.DUMMYFUNCTION("""COMPUTED_VALUE"""),"P3 - Medium")</f>
        <v>P3 - Medium</v>
      </c>
      <c r="C302" s="5">
        <f>IFERROR(__xludf.DUMMYFUNCTION("""COMPUTED_VALUE"""),44267.56365740741)</f>
        <v>44267.56366</v>
      </c>
      <c r="D302" s="4" t="str">
        <f>IFERROR(__xludf.DUMMYFUNCTION("""COMPUTED_VALUE"""),"NEW")</f>
        <v>NEW</v>
      </c>
      <c r="E302" s="6">
        <f>IFERROR(__xludf.DUMMYFUNCTION("""COMPUTED_VALUE"""),44356.47609953704)</f>
        <v>44356.4761</v>
      </c>
      <c r="F302" s="4" t="str">
        <f>IFERROR(__xludf.DUMMYFUNCTION("""COMPUTED_VALUE""")," ---")</f>
        <v> ---</v>
      </c>
      <c r="G302" s="4" t="str">
        <f>IFERROR(__xludf.DUMMYFUNCTION("""COMPUTED_VALUE"""),"SUSE Linux Enterprise Server 15 SP3")</f>
        <v>SUSE Linux Enterprise Server 15 SP3</v>
      </c>
      <c r="H302" s="7" t="str">
        <f t="shared" si="2"/>
        <v>NO</v>
      </c>
      <c r="I302" s="7" t="str">
        <f t="shared" si="3"/>
        <v>NO</v>
      </c>
    </row>
    <row r="303">
      <c r="A303" s="4">
        <f>IFERROR(__xludf.DUMMYFUNCTION("""COMPUTED_VALUE"""),1174235.0)</f>
        <v>1174235</v>
      </c>
      <c r="B303" s="4" t="str">
        <f>IFERROR(__xludf.DUMMYFUNCTION("""COMPUTED_VALUE"""),"P3 - Medium")</f>
        <v>P3 - Medium</v>
      </c>
      <c r="C303" s="5">
        <f>IFERROR(__xludf.DUMMYFUNCTION("""COMPUTED_VALUE"""),44029.386145833334)</f>
        <v>44029.38615</v>
      </c>
      <c r="D303" s="4" t="str">
        <f>IFERROR(__xludf.DUMMYFUNCTION("""COMPUTED_VALUE"""),"NEW")</f>
        <v>NEW</v>
      </c>
      <c r="E303" s="6">
        <f>IFERROR(__xludf.DUMMYFUNCTION("""COMPUTED_VALUE"""),44356.47582175926)</f>
        <v>44356.47582</v>
      </c>
      <c r="F303" s="4" t="str">
        <f>IFERROR(__xludf.DUMMYFUNCTION("""COMPUTED_VALUE""")," ---")</f>
        <v> ---</v>
      </c>
      <c r="G303" s="4" t="str">
        <f>IFERROR(__xludf.DUMMYFUNCTION("""COMPUTED_VALUE"""),"SUSE Linux Enterprise Server 15 SP3")</f>
        <v>SUSE Linux Enterprise Server 15 SP3</v>
      </c>
      <c r="H303" s="7" t="str">
        <f t="shared" si="2"/>
        <v>NO</v>
      </c>
      <c r="I303" s="7" t="str">
        <f t="shared" si="3"/>
        <v>NO</v>
      </c>
    </row>
    <row r="304">
      <c r="A304" s="4">
        <f>IFERROR(__xludf.DUMMYFUNCTION("""COMPUTED_VALUE"""),1183339.0)</f>
        <v>1183339</v>
      </c>
      <c r="B304" s="4" t="str">
        <f>IFERROR(__xludf.DUMMYFUNCTION("""COMPUTED_VALUE"""),"P3 - Medium")</f>
        <v>P3 - Medium</v>
      </c>
      <c r="C304" s="5">
        <f>IFERROR(__xludf.DUMMYFUNCTION("""COMPUTED_VALUE"""),44265.88010416667)</f>
        <v>44265.8801</v>
      </c>
      <c r="D304" s="4" t="str">
        <f>IFERROR(__xludf.DUMMYFUNCTION("""COMPUTED_VALUE"""),"NEW")</f>
        <v>NEW</v>
      </c>
      <c r="E304" s="6">
        <f>IFERROR(__xludf.DUMMYFUNCTION("""COMPUTED_VALUE"""),44475.595555555556)</f>
        <v>44475.59556</v>
      </c>
      <c r="F304" s="4" t="str">
        <f>IFERROR(__xludf.DUMMYFUNCTION("""COMPUTED_VALUE""")," ---")</f>
        <v> ---</v>
      </c>
      <c r="G304" s="4" t="str">
        <f>IFERROR(__xludf.DUMMYFUNCTION("""COMPUTED_VALUE"""),"SUSE Linux Enterprise Server 15 SP3")</f>
        <v>SUSE Linux Enterprise Server 15 SP3</v>
      </c>
      <c r="H304" s="7" t="str">
        <f t="shared" si="2"/>
        <v>NO</v>
      </c>
      <c r="I304" s="7" t="str">
        <f t="shared" si="3"/>
        <v>NO</v>
      </c>
    </row>
    <row r="305">
      <c r="A305" s="4">
        <f>IFERROR(__xludf.DUMMYFUNCTION("""COMPUTED_VALUE"""),1184587.0)</f>
        <v>1184587</v>
      </c>
      <c r="B305" s="4" t="str">
        <f>IFERROR(__xludf.DUMMYFUNCTION("""COMPUTED_VALUE"""),"P3 - Medium")</f>
        <v>P3 - Medium</v>
      </c>
      <c r="C305" s="5">
        <f>IFERROR(__xludf.DUMMYFUNCTION("""COMPUTED_VALUE"""),44298.32167824074)</f>
        <v>44298.32168</v>
      </c>
      <c r="D305" s="4" t="str">
        <f>IFERROR(__xludf.DUMMYFUNCTION("""COMPUTED_VALUE"""),"NEW")</f>
        <v>NEW</v>
      </c>
      <c r="E305" s="6">
        <f>IFERROR(__xludf.DUMMYFUNCTION("""COMPUTED_VALUE"""),44650.40577546296)</f>
        <v>44650.40578</v>
      </c>
      <c r="F305" s="4" t="str">
        <f>IFERROR(__xludf.DUMMYFUNCTION("""COMPUTED_VALUE""")," ---")</f>
        <v> ---</v>
      </c>
      <c r="G305" s="4" t="str">
        <f>IFERROR(__xludf.DUMMYFUNCTION("""COMPUTED_VALUE"""),"SUSE Linux Enterprise Server 15 SP3")</f>
        <v>SUSE Linux Enterprise Server 15 SP3</v>
      </c>
      <c r="H305" s="7" t="str">
        <f t="shared" si="2"/>
        <v>NO</v>
      </c>
      <c r="I305" s="7" t="str">
        <f t="shared" si="3"/>
        <v>NO</v>
      </c>
    </row>
    <row r="306">
      <c r="A306" s="4">
        <f>IFERROR(__xludf.DUMMYFUNCTION("""COMPUTED_VALUE"""),1184862.0)</f>
        <v>1184862</v>
      </c>
      <c r="B306" s="4" t="str">
        <f>IFERROR(__xludf.DUMMYFUNCTION("""COMPUTED_VALUE"""),"P3 - Medium")</f>
        <v>P3 - Medium</v>
      </c>
      <c r="C306" s="5">
        <f>IFERROR(__xludf.DUMMYFUNCTION("""COMPUTED_VALUE"""),44302.45972222222)</f>
        <v>44302.45972</v>
      </c>
      <c r="D306" s="4" t="str">
        <f>IFERROR(__xludf.DUMMYFUNCTION("""COMPUTED_VALUE"""),"NEW")</f>
        <v>NEW</v>
      </c>
      <c r="E306" s="6">
        <f>IFERROR(__xludf.DUMMYFUNCTION("""COMPUTED_VALUE"""),44312.295381944445)</f>
        <v>44312.29538</v>
      </c>
      <c r="F306" s="4" t="str">
        <f>IFERROR(__xludf.DUMMYFUNCTION("""COMPUTED_VALUE""")," ---")</f>
        <v> ---</v>
      </c>
      <c r="G306" s="4" t="str">
        <f>IFERROR(__xludf.DUMMYFUNCTION("""COMPUTED_VALUE"""),"SUSE Linux Enterprise Server 15 SP3")</f>
        <v>SUSE Linux Enterprise Server 15 SP3</v>
      </c>
      <c r="H306" s="7" t="str">
        <f t="shared" si="2"/>
        <v>NO</v>
      </c>
      <c r="I306" s="7" t="str">
        <f t="shared" si="3"/>
        <v>NO</v>
      </c>
    </row>
    <row r="307">
      <c r="A307" s="4">
        <f>IFERROR(__xludf.DUMMYFUNCTION("""COMPUTED_VALUE"""),1185517.0)</f>
        <v>1185517</v>
      </c>
      <c r="B307" s="4" t="str">
        <f>IFERROR(__xludf.DUMMYFUNCTION("""COMPUTED_VALUE"""),"P3 - Medium")</f>
        <v>P3 - Medium</v>
      </c>
      <c r="C307" s="5">
        <f>IFERROR(__xludf.DUMMYFUNCTION("""COMPUTED_VALUE"""),44316.95364583333)</f>
        <v>44316.95365</v>
      </c>
      <c r="D307" s="4" t="str">
        <f>IFERROR(__xludf.DUMMYFUNCTION("""COMPUTED_VALUE"""),"NEW")</f>
        <v>NEW</v>
      </c>
      <c r="E307" s="6">
        <f>IFERROR(__xludf.DUMMYFUNCTION("""COMPUTED_VALUE"""),44323.630162037036)</f>
        <v>44323.63016</v>
      </c>
      <c r="F307" s="4" t="str">
        <f>IFERROR(__xludf.DUMMYFUNCTION("""COMPUTED_VALUE""")," ---")</f>
        <v> ---</v>
      </c>
      <c r="G307" s="4" t="str">
        <f>IFERROR(__xludf.DUMMYFUNCTION("""COMPUTED_VALUE"""),"SUSE Linux Enterprise Server 15 SP3")</f>
        <v>SUSE Linux Enterprise Server 15 SP3</v>
      </c>
      <c r="H307" s="7" t="str">
        <f t="shared" si="2"/>
        <v>NO</v>
      </c>
      <c r="I307" s="7" t="str">
        <f t="shared" si="3"/>
        <v>NO</v>
      </c>
    </row>
    <row r="308">
      <c r="A308" s="4">
        <f>IFERROR(__xludf.DUMMYFUNCTION("""COMPUTED_VALUE"""),1176141.0)</f>
        <v>1176141</v>
      </c>
      <c r="B308" s="4" t="str">
        <f>IFERROR(__xludf.DUMMYFUNCTION("""COMPUTED_VALUE"""),"P3 - Medium")</f>
        <v>P3 - Medium</v>
      </c>
      <c r="C308" s="5">
        <f>IFERROR(__xludf.DUMMYFUNCTION("""COMPUTED_VALUE"""),44077.76866898148)</f>
        <v>44077.76867</v>
      </c>
      <c r="D308" s="4" t="str">
        <f>IFERROR(__xludf.DUMMYFUNCTION("""COMPUTED_VALUE"""),"NEW")</f>
        <v>NEW</v>
      </c>
      <c r="E308" s="6">
        <f>IFERROR(__xludf.DUMMYFUNCTION("""COMPUTED_VALUE"""),44572.62962962963)</f>
        <v>44572.62963</v>
      </c>
      <c r="F308" s="4" t="str">
        <f>IFERROR(__xludf.DUMMYFUNCTION("""COMPUTED_VALUE""")," ---")</f>
        <v> ---</v>
      </c>
      <c r="G308" s="4" t="str">
        <f>IFERROR(__xludf.DUMMYFUNCTION("""COMPUTED_VALUE"""),"SUSE Linux Enterprise Server 15 SP3")</f>
        <v>SUSE Linux Enterprise Server 15 SP3</v>
      </c>
      <c r="H308" s="7" t="str">
        <f t="shared" si="2"/>
        <v>NO</v>
      </c>
      <c r="I308" s="7" t="str">
        <f t="shared" si="3"/>
        <v>NO</v>
      </c>
    </row>
    <row r="309">
      <c r="A309" s="4">
        <f>IFERROR(__xludf.DUMMYFUNCTION("""COMPUTED_VALUE"""),1178422.0)</f>
        <v>1178422</v>
      </c>
      <c r="B309" s="4" t="str">
        <f>IFERROR(__xludf.DUMMYFUNCTION("""COMPUTED_VALUE"""),"P3 - Medium")</f>
        <v>P3 - Medium</v>
      </c>
      <c r="C309" s="5">
        <f>IFERROR(__xludf.DUMMYFUNCTION("""COMPUTED_VALUE"""),44139.389340277776)</f>
        <v>44139.38934</v>
      </c>
      <c r="D309" s="4" t="str">
        <f>IFERROR(__xludf.DUMMYFUNCTION("""COMPUTED_VALUE"""),"NEW")</f>
        <v>NEW</v>
      </c>
      <c r="E309" s="6">
        <f>IFERROR(__xludf.DUMMYFUNCTION("""COMPUTED_VALUE"""),44356.47560185185)</f>
        <v>44356.4756</v>
      </c>
      <c r="F309" s="4" t="str">
        <f>IFERROR(__xludf.DUMMYFUNCTION("""COMPUTED_VALUE""")," ---")</f>
        <v> ---</v>
      </c>
      <c r="G309" s="4" t="str">
        <f>IFERROR(__xludf.DUMMYFUNCTION("""COMPUTED_VALUE"""),"SUSE Linux Enterprise Server 15 SP3")</f>
        <v>SUSE Linux Enterprise Server 15 SP3</v>
      </c>
      <c r="H309" s="7" t="str">
        <f t="shared" si="2"/>
        <v>NO</v>
      </c>
      <c r="I309" s="7" t="str">
        <f t="shared" si="3"/>
        <v>NO</v>
      </c>
    </row>
    <row r="310">
      <c r="A310" s="4">
        <f>IFERROR(__xludf.DUMMYFUNCTION("""COMPUTED_VALUE"""),1178423.0)</f>
        <v>1178423</v>
      </c>
      <c r="B310" s="4" t="str">
        <f>IFERROR(__xludf.DUMMYFUNCTION("""COMPUTED_VALUE"""),"P3 - Medium")</f>
        <v>P3 - Medium</v>
      </c>
      <c r="C310" s="5">
        <f>IFERROR(__xludf.DUMMYFUNCTION("""COMPUTED_VALUE"""),44139.391435185185)</f>
        <v>44139.39144</v>
      </c>
      <c r="D310" s="4" t="str">
        <f>IFERROR(__xludf.DUMMYFUNCTION("""COMPUTED_VALUE"""),"NEW")</f>
        <v>NEW</v>
      </c>
      <c r="E310" s="6">
        <f>IFERROR(__xludf.DUMMYFUNCTION("""COMPUTED_VALUE"""),44382.57001157408)</f>
        <v>44382.57001</v>
      </c>
      <c r="F310" s="4" t="str">
        <f>IFERROR(__xludf.DUMMYFUNCTION("""COMPUTED_VALUE""")," ---")</f>
        <v> ---</v>
      </c>
      <c r="G310" s="4" t="str">
        <f>IFERROR(__xludf.DUMMYFUNCTION("""COMPUTED_VALUE"""),"SUSE Linux Enterprise Server 15 SP3")</f>
        <v>SUSE Linux Enterprise Server 15 SP3</v>
      </c>
      <c r="H310" s="7" t="str">
        <f t="shared" si="2"/>
        <v>NO</v>
      </c>
      <c r="I310" s="7" t="str">
        <f t="shared" si="3"/>
        <v>NO</v>
      </c>
    </row>
    <row r="311">
      <c r="A311" s="4">
        <f>IFERROR(__xludf.DUMMYFUNCTION("""COMPUTED_VALUE"""),1187283.0)</f>
        <v>1187283</v>
      </c>
      <c r="B311" s="4" t="str">
        <f>IFERROR(__xludf.DUMMYFUNCTION("""COMPUTED_VALUE"""),"P3 - Medium")</f>
        <v>P3 - Medium</v>
      </c>
      <c r="C311" s="5">
        <f>IFERROR(__xludf.DUMMYFUNCTION("""COMPUTED_VALUE"""),44361.319398148145)</f>
        <v>44361.3194</v>
      </c>
      <c r="D311" s="4" t="str">
        <f>IFERROR(__xludf.DUMMYFUNCTION("""COMPUTED_VALUE"""),"NEW")</f>
        <v>NEW</v>
      </c>
      <c r="E311" s="6">
        <f>IFERROR(__xludf.DUMMYFUNCTION("""COMPUTED_VALUE"""),44400.39096064815)</f>
        <v>44400.39096</v>
      </c>
      <c r="F311" s="4" t="str">
        <f>IFERROR(__xludf.DUMMYFUNCTION("""COMPUTED_VALUE""")," ---")</f>
        <v> ---</v>
      </c>
      <c r="G311" s="4" t="str">
        <f>IFERROR(__xludf.DUMMYFUNCTION("""COMPUTED_VALUE"""),"SUSE Linux Enterprise Server 15 SP3")</f>
        <v>SUSE Linux Enterprise Server 15 SP3</v>
      </c>
      <c r="H311" s="7" t="str">
        <f t="shared" si="2"/>
        <v>NO</v>
      </c>
      <c r="I311" s="7" t="str">
        <f t="shared" si="3"/>
        <v>NO</v>
      </c>
    </row>
    <row r="312">
      <c r="A312" s="4">
        <f>IFERROR(__xludf.DUMMYFUNCTION("""COMPUTED_VALUE"""),1178140.0)</f>
        <v>1178140</v>
      </c>
      <c r="B312" s="4" t="str">
        <f>IFERROR(__xludf.DUMMYFUNCTION("""COMPUTED_VALUE"""),"P3 - Medium")</f>
        <v>P3 - Medium</v>
      </c>
      <c r="C312" s="5">
        <f>IFERROR(__xludf.DUMMYFUNCTION("""COMPUTED_VALUE"""),44130.66075231481)</f>
        <v>44130.66075</v>
      </c>
      <c r="D312" s="4" t="str">
        <f>IFERROR(__xludf.DUMMYFUNCTION("""COMPUTED_VALUE"""),"NEW")</f>
        <v>NEW</v>
      </c>
      <c r="E312" s="6">
        <f>IFERROR(__xludf.DUMMYFUNCTION("""COMPUTED_VALUE"""),44356.475381944445)</f>
        <v>44356.47538</v>
      </c>
      <c r="F312" s="4" t="str">
        <f>IFERROR(__xludf.DUMMYFUNCTION("""COMPUTED_VALUE""")," ---")</f>
        <v> ---</v>
      </c>
      <c r="G312" s="4" t="str">
        <f>IFERROR(__xludf.DUMMYFUNCTION("""COMPUTED_VALUE"""),"SUSE Linux Enterprise Server 15 SP3")</f>
        <v>SUSE Linux Enterprise Server 15 SP3</v>
      </c>
      <c r="H312" s="7" t="str">
        <f t="shared" si="2"/>
        <v>NO</v>
      </c>
      <c r="I312" s="7" t="str">
        <f t="shared" si="3"/>
        <v>NO</v>
      </c>
    </row>
    <row r="313">
      <c r="A313" s="4">
        <f>IFERROR(__xludf.DUMMYFUNCTION("""COMPUTED_VALUE"""),1182939.0)</f>
        <v>1182939</v>
      </c>
      <c r="B313" s="4" t="str">
        <f>IFERROR(__xludf.DUMMYFUNCTION("""COMPUTED_VALUE"""),"P3 - Medium")</f>
        <v>P3 - Medium</v>
      </c>
      <c r="C313" s="5">
        <f>IFERROR(__xludf.DUMMYFUNCTION("""COMPUTED_VALUE"""),44257.73118055556)</f>
        <v>44257.73118</v>
      </c>
      <c r="D313" s="4" t="str">
        <f>IFERROR(__xludf.DUMMYFUNCTION("""COMPUTED_VALUE"""),"CONFIRMED")</f>
        <v>CONFIRMED</v>
      </c>
      <c r="E313" s="6">
        <f>IFERROR(__xludf.DUMMYFUNCTION("""COMPUTED_VALUE"""),44420.21527777778)</f>
        <v>44420.21528</v>
      </c>
      <c r="F313" s="4" t="str">
        <f>IFERROR(__xludf.DUMMYFUNCTION("""COMPUTED_VALUE""")," ---")</f>
        <v> ---</v>
      </c>
      <c r="G313" s="4" t="str">
        <f>IFERROR(__xludf.DUMMYFUNCTION("""COMPUTED_VALUE"""),"SUSE Linux Enterprise Server 15 SP3")</f>
        <v>SUSE Linux Enterprise Server 15 SP3</v>
      </c>
      <c r="H313" s="7" t="str">
        <f t="shared" si="2"/>
        <v>NO</v>
      </c>
      <c r="I313" s="7" t="str">
        <f t="shared" si="3"/>
        <v>NO</v>
      </c>
    </row>
    <row r="314">
      <c r="A314" s="4">
        <f>IFERROR(__xludf.DUMMYFUNCTION("""COMPUTED_VALUE"""),1184660.0)</f>
        <v>1184660</v>
      </c>
      <c r="B314" s="4" t="str">
        <f>IFERROR(__xludf.DUMMYFUNCTION("""COMPUTED_VALUE"""),"P3 - Medium")</f>
        <v>P3 - Medium</v>
      </c>
      <c r="C314" s="5">
        <f>IFERROR(__xludf.DUMMYFUNCTION("""COMPUTED_VALUE"""),44299.49795138889)</f>
        <v>44299.49795</v>
      </c>
      <c r="D314" s="4" t="str">
        <f>IFERROR(__xludf.DUMMYFUNCTION("""COMPUTED_VALUE"""),"CONFIRMED")</f>
        <v>CONFIRMED</v>
      </c>
      <c r="E314" s="6">
        <f>IFERROR(__xludf.DUMMYFUNCTION("""COMPUTED_VALUE"""),44588.78554398148)</f>
        <v>44588.78554</v>
      </c>
      <c r="F314" s="4" t="str">
        <f>IFERROR(__xludf.DUMMYFUNCTION("""COMPUTED_VALUE""")," ---")</f>
        <v> ---</v>
      </c>
      <c r="G314" s="4" t="str">
        <f>IFERROR(__xludf.DUMMYFUNCTION("""COMPUTED_VALUE"""),"SUSE Linux Enterprise Server 15 SP3")</f>
        <v>SUSE Linux Enterprise Server 15 SP3</v>
      </c>
      <c r="H314" s="7" t="str">
        <f t="shared" si="2"/>
        <v>NO</v>
      </c>
      <c r="I314" s="7" t="str">
        <f t="shared" si="3"/>
        <v>NO</v>
      </c>
    </row>
    <row r="315">
      <c r="A315" s="4">
        <f>IFERROR(__xludf.DUMMYFUNCTION("""COMPUTED_VALUE"""),1180604.0)</f>
        <v>1180604</v>
      </c>
      <c r="B315" s="4" t="str">
        <f>IFERROR(__xludf.DUMMYFUNCTION("""COMPUTED_VALUE"""),"P3 - Medium")</f>
        <v>P3 - Medium</v>
      </c>
      <c r="C315" s="5">
        <f>IFERROR(__xludf.DUMMYFUNCTION("""COMPUTED_VALUE"""),44202.32168981482)</f>
        <v>44202.32169</v>
      </c>
      <c r="D315" s="4" t="str">
        <f>IFERROR(__xludf.DUMMYFUNCTION("""COMPUTED_VALUE"""),"CONFIRMED")</f>
        <v>CONFIRMED</v>
      </c>
      <c r="E315" s="6">
        <f>IFERROR(__xludf.DUMMYFUNCTION("""COMPUTED_VALUE"""),44695.07849537037)</f>
        <v>44695.0785</v>
      </c>
      <c r="F315" s="4" t="str">
        <f>IFERROR(__xludf.DUMMYFUNCTION("""COMPUTED_VALUE""")," ---")</f>
        <v> ---</v>
      </c>
      <c r="G315" s="4" t="str">
        <f>IFERROR(__xludf.DUMMYFUNCTION("""COMPUTED_VALUE"""),"SUSE Linux Enterprise Server 15 SP3")</f>
        <v>SUSE Linux Enterprise Server 15 SP3</v>
      </c>
      <c r="H315" s="7" t="str">
        <f t="shared" si="2"/>
        <v>NO</v>
      </c>
      <c r="I315" s="7" t="str">
        <f t="shared" si="3"/>
        <v>NO</v>
      </c>
    </row>
    <row r="316">
      <c r="A316" s="4">
        <f>IFERROR(__xludf.DUMMYFUNCTION("""COMPUTED_VALUE"""),1183032.0)</f>
        <v>1183032</v>
      </c>
      <c r="B316" s="4" t="str">
        <f>IFERROR(__xludf.DUMMYFUNCTION("""COMPUTED_VALUE"""),"P3 - Medium")</f>
        <v>P3 - Medium</v>
      </c>
      <c r="C316" s="5">
        <f>IFERROR(__xludf.DUMMYFUNCTION("""COMPUTED_VALUE"""),44259.48226851852)</f>
        <v>44259.48227</v>
      </c>
      <c r="D316" s="4" t="str">
        <f>IFERROR(__xludf.DUMMYFUNCTION("""COMPUTED_VALUE"""),"IN_PROGRESS")</f>
        <v>IN_PROGRESS</v>
      </c>
      <c r="E316" s="6">
        <f>IFERROR(__xludf.DUMMYFUNCTION("""COMPUTED_VALUE"""),44573.504224537035)</f>
        <v>44573.50422</v>
      </c>
      <c r="F316" s="4" t="str">
        <f>IFERROR(__xludf.DUMMYFUNCTION("""COMPUTED_VALUE""")," ---")</f>
        <v> ---</v>
      </c>
      <c r="G316" s="4" t="str">
        <f>IFERROR(__xludf.DUMMYFUNCTION("""COMPUTED_VALUE"""),"SUSE Linux Enterprise Server 15 SP3")</f>
        <v>SUSE Linux Enterprise Server 15 SP3</v>
      </c>
      <c r="H316" s="7" t="str">
        <f t="shared" si="2"/>
        <v>NO</v>
      </c>
      <c r="I316" s="7" t="str">
        <f t="shared" si="3"/>
        <v>NO</v>
      </c>
    </row>
    <row r="317">
      <c r="A317" s="4">
        <f>IFERROR(__xludf.DUMMYFUNCTION("""COMPUTED_VALUE"""),1181153.0)</f>
        <v>1181153</v>
      </c>
      <c r="B317" s="4" t="str">
        <f>IFERROR(__xludf.DUMMYFUNCTION("""COMPUTED_VALUE"""),"P3 - Medium")</f>
        <v>P3 - Medium</v>
      </c>
      <c r="C317" s="5">
        <f>IFERROR(__xludf.DUMMYFUNCTION("""COMPUTED_VALUE"""),44216.37074074074)</f>
        <v>44216.37074</v>
      </c>
      <c r="D317" s="4" t="str">
        <f>IFERROR(__xludf.DUMMYFUNCTION("""COMPUTED_VALUE"""),"IN_PROGRESS")</f>
        <v>IN_PROGRESS</v>
      </c>
      <c r="E317" s="6">
        <f>IFERROR(__xludf.DUMMYFUNCTION("""COMPUTED_VALUE"""),44564.56732638889)</f>
        <v>44564.56733</v>
      </c>
      <c r="F317" s="4" t="str">
        <f>IFERROR(__xludf.DUMMYFUNCTION("""COMPUTED_VALUE""")," ---")</f>
        <v> ---</v>
      </c>
      <c r="G317" s="4" t="str">
        <f>IFERROR(__xludf.DUMMYFUNCTION("""COMPUTED_VALUE"""),"SUSE Linux Enterprise Server 15 SP3")</f>
        <v>SUSE Linux Enterprise Server 15 SP3</v>
      </c>
      <c r="H317" s="7" t="str">
        <f t="shared" si="2"/>
        <v>NO</v>
      </c>
      <c r="I317" s="7" t="str">
        <f t="shared" si="3"/>
        <v>NO</v>
      </c>
    </row>
    <row r="318">
      <c r="A318" s="4">
        <f>IFERROR(__xludf.DUMMYFUNCTION("""COMPUTED_VALUE"""),1180980.0)</f>
        <v>1180980</v>
      </c>
      <c r="B318" s="4" t="str">
        <f>IFERROR(__xludf.DUMMYFUNCTION("""COMPUTED_VALUE"""),"P3 - Medium")</f>
        <v>P3 - Medium</v>
      </c>
      <c r="C318" s="5">
        <f>IFERROR(__xludf.DUMMYFUNCTION("""COMPUTED_VALUE"""),44211.53325231482)</f>
        <v>44211.53325</v>
      </c>
      <c r="D318" s="4" t="str">
        <f>IFERROR(__xludf.DUMMYFUNCTION("""COMPUTED_VALUE"""),"RESOLVED")</f>
        <v>RESOLVED</v>
      </c>
      <c r="E318" s="6">
        <f>IFERROR(__xludf.DUMMYFUNCTION("""COMPUTED_VALUE"""),44388.68783564815)</f>
        <v>44388.68784</v>
      </c>
      <c r="F318" s="4" t="str">
        <f>IFERROR(__xludf.DUMMYFUNCTION("""COMPUTED_VALUE""")," ---")</f>
        <v> ---</v>
      </c>
      <c r="G318" s="4" t="str">
        <f>IFERROR(__xludf.DUMMYFUNCTION("""COMPUTED_VALUE"""),"SUSE Linux Enterprise Server 15 SP3")</f>
        <v>SUSE Linux Enterprise Server 15 SP3</v>
      </c>
      <c r="H318" s="7" t="str">
        <f t="shared" si="2"/>
        <v>NO</v>
      </c>
      <c r="I318" s="7" t="str">
        <f t="shared" si="3"/>
        <v>NO</v>
      </c>
    </row>
    <row r="319">
      <c r="A319" s="4">
        <f>IFERROR(__xludf.DUMMYFUNCTION("""COMPUTED_VALUE"""),1180981.0)</f>
        <v>1180981</v>
      </c>
      <c r="B319" s="4" t="str">
        <f>IFERROR(__xludf.DUMMYFUNCTION("""COMPUTED_VALUE"""),"P3 - Medium")</f>
        <v>P3 - Medium</v>
      </c>
      <c r="C319" s="5">
        <f>IFERROR(__xludf.DUMMYFUNCTION("""COMPUTED_VALUE"""),44211.546956018516)</f>
        <v>44211.54696</v>
      </c>
      <c r="D319" s="4" t="str">
        <f>IFERROR(__xludf.DUMMYFUNCTION("""COMPUTED_VALUE"""),"RESOLVED")</f>
        <v>RESOLVED</v>
      </c>
      <c r="E319" s="6">
        <f>IFERROR(__xludf.DUMMYFUNCTION("""COMPUTED_VALUE"""),44586.000613425924)</f>
        <v>44586.00061</v>
      </c>
      <c r="F319" s="4" t="str">
        <f>IFERROR(__xludf.DUMMYFUNCTION("""COMPUTED_VALUE""")," ---")</f>
        <v> ---</v>
      </c>
      <c r="G319" s="4" t="str">
        <f>IFERROR(__xludf.DUMMYFUNCTION("""COMPUTED_VALUE"""),"SUSE Linux Enterprise Server 15 SP3")</f>
        <v>SUSE Linux Enterprise Server 15 SP3</v>
      </c>
      <c r="H319" s="7" t="str">
        <f t="shared" si="2"/>
        <v>NO</v>
      </c>
      <c r="I319" s="7" t="str">
        <f t="shared" si="3"/>
        <v>NO</v>
      </c>
    </row>
    <row r="320">
      <c r="A320" s="4">
        <f>IFERROR(__xludf.DUMMYFUNCTION("""COMPUTED_VALUE"""),1179160.0)</f>
        <v>1179160</v>
      </c>
      <c r="B320" s="4" t="str">
        <f>IFERROR(__xludf.DUMMYFUNCTION("""COMPUTED_VALUE"""),"P3 - Medium")</f>
        <v>P3 - Medium</v>
      </c>
      <c r="C320" s="5">
        <f>IFERROR(__xludf.DUMMYFUNCTION("""COMPUTED_VALUE"""),44159.61907407407)</f>
        <v>44159.61907</v>
      </c>
      <c r="D320" s="4" t="str">
        <f>IFERROR(__xludf.DUMMYFUNCTION("""COMPUTED_VALUE"""),"RESOLVED")</f>
        <v>RESOLVED</v>
      </c>
      <c r="E320" s="6">
        <f>IFERROR(__xludf.DUMMYFUNCTION("""COMPUTED_VALUE"""),44384.859247685185)</f>
        <v>44384.85925</v>
      </c>
      <c r="F320" s="4" t="str">
        <f>IFERROR(__xludf.DUMMYFUNCTION("""COMPUTED_VALUE""")," ---")</f>
        <v> ---</v>
      </c>
      <c r="G320" s="4" t="str">
        <f>IFERROR(__xludf.DUMMYFUNCTION("""COMPUTED_VALUE"""),"SUSE Linux Enterprise Server 15 SP3")</f>
        <v>SUSE Linux Enterprise Server 15 SP3</v>
      </c>
      <c r="H320" s="7" t="str">
        <f t="shared" si="2"/>
        <v>NO</v>
      </c>
      <c r="I320" s="7" t="str">
        <f t="shared" si="3"/>
        <v>NO</v>
      </c>
    </row>
    <row r="321">
      <c r="A321" s="4">
        <f>IFERROR(__xludf.DUMMYFUNCTION("""COMPUTED_VALUE"""),1183203.0)</f>
        <v>1183203</v>
      </c>
      <c r="B321" s="4" t="str">
        <f>IFERROR(__xludf.DUMMYFUNCTION("""COMPUTED_VALUE"""),"P3 - Medium")</f>
        <v>P3 - Medium</v>
      </c>
      <c r="C321" s="5">
        <f>IFERROR(__xludf.DUMMYFUNCTION("""COMPUTED_VALUE"""),44264.01489583333)</f>
        <v>44264.0149</v>
      </c>
      <c r="D321" s="4" t="str">
        <f>IFERROR(__xludf.DUMMYFUNCTION("""COMPUTED_VALUE"""),"RESOLVED")</f>
        <v>RESOLVED</v>
      </c>
      <c r="E321" s="6">
        <f>IFERROR(__xludf.DUMMYFUNCTION("""COMPUTED_VALUE"""),44483.827511574076)</f>
        <v>44483.82751</v>
      </c>
      <c r="F321" s="4" t="str">
        <f>IFERROR(__xludf.DUMMYFUNCTION("""COMPUTED_VALUE""")," ---")</f>
        <v> ---</v>
      </c>
      <c r="G321" s="4" t="str">
        <f>IFERROR(__xludf.DUMMYFUNCTION("""COMPUTED_VALUE"""),"SUSE Linux Enterprise Server 15 SP3")</f>
        <v>SUSE Linux Enterprise Server 15 SP3</v>
      </c>
      <c r="H321" s="7" t="str">
        <f t="shared" si="2"/>
        <v>NO</v>
      </c>
      <c r="I321" s="7" t="str">
        <f t="shared" si="3"/>
        <v>NO</v>
      </c>
    </row>
    <row r="322">
      <c r="A322" s="4">
        <f>IFERROR(__xludf.DUMMYFUNCTION("""COMPUTED_VALUE"""),1185791.0)</f>
        <v>1185791</v>
      </c>
      <c r="B322" s="4" t="str">
        <f>IFERROR(__xludf.DUMMYFUNCTION("""COMPUTED_VALUE"""),"P3 - Medium")</f>
        <v>P3 - Medium</v>
      </c>
      <c r="C322" s="5">
        <f>IFERROR(__xludf.DUMMYFUNCTION("""COMPUTED_VALUE"""),44323.73453703704)</f>
        <v>44323.73454</v>
      </c>
      <c r="D322" s="4" t="str">
        <f>IFERROR(__xludf.DUMMYFUNCTION("""COMPUTED_VALUE"""),"RESOLVED")</f>
        <v>RESOLVED</v>
      </c>
      <c r="E322" s="6">
        <f>IFERROR(__xludf.DUMMYFUNCTION("""COMPUTED_VALUE"""),44424.583958333336)</f>
        <v>44424.58396</v>
      </c>
      <c r="F322" s="4" t="str">
        <f>IFERROR(__xludf.DUMMYFUNCTION("""COMPUTED_VALUE""")," ---")</f>
        <v> ---</v>
      </c>
      <c r="G322" s="4" t="str">
        <f>IFERROR(__xludf.DUMMYFUNCTION("""COMPUTED_VALUE"""),"SUSE Linux Enterprise Server 15 SP3")</f>
        <v>SUSE Linux Enterprise Server 15 SP3</v>
      </c>
      <c r="H322" s="7" t="str">
        <f t="shared" si="2"/>
        <v>NO</v>
      </c>
      <c r="I322" s="7" t="str">
        <f t="shared" si="3"/>
        <v>NO</v>
      </c>
    </row>
    <row r="323">
      <c r="A323" s="4">
        <f>IFERROR(__xludf.DUMMYFUNCTION("""COMPUTED_VALUE"""),1182217.0)</f>
        <v>1182217</v>
      </c>
      <c r="B323" s="4" t="str">
        <f>IFERROR(__xludf.DUMMYFUNCTION("""COMPUTED_VALUE"""),"P3 - Medium")</f>
        <v>P3 - Medium</v>
      </c>
      <c r="C323" s="5">
        <f>IFERROR(__xludf.DUMMYFUNCTION("""COMPUTED_VALUE"""),44240.42366898148)</f>
        <v>44240.42367</v>
      </c>
      <c r="D323" s="4" t="str">
        <f>IFERROR(__xludf.DUMMYFUNCTION("""COMPUTED_VALUE"""),"RESOLVED")</f>
        <v>RESOLVED</v>
      </c>
      <c r="E323" s="6">
        <f>IFERROR(__xludf.DUMMYFUNCTION("""COMPUTED_VALUE"""),44384.871041666665)</f>
        <v>44384.87104</v>
      </c>
      <c r="F323" s="4" t="str">
        <f>IFERROR(__xludf.DUMMYFUNCTION("""COMPUTED_VALUE""")," ---")</f>
        <v> ---</v>
      </c>
      <c r="G323" s="4" t="str">
        <f>IFERROR(__xludf.DUMMYFUNCTION("""COMPUTED_VALUE"""),"SUSE Linux Enterprise Server 15 SP3")</f>
        <v>SUSE Linux Enterprise Server 15 SP3</v>
      </c>
      <c r="H323" s="7" t="str">
        <f t="shared" si="2"/>
        <v>NO</v>
      </c>
      <c r="I323" s="7" t="str">
        <f t="shared" si="3"/>
        <v>YES</v>
      </c>
    </row>
    <row r="324">
      <c r="A324" s="4">
        <f>IFERROR(__xludf.DUMMYFUNCTION("""COMPUTED_VALUE"""),1180279.0)</f>
        <v>1180279</v>
      </c>
      <c r="B324" s="4" t="str">
        <f>IFERROR(__xludf.DUMMYFUNCTION("""COMPUTED_VALUE"""),"P3 - Medium")</f>
        <v>P3 - Medium</v>
      </c>
      <c r="C324" s="5">
        <f>IFERROR(__xludf.DUMMYFUNCTION("""COMPUTED_VALUE"""),44187.31119212963)</f>
        <v>44187.31119</v>
      </c>
      <c r="D324" s="4" t="str">
        <f>IFERROR(__xludf.DUMMYFUNCTION("""COMPUTED_VALUE"""),"RESOLVED")</f>
        <v>RESOLVED</v>
      </c>
      <c r="E324" s="6">
        <f>IFERROR(__xludf.DUMMYFUNCTION("""COMPUTED_VALUE"""),44263.29295138889)</f>
        <v>44263.29295</v>
      </c>
      <c r="F324" s="4" t="str">
        <f>IFERROR(__xludf.DUMMYFUNCTION("""COMPUTED_VALUE""")," ---")</f>
        <v> ---</v>
      </c>
      <c r="G324" s="4" t="str">
        <f>IFERROR(__xludf.DUMMYFUNCTION("""COMPUTED_VALUE"""),"SUSE Linux Enterprise Server 15 SP3")</f>
        <v>SUSE Linux Enterprise Server 15 SP3</v>
      </c>
      <c r="H324" s="7" t="str">
        <f t="shared" si="2"/>
        <v>NO</v>
      </c>
      <c r="I324" s="7" t="str">
        <f t="shared" si="3"/>
        <v>NO</v>
      </c>
    </row>
    <row r="325">
      <c r="A325" s="4">
        <f>IFERROR(__xludf.DUMMYFUNCTION("""COMPUTED_VALUE"""),1175995.0)</f>
        <v>1175995</v>
      </c>
      <c r="B325" s="4" t="str">
        <f>IFERROR(__xludf.DUMMYFUNCTION("""COMPUTED_VALUE"""),"P3 - Medium")</f>
        <v>P3 - Medium</v>
      </c>
      <c r="C325" s="5">
        <f>IFERROR(__xludf.DUMMYFUNCTION("""COMPUTED_VALUE"""),44075.45346064815)</f>
        <v>44075.45346</v>
      </c>
      <c r="D325" s="4" t="str">
        <f>IFERROR(__xludf.DUMMYFUNCTION("""COMPUTED_VALUE"""),"RESOLVED")</f>
        <v>RESOLVED</v>
      </c>
      <c r="E325" s="6">
        <f>IFERROR(__xludf.DUMMYFUNCTION("""COMPUTED_VALUE"""),44455.73570601852)</f>
        <v>44455.73571</v>
      </c>
      <c r="F325" s="4" t="str">
        <f>IFERROR(__xludf.DUMMYFUNCTION("""COMPUTED_VALUE""")," ---")</f>
        <v> ---</v>
      </c>
      <c r="G325" s="4" t="str">
        <f>IFERROR(__xludf.DUMMYFUNCTION("""COMPUTED_VALUE"""),"SUSE Linux Enterprise Server 15 SP3")</f>
        <v>SUSE Linux Enterprise Server 15 SP3</v>
      </c>
      <c r="H325" s="7" t="str">
        <f t="shared" si="2"/>
        <v>NO</v>
      </c>
      <c r="I325" s="7" t="str">
        <f t="shared" si="3"/>
        <v>NO</v>
      </c>
    </row>
    <row r="326">
      <c r="A326" s="4">
        <f>IFERROR(__xludf.DUMMYFUNCTION("""COMPUTED_VALUE"""),1186009.0)</f>
        <v>1186009</v>
      </c>
      <c r="B326" s="4" t="str">
        <f>IFERROR(__xludf.DUMMYFUNCTION("""COMPUTED_VALUE"""),"P3 - Medium")</f>
        <v>P3 - Medium</v>
      </c>
      <c r="C326" s="5">
        <f>IFERROR(__xludf.DUMMYFUNCTION("""COMPUTED_VALUE"""),44329.33094907407)</f>
        <v>44329.33095</v>
      </c>
      <c r="D326" s="4" t="str">
        <f>IFERROR(__xludf.DUMMYFUNCTION("""COMPUTED_VALUE"""),"RESOLVED")</f>
        <v>RESOLVED</v>
      </c>
      <c r="E326" s="6">
        <f>IFERROR(__xludf.DUMMYFUNCTION("""COMPUTED_VALUE"""),44388.73287037037)</f>
        <v>44388.73287</v>
      </c>
      <c r="F326" s="4" t="str">
        <f>IFERROR(__xludf.DUMMYFUNCTION("""COMPUTED_VALUE""")," ---")</f>
        <v> ---</v>
      </c>
      <c r="G326" s="4" t="str">
        <f>IFERROR(__xludf.DUMMYFUNCTION("""COMPUTED_VALUE"""),"SUSE Linux Enterprise Server 15 SP3")</f>
        <v>SUSE Linux Enterprise Server 15 SP3</v>
      </c>
      <c r="H326" s="7" t="str">
        <f t="shared" si="2"/>
        <v>NO</v>
      </c>
      <c r="I326" s="7" t="str">
        <f t="shared" si="3"/>
        <v>NO</v>
      </c>
    </row>
    <row r="327">
      <c r="A327" s="4">
        <f>IFERROR(__xludf.DUMMYFUNCTION("""COMPUTED_VALUE"""),1186512.0)</f>
        <v>1186512</v>
      </c>
      <c r="B327" s="4" t="str">
        <f>IFERROR(__xludf.DUMMYFUNCTION("""COMPUTED_VALUE"""),"P3 - Medium")</f>
        <v>P3 - Medium</v>
      </c>
      <c r="C327" s="5">
        <f>IFERROR(__xludf.DUMMYFUNCTION("""COMPUTED_VALUE"""),44343.61987268519)</f>
        <v>44343.61987</v>
      </c>
      <c r="D327" s="4" t="str">
        <f>IFERROR(__xludf.DUMMYFUNCTION("""COMPUTED_VALUE"""),"RESOLVED")</f>
        <v>RESOLVED</v>
      </c>
      <c r="E327" s="6">
        <f>IFERROR(__xludf.DUMMYFUNCTION("""COMPUTED_VALUE"""),44388.73446759259)</f>
        <v>44388.73447</v>
      </c>
      <c r="F327" s="4" t="str">
        <f>IFERROR(__xludf.DUMMYFUNCTION("""COMPUTED_VALUE""")," ---")</f>
        <v> ---</v>
      </c>
      <c r="G327" s="4" t="str">
        <f>IFERROR(__xludf.DUMMYFUNCTION("""COMPUTED_VALUE"""),"SUSE Linux Enterprise Server 15 SP3")</f>
        <v>SUSE Linux Enterprise Server 15 SP3</v>
      </c>
      <c r="H327" s="7" t="str">
        <f t="shared" si="2"/>
        <v>NO</v>
      </c>
      <c r="I327" s="7" t="str">
        <f t="shared" si="3"/>
        <v>NO</v>
      </c>
    </row>
    <row r="328">
      <c r="A328" s="4">
        <f>IFERROR(__xludf.DUMMYFUNCTION("""COMPUTED_VALUE"""),1175244.0)</f>
        <v>1175244</v>
      </c>
      <c r="B328" s="4" t="str">
        <f>IFERROR(__xludf.DUMMYFUNCTION("""COMPUTED_VALUE"""),"P3 - Medium")</f>
        <v>P3 - Medium</v>
      </c>
      <c r="C328" s="5">
        <f>IFERROR(__xludf.DUMMYFUNCTION("""COMPUTED_VALUE"""),44056.766180555554)</f>
        <v>44056.76618</v>
      </c>
      <c r="D328" s="4" t="str">
        <f>IFERROR(__xludf.DUMMYFUNCTION("""COMPUTED_VALUE"""),"RESOLVED")</f>
        <v>RESOLVED</v>
      </c>
      <c r="E328" s="6">
        <f>IFERROR(__xludf.DUMMYFUNCTION("""COMPUTED_VALUE"""),44104.347662037035)</f>
        <v>44104.34766</v>
      </c>
      <c r="F328" s="4" t="str">
        <f>IFERROR(__xludf.DUMMYFUNCTION("""COMPUTED_VALUE""")," ---")</f>
        <v> ---</v>
      </c>
      <c r="G328" s="4" t="str">
        <f>IFERROR(__xludf.DUMMYFUNCTION("""COMPUTED_VALUE"""),"SUSE Linux Enterprise Server 15 SP3")</f>
        <v>SUSE Linux Enterprise Server 15 SP3</v>
      </c>
      <c r="H328" s="7" t="str">
        <f t="shared" si="2"/>
        <v>NO</v>
      </c>
      <c r="I328" s="7" t="str">
        <f t="shared" si="3"/>
        <v>NO</v>
      </c>
    </row>
    <row r="329">
      <c r="A329" s="4">
        <f>IFERROR(__xludf.DUMMYFUNCTION("""COMPUTED_VALUE"""),1175713.0)</f>
        <v>1175713</v>
      </c>
      <c r="B329" s="4" t="str">
        <f>IFERROR(__xludf.DUMMYFUNCTION("""COMPUTED_VALUE"""),"P3 - Medium")</f>
        <v>P3 - Medium</v>
      </c>
      <c r="C329" s="5">
        <f>IFERROR(__xludf.DUMMYFUNCTION("""COMPUTED_VALUE"""),44068.39805555555)</f>
        <v>44068.39806</v>
      </c>
      <c r="D329" s="4" t="str">
        <f>IFERROR(__xludf.DUMMYFUNCTION("""COMPUTED_VALUE"""),"RESOLVED")</f>
        <v>RESOLVED</v>
      </c>
      <c r="E329" s="6">
        <f>IFERROR(__xludf.DUMMYFUNCTION("""COMPUTED_VALUE"""),44384.84491898148)</f>
        <v>44384.84492</v>
      </c>
      <c r="F329" s="4" t="str">
        <f>IFERROR(__xludf.DUMMYFUNCTION("""COMPUTED_VALUE""")," ---")</f>
        <v> ---</v>
      </c>
      <c r="G329" s="4" t="str">
        <f>IFERROR(__xludf.DUMMYFUNCTION("""COMPUTED_VALUE"""),"SUSE Linux Enterprise Server 15 SP3")</f>
        <v>SUSE Linux Enterprise Server 15 SP3</v>
      </c>
      <c r="H329" s="7" t="str">
        <f t="shared" si="2"/>
        <v>NO</v>
      </c>
      <c r="I329" s="7" t="str">
        <f t="shared" si="3"/>
        <v>NO</v>
      </c>
    </row>
    <row r="330">
      <c r="A330" s="4">
        <f>IFERROR(__xludf.DUMMYFUNCTION("""COMPUTED_VALUE"""),1181206.0)</f>
        <v>1181206</v>
      </c>
      <c r="B330" s="4" t="str">
        <f>IFERROR(__xludf.DUMMYFUNCTION("""COMPUTED_VALUE"""),"P3 - Medium")</f>
        <v>P3 - Medium</v>
      </c>
      <c r="C330" s="5">
        <f>IFERROR(__xludf.DUMMYFUNCTION("""COMPUTED_VALUE"""),44217.38418981482)</f>
        <v>44217.38419</v>
      </c>
      <c r="D330" s="4" t="str">
        <f>IFERROR(__xludf.DUMMYFUNCTION("""COMPUTED_VALUE"""),"RESOLVED")</f>
        <v>RESOLVED</v>
      </c>
      <c r="E330" s="6">
        <f>IFERROR(__xludf.DUMMYFUNCTION("""COMPUTED_VALUE"""),44384.867106481484)</f>
        <v>44384.86711</v>
      </c>
      <c r="F330" s="4" t="str">
        <f>IFERROR(__xludf.DUMMYFUNCTION("""COMPUTED_VALUE""")," ---")</f>
        <v> ---</v>
      </c>
      <c r="G330" s="4" t="str">
        <f>IFERROR(__xludf.DUMMYFUNCTION("""COMPUTED_VALUE"""),"SUSE Linux Enterprise Server 15 SP3")</f>
        <v>SUSE Linux Enterprise Server 15 SP3</v>
      </c>
      <c r="H330" s="7" t="str">
        <f t="shared" si="2"/>
        <v>NO</v>
      </c>
      <c r="I330" s="7" t="str">
        <f t="shared" si="3"/>
        <v>NO</v>
      </c>
    </row>
    <row r="331">
      <c r="A331" s="4">
        <f>IFERROR(__xludf.DUMMYFUNCTION("""COMPUTED_VALUE"""),1181207.0)</f>
        <v>1181207</v>
      </c>
      <c r="B331" s="4" t="str">
        <f>IFERROR(__xludf.DUMMYFUNCTION("""COMPUTED_VALUE"""),"P3 - Medium")</f>
        <v>P3 - Medium</v>
      </c>
      <c r="C331" s="5">
        <f>IFERROR(__xludf.DUMMYFUNCTION("""COMPUTED_VALUE"""),44217.384363425925)</f>
        <v>44217.38436</v>
      </c>
      <c r="D331" s="4" t="str">
        <f>IFERROR(__xludf.DUMMYFUNCTION("""COMPUTED_VALUE"""),"RESOLVED")</f>
        <v>RESOLVED</v>
      </c>
      <c r="E331" s="6">
        <f>IFERROR(__xludf.DUMMYFUNCTION("""COMPUTED_VALUE"""),44384.8671875)</f>
        <v>44384.86719</v>
      </c>
      <c r="F331" s="4" t="str">
        <f>IFERROR(__xludf.DUMMYFUNCTION("""COMPUTED_VALUE""")," ---")</f>
        <v> ---</v>
      </c>
      <c r="G331" s="4" t="str">
        <f>IFERROR(__xludf.DUMMYFUNCTION("""COMPUTED_VALUE"""),"SUSE Linux Enterprise Server 15 SP3")</f>
        <v>SUSE Linux Enterprise Server 15 SP3</v>
      </c>
      <c r="H331" s="7" t="str">
        <f t="shared" si="2"/>
        <v>NO</v>
      </c>
      <c r="I331" s="7" t="str">
        <f t="shared" si="3"/>
        <v>NO</v>
      </c>
    </row>
    <row r="332">
      <c r="A332" s="4">
        <f>IFERROR(__xludf.DUMMYFUNCTION("""COMPUTED_VALUE"""),1181208.0)</f>
        <v>1181208</v>
      </c>
      <c r="B332" s="4" t="str">
        <f>IFERROR(__xludf.DUMMYFUNCTION("""COMPUTED_VALUE"""),"P3 - Medium")</f>
        <v>P3 - Medium</v>
      </c>
      <c r="C332" s="5">
        <f>IFERROR(__xludf.DUMMYFUNCTION("""COMPUTED_VALUE"""),44217.38453703704)</f>
        <v>44217.38454</v>
      </c>
      <c r="D332" s="4" t="str">
        <f>IFERROR(__xludf.DUMMYFUNCTION("""COMPUTED_VALUE"""),"RESOLVED")</f>
        <v>RESOLVED</v>
      </c>
      <c r="E332" s="6">
        <f>IFERROR(__xludf.DUMMYFUNCTION("""COMPUTED_VALUE"""),44384.867256944446)</f>
        <v>44384.86726</v>
      </c>
      <c r="F332" s="4" t="str">
        <f>IFERROR(__xludf.DUMMYFUNCTION("""COMPUTED_VALUE""")," ---")</f>
        <v> ---</v>
      </c>
      <c r="G332" s="4" t="str">
        <f>IFERROR(__xludf.DUMMYFUNCTION("""COMPUTED_VALUE"""),"SUSE Linux Enterprise Server 15 SP3")</f>
        <v>SUSE Linux Enterprise Server 15 SP3</v>
      </c>
      <c r="H332" s="7" t="str">
        <f t="shared" si="2"/>
        <v>NO</v>
      </c>
      <c r="I332" s="7" t="str">
        <f t="shared" si="3"/>
        <v>NO</v>
      </c>
    </row>
    <row r="333">
      <c r="A333" s="4">
        <f>IFERROR(__xludf.DUMMYFUNCTION("""COMPUTED_VALUE"""),1181209.0)</f>
        <v>1181209</v>
      </c>
      <c r="B333" s="4" t="str">
        <f>IFERROR(__xludf.DUMMYFUNCTION("""COMPUTED_VALUE"""),"P3 - Medium")</f>
        <v>P3 - Medium</v>
      </c>
      <c r="C333" s="5">
        <f>IFERROR(__xludf.DUMMYFUNCTION("""COMPUTED_VALUE"""),44217.384722222225)</f>
        <v>44217.38472</v>
      </c>
      <c r="D333" s="4" t="str">
        <f>IFERROR(__xludf.DUMMYFUNCTION("""COMPUTED_VALUE"""),"RESOLVED")</f>
        <v>RESOLVED</v>
      </c>
      <c r="E333" s="6">
        <f>IFERROR(__xludf.DUMMYFUNCTION("""COMPUTED_VALUE"""),44384.86732638889)</f>
        <v>44384.86733</v>
      </c>
      <c r="F333" s="4" t="str">
        <f>IFERROR(__xludf.DUMMYFUNCTION("""COMPUTED_VALUE""")," ---")</f>
        <v> ---</v>
      </c>
      <c r="G333" s="4" t="str">
        <f>IFERROR(__xludf.DUMMYFUNCTION("""COMPUTED_VALUE"""),"SUSE Linux Enterprise Server 15 SP3")</f>
        <v>SUSE Linux Enterprise Server 15 SP3</v>
      </c>
      <c r="H333" s="7" t="str">
        <f t="shared" si="2"/>
        <v>NO</v>
      </c>
      <c r="I333" s="7" t="str">
        <f t="shared" si="3"/>
        <v>NO</v>
      </c>
    </row>
    <row r="334">
      <c r="A334" s="4">
        <f>IFERROR(__xludf.DUMMYFUNCTION("""COMPUTED_VALUE"""),1181210.0)</f>
        <v>1181210</v>
      </c>
      <c r="B334" s="4" t="str">
        <f>IFERROR(__xludf.DUMMYFUNCTION("""COMPUTED_VALUE"""),"P3 - Medium")</f>
        <v>P3 - Medium</v>
      </c>
      <c r="C334" s="5">
        <f>IFERROR(__xludf.DUMMYFUNCTION("""COMPUTED_VALUE"""),44217.38489583333)</f>
        <v>44217.3849</v>
      </c>
      <c r="D334" s="4" t="str">
        <f>IFERROR(__xludf.DUMMYFUNCTION("""COMPUTED_VALUE"""),"RESOLVED")</f>
        <v>RESOLVED</v>
      </c>
      <c r="E334" s="6">
        <f>IFERROR(__xludf.DUMMYFUNCTION("""COMPUTED_VALUE"""),44384.86739583333)</f>
        <v>44384.8674</v>
      </c>
      <c r="F334" s="4" t="str">
        <f>IFERROR(__xludf.DUMMYFUNCTION("""COMPUTED_VALUE""")," ---")</f>
        <v> ---</v>
      </c>
      <c r="G334" s="4" t="str">
        <f>IFERROR(__xludf.DUMMYFUNCTION("""COMPUTED_VALUE"""),"SUSE Linux Enterprise Server 15 SP3")</f>
        <v>SUSE Linux Enterprise Server 15 SP3</v>
      </c>
      <c r="H334" s="7" t="str">
        <f t="shared" si="2"/>
        <v>NO</v>
      </c>
      <c r="I334" s="7" t="str">
        <f t="shared" si="3"/>
        <v>NO</v>
      </c>
    </row>
    <row r="335">
      <c r="A335" s="4">
        <f>IFERROR(__xludf.DUMMYFUNCTION("""COMPUTED_VALUE"""),1181211.0)</f>
        <v>1181211</v>
      </c>
      <c r="B335" s="4" t="str">
        <f>IFERROR(__xludf.DUMMYFUNCTION("""COMPUTED_VALUE"""),"P3 - Medium")</f>
        <v>P3 - Medium</v>
      </c>
      <c r="C335" s="5">
        <f>IFERROR(__xludf.DUMMYFUNCTION("""COMPUTED_VALUE"""),44217.38506944444)</f>
        <v>44217.38507</v>
      </c>
      <c r="D335" s="4" t="str">
        <f>IFERROR(__xludf.DUMMYFUNCTION("""COMPUTED_VALUE"""),"RESOLVED")</f>
        <v>RESOLVED</v>
      </c>
      <c r="E335" s="6">
        <f>IFERROR(__xludf.DUMMYFUNCTION("""COMPUTED_VALUE"""),44384.86746527778)</f>
        <v>44384.86747</v>
      </c>
      <c r="F335" s="4" t="str">
        <f>IFERROR(__xludf.DUMMYFUNCTION("""COMPUTED_VALUE""")," ---")</f>
        <v> ---</v>
      </c>
      <c r="G335" s="4" t="str">
        <f>IFERROR(__xludf.DUMMYFUNCTION("""COMPUTED_VALUE"""),"SUSE Linux Enterprise Server 15 SP3")</f>
        <v>SUSE Linux Enterprise Server 15 SP3</v>
      </c>
      <c r="H335" s="7" t="str">
        <f t="shared" si="2"/>
        <v>NO</v>
      </c>
      <c r="I335" s="7" t="str">
        <f t="shared" si="3"/>
        <v>NO</v>
      </c>
    </row>
    <row r="336">
      <c r="A336" s="4">
        <f>IFERROR(__xludf.DUMMYFUNCTION("""COMPUTED_VALUE"""),1181212.0)</f>
        <v>1181212</v>
      </c>
      <c r="B336" s="4" t="str">
        <f>IFERROR(__xludf.DUMMYFUNCTION("""COMPUTED_VALUE"""),"P3 - Medium")</f>
        <v>P3 - Medium</v>
      </c>
      <c r="C336" s="5">
        <f>IFERROR(__xludf.DUMMYFUNCTION("""COMPUTED_VALUE"""),44217.385243055556)</f>
        <v>44217.38524</v>
      </c>
      <c r="D336" s="4" t="str">
        <f>IFERROR(__xludf.DUMMYFUNCTION("""COMPUTED_VALUE"""),"RESOLVED")</f>
        <v>RESOLVED</v>
      </c>
      <c r="E336" s="6">
        <f>IFERROR(__xludf.DUMMYFUNCTION("""COMPUTED_VALUE"""),44384.86753472222)</f>
        <v>44384.86753</v>
      </c>
      <c r="F336" s="4" t="str">
        <f>IFERROR(__xludf.DUMMYFUNCTION("""COMPUTED_VALUE""")," ---")</f>
        <v> ---</v>
      </c>
      <c r="G336" s="4" t="str">
        <f>IFERROR(__xludf.DUMMYFUNCTION("""COMPUTED_VALUE"""),"SUSE Linux Enterprise Server 15 SP3")</f>
        <v>SUSE Linux Enterprise Server 15 SP3</v>
      </c>
      <c r="H336" s="7" t="str">
        <f t="shared" si="2"/>
        <v>NO</v>
      </c>
      <c r="I336" s="7" t="str">
        <f t="shared" si="3"/>
        <v>NO</v>
      </c>
    </row>
    <row r="337">
      <c r="A337" s="4">
        <f>IFERROR(__xludf.DUMMYFUNCTION("""COMPUTED_VALUE"""),1181213.0)</f>
        <v>1181213</v>
      </c>
      <c r="B337" s="4" t="str">
        <f>IFERROR(__xludf.DUMMYFUNCTION("""COMPUTED_VALUE"""),"P3 - Medium")</f>
        <v>P3 - Medium</v>
      </c>
      <c r="C337" s="5">
        <f>IFERROR(__xludf.DUMMYFUNCTION("""COMPUTED_VALUE"""),44217.38543981482)</f>
        <v>44217.38544</v>
      </c>
      <c r="D337" s="4" t="str">
        <f>IFERROR(__xludf.DUMMYFUNCTION("""COMPUTED_VALUE"""),"RESOLVED")</f>
        <v>RESOLVED</v>
      </c>
      <c r="E337" s="6">
        <f>IFERROR(__xludf.DUMMYFUNCTION("""COMPUTED_VALUE"""),44384.86760416667)</f>
        <v>44384.8676</v>
      </c>
      <c r="F337" s="4" t="str">
        <f>IFERROR(__xludf.DUMMYFUNCTION("""COMPUTED_VALUE""")," ---")</f>
        <v> ---</v>
      </c>
      <c r="G337" s="4" t="str">
        <f>IFERROR(__xludf.DUMMYFUNCTION("""COMPUTED_VALUE"""),"SUSE Linux Enterprise Server 15 SP3")</f>
        <v>SUSE Linux Enterprise Server 15 SP3</v>
      </c>
      <c r="H337" s="7" t="str">
        <f t="shared" si="2"/>
        <v>NO</v>
      </c>
      <c r="I337" s="7" t="str">
        <f t="shared" si="3"/>
        <v>NO</v>
      </c>
    </row>
    <row r="338">
      <c r="A338" s="4">
        <f>IFERROR(__xludf.DUMMYFUNCTION("""COMPUTED_VALUE"""),1181214.0)</f>
        <v>1181214</v>
      </c>
      <c r="B338" s="4" t="str">
        <f>IFERROR(__xludf.DUMMYFUNCTION("""COMPUTED_VALUE"""),"P3 - Medium")</f>
        <v>P3 - Medium</v>
      </c>
      <c r="C338" s="5">
        <f>IFERROR(__xludf.DUMMYFUNCTION("""COMPUTED_VALUE"""),44217.38563657407)</f>
        <v>44217.38564</v>
      </c>
      <c r="D338" s="4" t="str">
        <f>IFERROR(__xludf.DUMMYFUNCTION("""COMPUTED_VALUE"""),"RESOLVED")</f>
        <v>RESOLVED</v>
      </c>
      <c r="E338" s="6">
        <f>IFERROR(__xludf.DUMMYFUNCTION("""COMPUTED_VALUE"""),44384.86767361111)</f>
        <v>44384.86767</v>
      </c>
      <c r="F338" s="4" t="str">
        <f>IFERROR(__xludf.DUMMYFUNCTION("""COMPUTED_VALUE""")," ---")</f>
        <v> ---</v>
      </c>
      <c r="G338" s="4" t="str">
        <f>IFERROR(__xludf.DUMMYFUNCTION("""COMPUTED_VALUE"""),"SUSE Linux Enterprise Server 15 SP3")</f>
        <v>SUSE Linux Enterprise Server 15 SP3</v>
      </c>
      <c r="H338" s="7" t="str">
        <f t="shared" si="2"/>
        <v>NO</v>
      </c>
      <c r="I338" s="7" t="str">
        <f t="shared" si="3"/>
        <v>NO</v>
      </c>
    </row>
    <row r="339">
      <c r="A339" s="4">
        <f>IFERROR(__xludf.DUMMYFUNCTION("""COMPUTED_VALUE"""),1181215.0)</f>
        <v>1181215</v>
      </c>
      <c r="B339" s="4" t="str">
        <f>IFERROR(__xludf.DUMMYFUNCTION("""COMPUTED_VALUE"""),"P3 - Medium")</f>
        <v>P3 - Medium</v>
      </c>
      <c r="C339" s="5">
        <f>IFERROR(__xludf.DUMMYFUNCTION("""COMPUTED_VALUE"""),44217.38582175926)</f>
        <v>44217.38582</v>
      </c>
      <c r="D339" s="4" t="str">
        <f>IFERROR(__xludf.DUMMYFUNCTION("""COMPUTED_VALUE"""),"RESOLVED")</f>
        <v>RESOLVED</v>
      </c>
      <c r="E339" s="6">
        <f>IFERROR(__xludf.DUMMYFUNCTION("""COMPUTED_VALUE"""),44384.86775462963)</f>
        <v>44384.86775</v>
      </c>
      <c r="F339" s="4" t="str">
        <f>IFERROR(__xludf.DUMMYFUNCTION("""COMPUTED_VALUE""")," ---")</f>
        <v> ---</v>
      </c>
      <c r="G339" s="4" t="str">
        <f>IFERROR(__xludf.DUMMYFUNCTION("""COMPUTED_VALUE"""),"SUSE Linux Enterprise Server 15 SP3")</f>
        <v>SUSE Linux Enterprise Server 15 SP3</v>
      </c>
      <c r="H339" s="7" t="str">
        <f t="shared" si="2"/>
        <v>NO</v>
      </c>
      <c r="I339" s="7" t="str">
        <f t="shared" si="3"/>
        <v>NO</v>
      </c>
    </row>
    <row r="340">
      <c r="A340" s="4">
        <f>IFERROR(__xludf.DUMMYFUNCTION("""COMPUTED_VALUE"""),1178908.0)</f>
        <v>1178908</v>
      </c>
      <c r="B340" s="4" t="str">
        <f>IFERROR(__xludf.DUMMYFUNCTION("""COMPUTED_VALUE"""),"P3 - Medium")</f>
        <v>P3 - Medium</v>
      </c>
      <c r="C340" s="5">
        <f>IFERROR(__xludf.DUMMYFUNCTION("""COMPUTED_VALUE"""),44152.70481481482)</f>
        <v>44152.70481</v>
      </c>
      <c r="D340" s="4" t="str">
        <f>IFERROR(__xludf.DUMMYFUNCTION("""COMPUTED_VALUE"""),"RESOLVED")</f>
        <v>RESOLVED</v>
      </c>
      <c r="E340" s="6">
        <f>IFERROR(__xludf.DUMMYFUNCTION("""COMPUTED_VALUE"""),44384.85872685185)</f>
        <v>44384.85873</v>
      </c>
      <c r="F340" s="4" t="str">
        <f>IFERROR(__xludf.DUMMYFUNCTION("""COMPUTED_VALUE""")," ---")</f>
        <v> ---</v>
      </c>
      <c r="G340" s="4" t="str">
        <f>IFERROR(__xludf.DUMMYFUNCTION("""COMPUTED_VALUE"""),"SUSE Linux Enterprise Server 15 SP3")</f>
        <v>SUSE Linux Enterprise Server 15 SP3</v>
      </c>
      <c r="H340" s="7" t="str">
        <f t="shared" si="2"/>
        <v>NO</v>
      </c>
      <c r="I340" s="7" t="str">
        <f t="shared" si="3"/>
        <v>NO</v>
      </c>
    </row>
    <row r="341">
      <c r="A341" s="4">
        <f>IFERROR(__xludf.DUMMYFUNCTION("""COMPUTED_VALUE"""),1174813.0)</f>
        <v>1174813</v>
      </c>
      <c r="B341" s="4" t="str">
        <f>IFERROR(__xludf.DUMMYFUNCTION("""COMPUTED_VALUE"""),"P3 - Medium")</f>
        <v>P3 - Medium</v>
      </c>
      <c r="C341" s="5">
        <f>IFERROR(__xludf.DUMMYFUNCTION("""COMPUTED_VALUE"""),44046.33770833333)</f>
        <v>44046.33771</v>
      </c>
      <c r="D341" s="4" t="str">
        <f>IFERROR(__xludf.DUMMYFUNCTION("""COMPUTED_VALUE"""),"RESOLVED")</f>
        <v>RESOLVED</v>
      </c>
      <c r="E341" s="6">
        <f>IFERROR(__xludf.DUMMYFUNCTION("""COMPUTED_VALUE"""),44072.089594907404)</f>
        <v>44072.08959</v>
      </c>
      <c r="F341" s="4" t="str">
        <f>IFERROR(__xludf.DUMMYFUNCTION("""COMPUTED_VALUE""")," ---")</f>
        <v> ---</v>
      </c>
      <c r="G341" s="4" t="str">
        <f>IFERROR(__xludf.DUMMYFUNCTION("""COMPUTED_VALUE"""),"SUSE Linux Enterprise Server 15 SP3")</f>
        <v>SUSE Linux Enterprise Server 15 SP3</v>
      </c>
      <c r="H341" s="7" t="str">
        <f t="shared" si="2"/>
        <v>NO</v>
      </c>
      <c r="I341" s="7" t="str">
        <f t="shared" si="3"/>
        <v>NO</v>
      </c>
    </row>
    <row r="342">
      <c r="A342" s="4">
        <f>IFERROR(__xludf.DUMMYFUNCTION("""COMPUTED_VALUE"""),1175667.0)</f>
        <v>1175667</v>
      </c>
      <c r="B342" s="4" t="str">
        <f>IFERROR(__xludf.DUMMYFUNCTION("""COMPUTED_VALUE"""),"P3 - Medium")</f>
        <v>P3 - Medium</v>
      </c>
      <c r="C342" s="5">
        <f>IFERROR(__xludf.DUMMYFUNCTION("""COMPUTED_VALUE"""),44067.34951388889)</f>
        <v>44067.34951</v>
      </c>
      <c r="D342" s="4" t="str">
        <f>IFERROR(__xludf.DUMMYFUNCTION("""COMPUTED_VALUE"""),"RESOLVED")</f>
        <v>RESOLVED</v>
      </c>
      <c r="E342" s="6">
        <f>IFERROR(__xludf.DUMMYFUNCTION("""COMPUTED_VALUE"""),44736.463530092595)</f>
        <v>44736.46353</v>
      </c>
      <c r="F342" s="4" t="str">
        <f>IFERROR(__xludf.DUMMYFUNCTION("""COMPUTED_VALUE""")," ---")</f>
        <v> ---</v>
      </c>
      <c r="G342" s="4" t="str">
        <f>IFERROR(__xludf.DUMMYFUNCTION("""COMPUTED_VALUE"""),"SUSE Linux Enterprise Server 15 SP3")</f>
        <v>SUSE Linux Enterprise Server 15 SP3</v>
      </c>
      <c r="H342" s="7" t="str">
        <f t="shared" si="2"/>
        <v>NO</v>
      </c>
      <c r="I342" s="7" t="str">
        <f t="shared" si="3"/>
        <v>NO</v>
      </c>
    </row>
    <row r="343">
      <c r="A343" s="4">
        <f>IFERROR(__xludf.DUMMYFUNCTION("""COMPUTED_VALUE"""),1175697.0)</f>
        <v>1175697</v>
      </c>
      <c r="B343" s="4" t="str">
        <f>IFERROR(__xludf.DUMMYFUNCTION("""COMPUTED_VALUE"""),"P3 - Medium")</f>
        <v>P3 - Medium</v>
      </c>
      <c r="C343" s="5">
        <f>IFERROR(__xludf.DUMMYFUNCTION("""COMPUTED_VALUE"""),44067.73045138889)</f>
        <v>44067.73045</v>
      </c>
      <c r="D343" s="4" t="str">
        <f>IFERROR(__xludf.DUMMYFUNCTION("""COMPUTED_VALUE"""),"RESOLVED")</f>
        <v>RESOLVED</v>
      </c>
      <c r="E343" s="6">
        <f>IFERROR(__xludf.DUMMYFUNCTION("""COMPUTED_VALUE"""),44384.84484953704)</f>
        <v>44384.84485</v>
      </c>
      <c r="F343" s="4" t="str">
        <f>IFERROR(__xludf.DUMMYFUNCTION("""COMPUTED_VALUE""")," ---")</f>
        <v> ---</v>
      </c>
      <c r="G343" s="4" t="str">
        <f>IFERROR(__xludf.DUMMYFUNCTION("""COMPUTED_VALUE"""),"SUSE Linux Enterprise Server 15 SP3")</f>
        <v>SUSE Linux Enterprise Server 15 SP3</v>
      </c>
      <c r="H343" s="7" t="str">
        <f t="shared" si="2"/>
        <v>NO</v>
      </c>
      <c r="I343" s="7" t="str">
        <f t="shared" si="3"/>
        <v>NO</v>
      </c>
    </row>
    <row r="344">
      <c r="A344" s="4">
        <f>IFERROR(__xludf.DUMMYFUNCTION("""COMPUTED_VALUE"""),1177617.0)</f>
        <v>1177617</v>
      </c>
      <c r="B344" s="4" t="str">
        <f>IFERROR(__xludf.DUMMYFUNCTION("""COMPUTED_VALUE"""),"P3 - Medium")</f>
        <v>P3 - Medium</v>
      </c>
      <c r="C344" s="5">
        <f>IFERROR(__xludf.DUMMYFUNCTION("""COMPUTED_VALUE"""),44117.43519675926)</f>
        <v>44117.4352</v>
      </c>
      <c r="D344" s="4" t="str">
        <f>IFERROR(__xludf.DUMMYFUNCTION("""COMPUTED_VALUE"""),"RESOLVED")</f>
        <v>RESOLVED</v>
      </c>
      <c r="E344" s="6">
        <f>IFERROR(__xludf.DUMMYFUNCTION("""COMPUTED_VALUE"""),44384.853171296294)</f>
        <v>44384.85317</v>
      </c>
      <c r="F344" s="4" t="str">
        <f>IFERROR(__xludf.DUMMYFUNCTION("""COMPUTED_VALUE""")," ---")</f>
        <v> ---</v>
      </c>
      <c r="G344" s="4" t="str">
        <f>IFERROR(__xludf.DUMMYFUNCTION("""COMPUTED_VALUE"""),"SUSE Linux Enterprise Server 15 SP3")</f>
        <v>SUSE Linux Enterprise Server 15 SP3</v>
      </c>
      <c r="H344" s="7" t="str">
        <f t="shared" si="2"/>
        <v>NO</v>
      </c>
      <c r="I344" s="7" t="str">
        <f t="shared" si="3"/>
        <v>NO</v>
      </c>
    </row>
    <row r="345">
      <c r="A345" s="4">
        <f>IFERROR(__xludf.DUMMYFUNCTION("""COMPUTED_VALUE"""),1178698.0)</f>
        <v>1178698</v>
      </c>
      <c r="B345" s="4" t="str">
        <f>IFERROR(__xludf.DUMMYFUNCTION("""COMPUTED_VALUE"""),"P3 - Medium")</f>
        <v>P3 - Medium</v>
      </c>
      <c r="C345" s="5">
        <f>IFERROR(__xludf.DUMMYFUNCTION("""COMPUTED_VALUE"""),44147.15611111111)</f>
        <v>44147.15611</v>
      </c>
      <c r="D345" s="4" t="str">
        <f>IFERROR(__xludf.DUMMYFUNCTION("""COMPUTED_VALUE"""),"RESOLVED")</f>
        <v>RESOLVED</v>
      </c>
      <c r="E345" s="6">
        <f>IFERROR(__xludf.DUMMYFUNCTION("""COMPUTED_VALUE"""),44365.26388888889)</f>
        <v>44365.26389</v>
      </c>
      <c r="F345" s="4" t="str">
        <f>IFERROR(__xludf.DUMMYFUNCTION("""COMPUTED_VALUE""")," ---")</f>
        <v> ---</v>
      </c>
      <c r="G345" s="4" t="str">
        <f>IFERROR(__xludf.DUMMYFUNCTION("""COMPUTED_VALUE"""),"SUSE Linux Enterprise Server 15 SP3")</f>
        <v>SUSE Linux Enterprise Server 15 SP3</v>
      </c>
      <c r="H345" s="7" t="str">
        <f t="shared" si="2"/>
        <v>NO</v>
      </c>
      <c r="I345" s="7" t="str">
        <f t="shared" si="3"/>
        <v>NO</v>
      </c>
    </row>
    <row r="346">
      <c r="A346" s="4">
        <f>IFERROR(__xludf.DUMMYFUNCTION("""COMPUTED_VALUE"""),1179400.0)</f>
        <v>1179400</v>
      </c>
      <c r="B346" s="4" t="str">
        <f>IFERROR(__xludf.DUMMYFUNCTION("""COMPUTED_VALUE"""),"P3 - Medium")</f>
        <v>P3 - Medium</v>
      </c>
      <c r="C346" s="5">
        <f>IFERROR(__xludf.DUMMYFUNCTION("""COMPUTED_VALUE"""),44165.41055555556)</f>
        <v>44165.41056</v>
      </c>
      <c r="D346" s="4" t="str">
        <f>IFERROR(__xludf.DUMMYFUNCTION("""COMPUTED_VALUE"""),"RESOLVED")</f>
        <v>RESOLVED</v>
      </c>
      <c r="E346" s="6">
        <f>IFERROR(__xludf.DUMMYFUNCTION("""COMPUTED_VALUE"""),44365.263344907406)</f>
        <v>44365.26334</v>
      </c>
      <c r="F346" s="4" t="str">
        <f>IFERROR(__xludf.DUMMYFUNCTION("""COMPUTED_VALUE""")," ---")</f>
        <v> ---</v>
      </c>
      <c r="G346" s="4" t="str">
        <f>IFERROR(__xludf.DUMMYFUNCTION("""COMPUTED_VALUE"""),"SUSE Linux Enterprise Server 15 SP3")</f>
        <v>SUSE Linux Enterprise Server 15 SP3</v>
      </c>
      <c r="H346" s="7" t="str">
        <f t="shared" si="2"/>
        <v>NO</v>
      </c>
      <c r="I346" s="7" t="str">
        <f t="shared" si="3"/>
        <v>NO</v>
      </c>
    </row>
    <row r="347">
      <c r="A347" s="4">
        <f>IFERROR(__xludf.DUMMYFUNCTION("""COMPUTED_VALUE"""),1179419.0)</f>
        <v>1179419</v>
      </c>
      <c r="B347" s="4" t="str">
        <f>IFERROR(__xludf.DUMMYFUNCTION("""COMPUTED_VALUE"""),"P3 - Medium")</f>
        <v>P3 - Medium</v>
      </c>
      <c r="C347" s="5">
        <f>IFERROR(__xludf.DUMMYFUNCTION("""COMPUTED_VALUE"""),44165.56306712963)</f>
        <v>44165.56307</v>
      </c>
      <c r="D347" s="4" t="str">
        <f>IFERROR(__xludf.DUMMYFUNCTION("""COMPUTED_VALUE"""),"RESOLVED")</f>
        <v>RESOLVED</v>
      </c>
      <c r="E347" s="6">
        <f>IFERROR(__xludf.DUMMYFUNCTION("""COMPUTED_VALUE"""),44624.928194444445)</f>
        <v>44624.92819</v>
      </c>
      <c r="F347" s="4" t="str">
        <f>IFERROR(__xludf.DUMMYFUNCTION("""COMPUTED_VALUE""")," ---")</f>
        <v> ---</v>
      </c>
      <c r="G347" s="4" t="str">
        <f>IFERROR(__xludf.DUMMYFUNCTION("""COMPUTED_VALUE"""),"SUSE Linux Enterprise Server 15 SP3")</f>
        <v>SUSE Linux Enterprise Server 15 SP3</v>
      </c>
      <c r="H347" s="7" t="str">
        <f t="shared" si="2"/>
        <v>NO</v>
      </c>
      <c r="I347" s="7" t="str">
        <f t="shared" si="3"/>
        <v>NO</v>
      </c>
    </row>
    <row r="348">
      <c r="A348" s="4">
        <f>IFERROR(__xludf.DUMMYFUNCTION("""COMPUTED_VALUE"""),1180076.0)</f>
        <v>1180076</v>
      </c>
      <c r="B348" s="4" t="str">
        <f>IFERROR(__xludf.DUMMYFUNCTION("""COMPUTED_VALUE"""),"P3 - Medium")</f>
        <v>P3 - Medium</v>
      </c>
      <c r="C348" s="5">
        <f>IFERROR(__xludf.DUMMYFUNCTION("""COMPUTED_VALUE"""),44181.185891203706)</f>
        <v>44181.18589</v>
      </c>
      <c r="D348" s="4" t="str">
        <f>IFERROR(__xludf.DUMMYFUNCTION("""COMPUTED_VALUE"""),"RESOLVED")</f>
        <v>RESOLVED</v>
      </c>
      <c r="E348" s="6">
        <f>IFERROR(__xludf.DUMMYFUNCTION("""COMPUTED_VALUE"""),44365.26137731481)</f>
        <v>44365.26138</v>
      </c>
      <c r="F348" s="4" t="str">
        <f>IFERROR(__xludf.DUMMYFUNCTION("""COMPUTED_VALUE""")," ---")</f>
        <v> ---</v>
      </c>
      <c r="G348" s="4" t="str">
        <f>IFERROR(__xludf.DUMMYFUNCTION("""COMPUTED_VALUE"""),"SUSE Linux Enterprise Server 15 SP3")</f>
        <v>SUSE Linux Enterprise Server 15 SP3</v>
      </c>
      <c r="H348" s="7" t="str">
        <f t="shared" si="2"/>
        <v>NO</v>
      </c>
      <c r="I348" s="7" t="str">
        <f t="shared" si="3"/>
        <v>NO</v>
      </c>
    </row>
    <row r="349">
      <c r="A349" s="4">
        <f>IFERROR(__xludf.DUMMYFUNCTION("""COMPUTED_VALUE"""),1180090.0)</f>
        <v>1180090</v>
      </c>
      <c r="B349" s="4" t="str">
        <f>IFERROR(__xludf.DUMMYFUNCTION("""COMPUTED_VALUE"""),"P3 - Medium")</f>
        <v>P3 - Medium</v>
      </c>
      <c r="C349" s="5">
        <f>IFERROR(__xludf.DUMMYFUNCTION("""COMPUTED_VALUE"""),44181.401712962965)</f>
        <v>44181.40171</v>
      </c>
      <c r="D349" s="4" t="str">
        <f>IFERROR(__xludf.DUMMYFUNCTION("""COMPUTED_VALUE"""),"RESOLVED")</f>
        <v>RESOLVED</v>
      </c>
      <c r="E349" s="6">
        <f>IFERROR(__xludf.DUMMYFUNCTION("""COMPUTED_VALUE"""),44365.2608912037)</f>
        <v>44365.26089</v>
      </c>
      <c r="F349" s="4" t="str">
        <f>IFERROR(__xludf.DUMMYFUNCTION("""COMPUTED_VALUE""")," ---")</f>
        <v> ---</v>
      </c>
      <c r="G349" s="4" t="str">
        <f>IFERROR(__xludf.DUMMYFUNCTION("""COMPUTED_VALUE"""),"SUSE Linux Enterprise Server 15 SP3")</f>
        <v>SUSE Linux Enterprise Server 15 SP3</v>
      </c>
      <c r="H349" s="7" t="str">
        <f t="shared" si="2"/>
        <v>NO</v>
      </c>
      <c r="I349" s="7" t="str">
        <f t="shared" si="3"/>
        <v>NO</v>
      </c>
    </row>
    <row r="350">
      <c r="A350" s="4">
        <f>IFERROR(__xludf.DUMMYFUNCTION("""COMPUTED_VALUE"""),1180141.0)</f>
        <v>1180141</v>
      </c>
      <c r="B350" s="4" t="str">
        <f>IFERROR(__xludf.DUMMYFUNCTION("""COMPUTED_VALUE"""),"P3 - Medium")</f>
        <v>P3 - Medium</v>
      </c>
      <c r="C350" s="5">
        <f>IFERROR(__xludf.DUMMYFUNCTION("""COMPUTED_VALUE"""),44182.16643518519)</f>
        <v>44182.16644</v>
      </c>
      <c r="D350" s="4" t="str">
        <f>IFERROR(__xludf.DUMMYFUNCTION("""COMPUTED_VALUE"""),"RESOLVED")</f>
        <v>RESOLVED</v>
      </c>
      <c r="E350" s="6">
        <f>IFERROR(__xludf.DUMMYFUNCTION("""COMPUTED_VALUE"""),44482.68071759259)</f>
        <v>44482.68072</v>
      </c>
      <c r="F350" s="4" t="str">
        <f>IFERROR(__xludf.DUMMYFUNCTION("""COMPUTED_VALUE""")," ---")</f>
        <v> ---</v>
      </c>
      <c r="G350" s="4" t="str">
        <f>IFERROR(__xludf.DUMMYFUNCTION("""COMPUTED_VALUE"""),"SUSE Linux Enterprise Server 15 SP3")</f>
        <v>SUSE Linux Enterprise Server 15 SP3</v>
      </c>
      <c r="H350" s="7" t="str">
        <f t="shared" si="2"/>
        <v>NO</v>
      </c>
      <c r="I350" s="7" t="str">
        <f t="shared" si="3"/>
        <v>NO</v>
      </c>
    </row>
    <row r="351">
      <c r="A351" s="4">
        <f>IFERROR(__xludf.DUMMYFUNCTION("""COMPUTED_VALUE"""),1180425.0)</f>
        <v>1180425</v>
      </c>
      <c r="B351" s="4" t="str">
        <f>IFERROR(__xludf.DUMMYFUNCTION("""COMPUTED_VALUE"""),"P3 - Medium")</f>
        <v>P3 - Medium</v>
      </c>
      <c r="C351" s="5">
        <f>IFERROR(__xludf.DUMMYFUNCTION("""COMPUTED_VALUE"""),44194.17041666667)</f>
        <v>44194.17042</v>
      </c>
      <c r="D351" s="4" t="str">
        <f>IFERROR(__xludf.DUMMYFUNCTION("""COMPUTED_VALUE"""),"RESOLVED")</f>
        <v>RESOLVED</v>
      </c>
      <c r="E351" s="6">
        <f>IFERROR(__xludf.DUMMYFUNCTION("""COMPUTED_VALUE"""),44365.26489583333)</f>
        <v>44365.2649</v>
      </c>
      <c r="F351" s="4" t="str">
        <f>IFERROR(__xludf.DUMMYFUNCTION("""COMPUTED_VALUE""")," ---")</f>
        <v> ---</v>
      </c>
      <c r="G351" s="4" t="str">
        <f>IFERROR(__xludf.DUMMYFUNCTION("""COMPUTED_VALUE"""),"SUSE Linux Enterprise Server 15 SP3")</f>
        <v>SUSE Linux Enterprise Server 15 SP3</v>
      </c>
      <c r="H351" s="7" t="str">
        <f t="shared" si="2"/>
        <v>YES</v>
      </c>
      <c r="I351" s="7" t="str">
        <f t="shared" si="3"/>
        <v>NO</v>
      </c>
    </row>
    <row r="352">
      <c r="A352" s="4">
        <f>IFERROR(__xludf.DUMMYFUNCTION("""COMPUTED_VALUE"""),1181745.0)</f>
        <v>1181745</v>
      </c>
      <c r="B352" s="4" t="str">
        <f>IFERROR(__xludf.DUMMYFUNCTION("""COMPUTED_VALUE"""),"P3 - Medium")</f>
        <v>P3 - Medium</v>
      </c>
      <c r="C352" s="5">
        <f>IFERROR(__xludf.DUMMYFUNCTION("""COMPUTED_VALUE"""),44230.545636574076)</f>
        <v>44230.54564</v>
      </c>
      <c r="D352" s="4" t="str">
        <f>IFERROR(__xludf.DUMMYFUNCTION("""COMPUTED_VALUE"""),"RESOLVED")</f>
        <v>RESOLVED</v>
      </c>
      <c r="E352" s="6">
        <f>IFERROR(__xludf.DUMMYFUNCTION("""COMPUTED_VALUE"""),44365.26572916667)</f>
        <v>44365.26573</v>
      </c>
      <c r="F352" s="4" t="str">
        <f>IFERROR(__xludf.DUMMYFUNCTION("""COMPUTED_VALUE"""),"Yes")</f>
        <v>Yes</v>
      </c>
      <c r="G352" s="4" t="str">
        <f>IFERROR(__xludf.DUMMYFUNCTION("""COMPUTED_VALUE"""),"PUBLIC SUSE Linux Enterprise Server 15 SP3")</f>
        <v>PUBLIC SUSE Linux Enterprise Server 15 SP3</v>
      </c>
      <c r="H352" s="7" t="str">
        <f t="shared" si="2"/>
        <v>NO</v>
      </c>
      <c r="I352" s="7" t="str">
        <f t="shared" si="3"/>
        <v>NO</v>
      </c>
    </row>
    <row r="353">
      <c r="A353" s="4">
        <f>IFERROR(__xludf.DUMMYFUNCTION("""COMPUTED_VALUE"""),1182992.0)</f>
        <v>1182992</v>
      </c>
      <c r="B353" s="4" t="str">
        <f>IFERROR(__xludf.DUMMYFUNCTION("""COMPUTED_VALUE"""),"P3 - Medium")</f>
        <v>P3 - Medium</v>
      </c>
      <c r="C353" s="5">
        <f>IFERROR(__xludf.DUMMYFUNCTION("""COMPUTED_VALUE"""),44258.753217592595)</f>
        <v>44258.75322</v>
      </c>
      <c r="D353" s="4" t="str">
        <f>IFERROR(__xludf.DUMMYFUNCTION("""COMPUTED_VALUE"""),"RESOLVED")</f>
        <v>RESOLVED</v>
      </c>
      <c r="E353" s="6">
        <f>IFERROR(__xludf.DUMMYFUNCTION("""COMPUTED_VALUE"""),44384.87670138889)</f>
        <v>44384.8767</v>
      </c>
      <c r="F353" s="4" t="str">
        <f>IFERROR(__xludf.DUMMYFUNCTION("""COMPUTED_VALUE""")," ---")</f>
        <v> ---</v>
      </c>
      <c r="G353" s="4" t="str">
        <f>IFERROR(__xludf.DUMMYFUNCTION("""COMPUTED_VALUE"""),"SUSE Linux Enterprise Server 15 SP3")</f>
        <v>SUSE Linux Enterprise Server 15 SP3</v>
      </c>
      <c r="H353" s="7" t="str">
        <f t="shared" si="2"/>
        <v>NO</v>
      </c>
      <c r="I353" s="7" t="str">
        <f t="shared" si="3"/>
        <v>NO</v>
      </c>
    </row>
    <row r="354">
      <c r="A354" s="4">
        <f>IFERROR(__xludf.DUMMYFUNCTION("""COMPUTED_VALUE"""),1183221.0)</f>
        <v>1183221</v>
      </c>
      <c r="B354" s="4" t="str">
        <f>IFERROR(__xludf.DUMMYFUNCTION("""COMPUTED_VALUE"""),"P3 - Medium")</f>
        <v>P3 - Medium</v>
      </c>
      <c r="C354" s="5">
        <f>IFERROR(__xludf.DUMMYFUNCTION("""COMPUTED_VALUE"""),44264.45445601852)</f>
        <v>44264.45446</v>
      </c>
      <c r="D354" s="4" t="str">
        <f>IFERROR(__xludf.DUMMYFUNCTION("""COMPUTED_VALUE"""),"RESOLVED")</f>
        <v>RESOLVED</v>
      </c>
      <c r="E354" s="6">
        <f>IFERROR(__xludf.DUMMYFUNCTION("""COMPUTED_VALUE"""),44323.323912037034)</f>
        <v>44323.32391</v>
      </c>
      <c r="F354" s="4" t="str">
        <f>IFERROR(__xludf.DUMMYFUNCTION("""COMPUTED_VALUE""")," ---")</f>
        <v> ---</v>
      </c>
      <c r="G354" s="4" t="str">
        <f>IFERROR(__xludf.DUMMYFUNCTION("""COMPUTED_VALUE"""),"SUSE Linux Enterprise Server 15 SP3")</f>
        <v>SUSE Linux Enterprise Server 15 SP3</v>
      </c>
      <c r="H354" s="7" t="str">
        <f t="shared" si="2"/>
        <v>NO</v>
      </c>
      <c r="I354" s="7" t="str">
        <f t="shared" si="3"/>
        <v>NO</v>
      </c>
    </row>
    <row r="355">
      <c r="A355" s="4">
        <f>IFERROR(__xludf.DUMMYFUNCTION("""COMPUTED_VALUE"""),1183841.0)</f>
        <v>1183841</v>
      </c>
      <c r="B355" s="4" t="str">
        <f>IFERROR(__xludf.DUMMYFUNCTION("""COMPUTED_VALUE"""),"P3 - Medium")</f>
        <v>P3 - Medium</v>
      </c>
      <c r="C355" s="5">
        <f>IFERROR(__xludf.DUMMYFUNCTION("""COMPUTED_VALUE"""),44277.14807870371)</f>
        <v>44277.14808</v>
      </c>
      <c r="D355" s="4" t="str">
        <f>IFERROR(__xludf.DUMMYFUNCTION("""COMPUTED_VALUE"""),"RESOLVED")</f>
        <v>RESOLVED</v>
      </c>
      <c r="E355" s="6">
        <f>IFERROR(__xludf.DUMMYFUNCTION("""COMPUTED_VALUE"""),44365.261979166666)</f>
        <v>44365.26198</v>
      </c>
      <c r="F355" s="4" t="str">
        <f>IFERROR(__xludf.DUMMYFUNCTION("""COMPUTED_VALUE""")," ---")</f>
        <v> ---</v>
      </c>
      <c r="G355" s="4" t="str">
        <f>IFERROR(__xludf.DUMMYFUNCTION("""COMPUTED_VALUE"""),"PUBLIC SUSE Linux Enterprise Server 15 SP3")</f>
        <v>PUBLIC SUSE Linux Enterprise Server 15 SP3</v>
      </c>
      <c r="H355" s="7" t="str">
        <f t="shared" si="2"/>
        <v>NO</v>
      </c>
      <c r="I355" s="7" t="str">
        <f t="shared" si="3"/>
        <v>NO</v>
      </c>
    </row>
    <row r="356">
      <c r="A356" s="4">
        <f>IFERROR(__xludf.DUMMYFUNCTION("""COMPUTED_VALUE"""),1184468.0)</f>
        <v>1184468</v>
      </c>
      <c r="B356" s="4" t="str">
        <f>IFERROR(__xludf.DUMMYFUNCTION("""COMPUTED_VALUE"""),"P3 - Medium")</f>
        <v>P3 - Medium</v>
      </c>
      <c r="C356" s="5">
        <f>IFERROR(__xludf.DUMMYFUNCTION("""COMPUTED_VALUE"""),44293.8491087963)</f>
        <v>44293.84911</v>
      </c>
      <c r="D356" s="4" t="str">
        <f>IFERROR(__xludf.DUMMYFUNCTION("""COMPUTED_VALUE"""),"RESOLVED")</f>
        <v>RESOLVED</v>
      </c>
      <c r="E356" s="6">
        <f>IFERROR(__xludf.DUMMYFUNCTION("""COMPUTED_VALUE"""),44295.42694444444)</f>
        <v>44295.42694</v>
      </c>
      <c r="F356" s="4" t="str">
        <f>IFERROR(__xludf.DUMMYFUNCTION("""COMPUTED_VALUE""")," ---")</f>
        <v> ---</v>
      </c>
      <c r="G356" s="4" t="str">
        <f>IFERROR(__xludf.DUMMYFUNCTION("""COMPUTED_VALUE"""),"SUSE Linux Enterprise Server 15 SP3")</f>
        <v>SUSE Linux Enterprise Server 15 SP3</v>
      </c>
      <c r="H356" s="7" t="str">
        <f t="shared" si="2"/>
        <v>NO</v>
      </c>
      <c r="I356" s="7" t="str">
        <f t="shared" si="3"/>
        <v>NO</v>
      </c>
    </row>
    <row r="357">
      <c r="A357" s="4">
        <f>IFERROR(__xludf.DUMMYFUNCTION("""COMPUTED_VALUE"""),1184621.0)</f>
        <v>1184621</v>
      </c>
      <c r="B357" s="4" t="str">
        <f>IFERROR(__xludf.DUMMYFUNCTION("""COMPUTED_VALUE"""),"P3 - Medium")</f>
        <v>P3 - Medium</v>
      </c>
      <c r="C357" s="5">
        <f>IFERROR(__xludf.DUMMYFUNCTION("""COMPUTED_VALUE"""),44298.59925925926)</f>
        <v>44298.59926</v>
      </c>
      <c r="D357" s="4" t="str">
        <f>IFERROR(__xludf.DUMMYFUNCTION("""COMPUTED_VALUE"""),"RESOLVED")</f>
        <v>RESOLVED</v>
      </c>
      <c r="E357" s="6">
        <f>IFERROR(__xludf.DUMMYFUNCTION("""COMPUTED_VALUE"""),44301.57398148148)</f>
        <v>44301.57398</v>
      </c>
      <c r="F357" s="4" t="str">
        <f>IFERROR(__xludf.DUMMYFUNCTION("""COMPUTED_VALUE""")," ---")</f>
        <v> ---</v>
      </c>
      <c r="G357" s="4" t="str">
        <f>IFERROR(__xludf.DUMMYFUNCTION("""COMPUTED_VALUE"""),"SUSE Linux Enterprise Server 15 SP3")</f>
        <v>SUSE Linux Enterprise Server 15 SP3</v>
      </c>
      <c r="H357" s="7" t="str">
        <f t="shared" si="2"/>
        <v>NO</v>
      </c>
      <c r="I357" s="7" t="str">
        <f t="shared" si="3"/>
        <v>NO</v>
      </c>
    </row>
    <row r="358">
      <c r="A358" s="4">
        <f>IFERROR(__xludf.DUMMYFUNCTION("""COMPUTED_VALUE"""),1185546.0)</f>
        <v>1185546</v>
      </c>
      <c r="B358" s="4" t="str">
        <f>IFERROR(__xludf.DUMMYFUNCTION("""COMPUTED_VALUE"""),"P3 - Medium")</f>
        <v>P3 - Medium</v>
      </c>
      <c r="C358" s="5">
        <f>IFERROR(__xludf.DUMMYFUNCTION("""COMPUTED_VALUE"""),44319.252916666665)</f>
        <v>44319.25292</v>
      </c>
      <c r="D358" s="4" t="str">
        <f>IFERROR(__xludf.DUMMYFUNCTION("""COMPUTED_VALUE"""),"RESOLVED")</f>
        <v>RESOLVED</v>
      </c>
      <c r="E358" s="6">
        <f>IFERROR(__xludf.DUMMYFUNCTION("""COMPUTED_VALUE"""),44320.40289351852)</f>
        <v>44320.40289</v>
      </c>
      <c r="F358" s="4" t="str">
        <f>IFERROR(__xludf.DUMMYFUNCTION("""COMPUTED_VALUE""")," ---")</f>
        <v> ---</v>
      </c>
      <c r="G358" s="4" t="str">
        <f>IFERROR(__xludf.DUMMYFUNCTION("""COMPUTED_VALUE"""),"SUSE Linux Enterprise Server 15 SP3")</f>
        <v>SUSE Linux Enterprise Server 15 SP3</v>
      </c>
      <c r="H358" s="7" t="str">
        <f t="shared" si="2"/>
        <v>NO</v>
      </c>
      <c r="I358" s="7" t="str">
        <f t="shared" si="3"/>
        <v>NO</v>
      </c>
    </row>
    <row r="359">
      <c r="A359" s="4">
        <f>IFERROR(__xludf.DUMMYFUNCTION("""COMPUTED_VALUE"""),1186303.0)</f>
        <v>1186303</v>
      </c>
      <c r="B359" s="4" t="str">
        <f>IFERROR(__xludf.DUMMYFUNCTION("""COMPUTED_VALUE"""),"P3 - Medium")</f>
        <v>P3 - Medium</v>
      </c>
      <c r="C359" s="5">
        <f>IFERROR(__xludf.DUMMYFUNCTION("""COMPUTED_VALUE"""),44336.61760416667)</f>
        <v>44336.6176</v>
      </c>
      <c r="D359" s="4" t="str">
        <f>IFERROR(__xludf.DUMMYFUNCTION("""COMPUTED_VALUE"""),"RESOLVED")</f>
        <v>RESOLVED</v>
      </c>
      <c r="E359" s="6">
        <f>IFERROR(__xludf.DUMMYFUNCTION("""COMPUTED_VALUE"""),44341.393912037034)</f>
        <v>44341.39391</v>
      </c>
      <c r="F359" s="4" t="str">
        <f>IFERROR(__xludf.DUMMYFUNCTION("""COMPUTED_VALUE""")," ---")</f>
        <v> ---</v>
      </c>
      <c r="G359" s="4" t="str">
        <f>IFERROR(__xludf.DUMMYFUNCTION("""COMPUTED_VALUE"""),"SUSE Linux Enterprise Server 15 SP3")</f>
        <v>SUSE Linux Enterprise Server 15 SP3</v>
      </c>
      <c r="H359" s="7" t="str">
        <f t="shared" si="2"/>
        <v>NO</v>
      </c>
      <c r="I359" s="7" t="str">
        <f t="shared" si="3"/>
        <v>NO</v>
      </c>
    </row>
    <row r="360">
      <c r="A360" s="4">
        <f>IFERROR(__xludf.DUMMYFUNCTION("""COMPUTED_VALUE"""),1187030.0)</f>
        <v>1187030</v>
      </c>
      <c r="B360" s="4" t="str">
        <f>IFERROR(__xludf.DUMMYFUNCTION("""COMPUTED_VALUE"""),"P3 - Medium")</f>
        <v>P3 - Medium</v>
      </c>
      <c r="C360" s="5">
        <f>IFERROR(__xludf.DUMMYFUNCTION("""COMPUTED_VALUE"""),44355.42884259259)</f>
        <v>44355.42884</v>
      </c>
      <c r="D360" s="4" t="str">
        <f>IFERROR(__xludf.DUMMYFUNCTION("""COMPUTED_VALUE"""),"RESOLVED")</f>
        <v>RESOLVED</v>
      </c>
      <c r="E360" s="6">
        <f>IFERROR(__xludf.DUMMYFUNCTION("""COMPUTED_VALUE"""),44446.42449074074)</f>
        <v>44446.42449</v>
      </c>
      <c r="F360" s="4" t="str">
        <f>IFERROR(__xludf.DUMMYFUNCTION("""COMPUTED_VALUE""")," ---")</f>
        <v> ---</v>
      </c>
      <c r="G360" s="4" t="str">
        <f>IFERROR(__xludf.DUMMYFUNCTION("""COMPUTED_VALUE"""),"SUSE Linux Enterprise Server 15 SP3")</f>
        <v>SUSE Linux Enterprise Server 15 SP3</v>
      </c>
      <c r="H360" s="7" t="str">
        <f t="shared" si="2"/>
        <v>NO</v>
      </c>
      <c r="I360" s="7" t="str">
        <f t="shared" si="3"/>
        <v>NO</v>
      </c>
    </row>
    <row r="361">
      <c r="A361" s="4">
        <f>IFERROR(__xludf.DUMMYFUNCTION("""COMPUTED_VALUE"""),1186352.0)</f>
        <v>1186352</v>
      </c>
      <c r="B361" s="4" t="str">
        <f>IFERROR(__xludf.DUMMYFUNCTION("""COMPUTED_VALUE"""),"P3 - Medium")</f>
        <v>P3 - Medium</v>
      </c>
      <c r="C361" s="5">
        <f>IFERROR(__xludf.DUMMYFUNCTION("""COMPUTED_VALUE"""),44337.75200231482)</f>
        <v>44337.752</v>
      </c>
      <c r="D361" s="4" t="str">
        <f>IFERROR(__xludf.DUMMYFUNCTION("""COMPUTED_VALUE"""),"RESOLVED")</f>
        <v>RESOLVED</v>
      </c>
      <c r="E361" s="6">
        <f>IFERROR(__xludf.DUMMYFUNCTION("""COMPUTED_VALUE"""),44388.733460648145)</f>
        <v>44388.73346</v>
      </c>
      <c r="F361" s="4" t="str">
        <f>IFERROR(__xludf.DUMMYFUNCTION("""COMPUTED_VALUE""")," ---")</f>
        <v> ---</v>
      </c>
      <c r="G361" s="4" t="str">
        <f>IFERROR(__xludf.DUMMYFUNCTION("""COMPUTED_VALUE"""),"SUSE Linux Enterprise Server 15 SP3")</f>
        <v>SUSE Linux Enterprise Server 15 SP3</v>
      </c>
      <c r="H361" s="7" t="str">
        <f t="shared" si="2"/>
        <v>NO</v>
      </c>
      <c r="I361" s="7" t="str">
        <f t="shared" si="3"/>
        <v>NO</v>
      </c>
    </row>
    <row r="362">
      <c r="A362" s="4">
        <f>IFERROR(__xludf.DUMMYFUNCTION("""COMPUTED_VALUE"""),1186353.0)</f>
        <v>1186353</v>
      </c>
      <c r="B362" s="4" t="str">
        <f>IFERROR(__xludf.DUMMYFUNCTION("""COMPUTED_VALUE"""),"P3 - Medium")</f>
        <v>P3 - Medium</v>
      </c>
      <c r="C362" s="5">
        <f>IFERROR(__xludf.DUMMYFUNCTION("""COMPUTED_VALUE"""),44337.752071759256)</f>
        <v>44337.75207</v>
      </c>
      <c r="D362" s="4" t="str">
        <f>IFERROR(__xludf.DUMMYFUNCTION("""COMPUTED_VALUE"""),"RESOLVED")</f>
        <v>RESOLVED</v>
      </c>
      <c r="E362" s="6">
        <f>IFERROR(__xludf.DUMMYFUNCTION("""COMPUTED_VALUE"""),44388.73353009259)</f>
        <v>44388.73353</v>
      </c>
      <c r="F362" s="4" t="str">
        <f>IFERROR(__xludf.DUMMYFUNCTION("""COMPUTED_VALUE""")," ---")</f>
        <v> ---</v>
      </c>
      <c r="G362" s="4" t="str">
        <f>IFERROR(__xludf.DUMMYFUNCTION("""COMPUTED_VALUE"""),"SUSE Linux Enterprise Server 15 SP3")</f>
        <v>SUSE Linux Enterprise Server 15 SP3</v>
      </c>
      <c r="H362" s="7" t="str">
        <f t="shared" si="2"/>
        <v>NO</v>
      </c>
      <c r="I362" s="7" t="str">
        <f t="shared" si="3"/>
        <v>NO</v>
      </c>
    </row>
    <row r="363">
      <c r="A363" s="4">
        <f>IFERROR(__xludf.DUMMYFUNCTION("""COMPUTED_VALUE"""),1186354.0)</f>
        <v>1186354</v>
      </c>
      <c r="B363" s="4" t="str">
        <f>IFERROR(__xludf.DUMMYFUNCTION("""COMPUTED_VALUE"""),"P3 - Medium")</f>
        <v>P3 - Medium</v>
      </c>
      <c r="C363" s="5">
        <f>IFERROR(__xludf.DUMMYFUNCTION("""COMPUTED_VALUE"""),44337.7521412037)</f>
        <v>44337.75214</v>
      </c>
      <c r="D363" s="4" t="str">
        <f>IFERROR(__xludf.DUMMYFUNCTION("""COMPUTED_VALUE"""),"RESOLVED")</f>
        <v>RESOLVED</v>
      </c>
      <c r="E363" s="6">
        <f>IFERROR(__xludf.DUMMYFUNCTION("""COMPUTED_VALUE"""),44388.73359953704)</f>
        <v>44388.7336</v>
      </c>
      <c r="F363" s="4" t="str">
        <f>IFERROR(__xludf.DUMMYFUNCTION("""COMPUTED_VALUE""")," ---")</f>
        <v> ---</v>
      </c>
      <c r="G363" s="4" t="str">
        <f>IFERROR(__xludf.DUMMYFUNCTION("""COMPUTED_VALUE"""),"SUSE Linux Enterprise Server 15 SP3")</f>
        <v>SUSE Linux Enterprise Server 15 SP3</v>
      </c>
      <c r="H363" s="7" t="str">
        <f t="shared" si="2"/>
        <v>NO</v>
      </c>
      <c r="I363" s="7" t="str">
        <f t="shared" si="3"/>
        <v>NO</v>
      </c>
    </row>
    <row r="364">
      <c r="A364" s="4">
        <f>IFERROR(__xludf.DUMMYFUNCTION("""COMPUTED_VALUE"""),1186355.0)</f>
        <v>1186355</v>
      </c>
      <c r="B364" s="4" t="str">
        <f>IFERROR(__xludf.DUMMYFUNCTION("""COMPUTED_VALUE"""),"P3 - Medium")</f>
        <v>P3 - Medium</v>
      </c>
      <c r="C364" s="5">
        <f>IFERROR(__xludf.DUMMYFUNCTION("""COMPUTED_VALUE"""),44337.75221064815)</f>
        <v>44337.75221</v>
      </c>
      <c r="D364" s="4" t="str">
        <f>IFERROR(__xludf.DUMMYFUNCTION("""COMPUTED_VALUE"""),"RESOLVED")</f>
        <v>RESOLVED</v>
      </c>
      <c r="E364" s="6">
        <f>IFERROR(__xludf.DUMMYFUNCTION("""COMPUTED_VALUE"""),44388.733668981484)</f>
        <v>44388.73367</v>
      </c>
      <c r="F364" s="4" t="str">
        <f>IFERROR(__xludf.DUMMYFUNCTION("""COMPUTED_VALUE""")," ---")</f>
        <v> ---</v>
      </c>
      <c r="G364" s="4" t="str">
        <f>IFERROR(__xludf.DUMMYFUNCTION("""COMPUTED_VALUE"""),"SUSE Linux Enterprise Server 15 SP3")</f>
        <v>SUSE Linux Enterprise Server 15 SP3</v>
      </c>
      <c r="H364" s="7" t="str">
        <f t="shared" si="2"/>
        <v>NO</v>
      </c>
      <c r="I364" s="7" t="str">
        <f t="shared" si="3"/>
        <v>NO</v>
      </c>
    </row>
    <row r="365">
      <c r="A365" s="4">
        <f>IFERROR(__xludf.DUMMYFUNCTION("""COMPUTED_VALUE"""),1186356.0)</f>
        <v>1186356</v>
      </c>
      <c r="B365" s="4" t="str">
        <f>IFERROR(__xludf.DUMMYFUNCTION("""COMPUTED_VALUE"""),"P3 - Medium")</f>
        <v>P3 - Medium</v>
      </c>
      <c r="C365" s="5">
        <f>IFERROR(__xludf.DUMMYFUNCTION("""COMPUTED_VALUE"""),44337.752280092594)</f>
        <v>44337.75228</v>
      </c>
      <c r="D365" s="4" t="str">
        <f>IFERROR(__xludf.DUMMYFUNCTION("""COMPUTED_VALUE"""),"RESOLVED")</f>
        <v>RESOLVED</v>
      </c>
      <c r="E365" s="6">
        <f>IFERROR(__xludf.DUMMYFUNCTION("""COMPUTED_VALUE"""),44388.73373842592)</f>
        <v>44388.73374</v>
      </c>
      <c r="F365" s="4" t="str">
        <f>IFERROR(__xludf.DUMMYFUNCTION("""COMPUTED_VALUE""")," ---")</f>
        <v> ---</v>
      </c>
      <c r="G365" s="4" t="str">
        <f>IFERROR(__xludf.DUMMYFUNCTION("""COMPUTED_VALUE"""),"SUSE Linux Enterprise Server 15 SP3")</f>
        <v>SUSE Linux Enterprise Server 15 SP3</v>
      </c>
      <c r="H365" s="7" t="str">
        <f t="shared" si="2"/>
        <v>NO</v>
      </c>
      <c r="I365" s="7" t="str">
        <f t="shared" si="3"/>
        <v>NO</v>
      </c>
    </row>
    <row r="366">
      <c r="A366" s="4">
        <f>IFERROR(__xludf.DUMMYFUNCTION("""COMPUTED_VALUE"""),1186357.0)</f>
        <v>1186357</v>
      </c>
      <c r="B366" s="4" t="str">
        <f>IFERROR(__xludf.DUMMYFUNCTION("""COMPUTED_VALUE"""),"P3 - Medium")</f>
        <v>P3 - Medium</v>
      </c>
      <c r="C366" s="5">
        <f>IFERROR(__xludf.DUMMYFUNCTION("""COMPUTED_VALUE"""),44337.75236111111)</f>
        <v>44337.75236</v>
      </c>
      <c r="D366" s="4" t="str">
        <f>IFERROR(__xludf.DUMMYFUNCTION("""COMPUTED_VALUE"""),"RESOLVED")</f>
        <v>RESOLVED</v>
      </c>
      <c r="E366" s="6">
        <f>IFERROR(__xludf.DUMMYFUNCTION("""COMPUTED_VALUE"""),44388.73380787037)</f>
        <v>44388.73381</v>
      </c>
      <c r="F366" s="4" t="str">
        <f>IFERROR(__xludf.DUMMYFUNCTION("""COMPUTED_VALUE""")," ---")</f>
        <v> ---</v>
      </c>
      <c r="G366" s="4" t="str">
        <f>IFERROR(__xludf.DUMMYFUNCTION("""COMPUTED_VALUE"""),"SUSE Linux Enterprise Server 15 SP3")</f>
        <v>SUSE Linux Enterprise Server 15 SP3</v>
      </c>
      <c r="H366" s="7" t="str">
        <f t="shared" si="2"/>
        <v>NO</v>
      </c>
      <c r="I366" s="7" t="str">
        <f t="shared" si="3"/>
        <v>NO</v>
      </c>
    </row>
    <row r="367">
      <c r="A367" s="4">
        <f>IFERROR(__xludf.DUMMYFUNCTION("""COMPUTED_VALUE"""),1182853.0)</f>
        <v>1182853</v>
      </c>
      <c r="B367" s="4" t="str">
        <f>IFERROR(__xludf.DUMMYFUNCTION("""COMPUTED_VALUE"""),"P3 - Medium")</f>
        <v>P3 - Medium</v>
      </c>
      <c r="C367" s="5">
        <f>IFERROR(__xludf.DUMMYFUNCTION("""COMPUTED_VALUE"""),44256.48616898148)</f>
        <v>44256.48617</v>
      </c>
      <c r="D367" s="4" t="str">
        <f>IFERROR(__xludf.DUMMYFUNCTION("""COMPUTED_VALUE"""),"RESOLVED")</f>
        <v>RESOLVED</v>
      </c>
      <c r="E367" s="6">
        <f>IFERROR(__xludf.DUMMYFUNCTION("""COMPUTED_VALUE"""),44384.87634259259)</f>
        <v>44384.87634</v>
      </c>
      <c r="F367" s="4" t="str">
        <f>IFERROR(__xludf.DUMMYFUNCTION("""COMPUTED_VALUE""")," ---")</f>
        <v> ---</v>
      </c>
      <c r="G367" s="4" t="str">
        <f>IFERROR(__xludf.DUMMYFUNCTION("""COMPUTED_VALUE"""),"SUSE Linux Enterprise Server 15 SP3")</f>
        <v>SUSE Linux Enterprise Server 15 SP3</v>
      </c>
      <c r="H367" s="7" t="str">
        <f t="shared" si="2"/>
        <v>NO</v>
      </c>
      <c r="I367" s="7" t="str">
        <f t="shared" si="3"/>
        <v>NO</v>
      </c>
    </row>
    <row r="368">
      <c r="A368" s="4">
        <f>IFERROR(__xludf.DUMMYFUNCTION("""COMPUTED_VALUE"""),1182857.0)</f>
        <v>1182857</v>
      </c>
      <c r="B368" s="4" t="str">
        <f>IFERROR(__xludf.DUMMYFUNCTION("""COMPUTED_VALUE"""),"P3 - Medium")</f>
        <v>P3 - Medium</v>
      </c>
      <c r="C368" s="5">
        <f>IFERROR(__xludf.DUMMYFUNCTION("""COMPUTED_VALUE"""),44256.50423611111)</f>
        <v>44256.50424</v>
      </c>
      <c r="D368" s="4" t="str">
        <f>IFERROR(__xludf.DUMMYFUNCTION("""COMPUTED_VALUE"""),"RESOLVED")</f>
        <v>RESOLVED</v>
      </c>
      <c r="E368" s="6">
        <f>IFERROR(__xludf.DUMMYFUNCTION("""COMPUTED_VALUE"""),44384.8765625)</f>
        <v>44384.87656</v>
      </c>
      <c r="F368" s="4" t="str">
        <f>IFERROR(__xludf.DUMMYFUNCTION("""COMPUTED_VALUE""")," ---")</f>
        <v> ---</v>
      </c>
      <c r="G368" s="4" t="str">
        <f>IFERROR(__xludf.DUMMYFUNCTION("""COMPUTED_VALUE"""),"SUSE Linux Enterprise Server 15 SP3")</f>
        <v>SUSE Linux Enterprise Server 15 SP3</v>
      </c>
      <c r="H368" s="7" t="str">
        <f t="shared" si="2"/>
        <v>NO</v>
      </c>
      <c r="I368" s="7" t="str">
        <f t="shared" si="3"/>
        <v>NO</v>
      </c>
    </row>
    <row r="369">
      <c r="A369" s="4">
        <f>IFERROR(__xludf.DUMMYFUNCTION("""COMPUTED_VALUE"""),1185558.0)</f>
        <v>1185558</v>
      </c>
      <c r="B369" s="4" t="str">
        <f>IFERROR(__xludf.DUMMYFUNCTION("""COMPUTED_VALUE"""),"P3 - Medium")</f>
        <v>P3 - Medium</v>
      </c>
      <c r="C369" s="5">
        <f>IFERROR(__xludf.DUMMYFUNCTION("""COMPUTED_VALUE"""),44319.37841435185)</f>
        <v>44319.37841</v>
      </c>
      <c r="D369" s="4" t="str">
        <f>IFERROR(__xludf.DUMMYFUNCTION("""COMPUTED_VALUE"""),"RESOLVED")</f>
        <v>RESOLVED</v>
      </c>
      <c r="E369" s="6">
        <f>IFERROR(__xludf.DUMMYFUNCTION("""COMPUTED_VALUE"""),44388.730833333335)</f>
        <v>44388.73083</v>
      </c>
      <c r="F369" s="4" t="str">
        <f>IFERROR(__xludf.DUMMYFUNCTION("""COMPUTED_VALUE""")," ---")</f>
        <v> ---</v>
      </c>
      <c r="G369" s="4" t="str">
        <f>IFERROR(__xludf.DUMMYFUNCTION("""COMPUTED_VALUE"""),"SUSE Linux Enterprise Server 15 SP3")</f>
        <v>SUSE Linux Enterprise Server 15 SP3</v>
      </c>
      <c r="H369" s="7" t="str">
        <f t="shared" si="2"/>
        <v>NO</v>
      </c>
      <c r="I369" s="7" t="str">
        <f t="shared" si="3"/>
        <v>NO</v>
      </c>
    </row>
    <row r="370">
      <c r="A370" s="4">
        <f>IFERROR(__xludf.DUMMYFUNCTION("""COMPUTED_VALUE"""),1185573.0)</f>
        <v>1185573</v>
      </c>
      <c r="B370" s="4" t="str">
        <f>IFERROR(__xludf.DUMMYFUNCTION("""COMPUTED_VALUE"""),"P3 - Medium")</f>
        <v>P3 - Medium</v>
      </c>
      <c r="C370" s="5">
        <f>IFERROR(__xludf.DUMMYFUNCTION("""COMPUTED_VALUE"""),44319.567557870374)</f>
        <v>44319.56756</v>
      </c>
      <c r="D370" s="4" t="str">
        <f>IFERROR(__xludf.DUMMYFUNCTION("""COMPUTED_VALUE"""),"RESOLVED")</f>
        <v>RESOLVED</v>
      </c>
      <c r="E370" s="6">
        <f>IFERROR(__xludf.DUMMYFUNCTION("""COMPUTED_VALUE"""),44388.73091435185)</f>
        <v>44388.73091</v>
      </c>
      <c r="F370" s="4" t="str">
        <f>IFERROR(__xludf.DUMMYFUNCTION("""COMPUTED_VALUE""")," ---")</f>
        <v> ---</v>
      </c>
      <c r="G370" s="4" t="str">
        <f>IFERROR(__xludf.DUMMYFUNCTION("""COMPUTED_VALUE"""),"SUSE Linux Enterprise Server 15 SP3")</f>
        <v>SUSE Linux Enterprise Server 15 SP3</v>
      </c>
      <c r="H370" s="7" t="str">
        <f t="shared" si="2"/>
        <v>NO</v>
      </c>
      <c r="I370" s="7" t="str">
        <f t="shared" si="3"/>
        <v>NO</v>
      </c>
    </row>
    <row r="371">
      <c r="A371" s="4">
        <f>IFERROR(__xludf.DUMMYFUNCTION("""COMPUTED_VALUE"""),1182560.0)</f>
        <v>1182560</v>
      </c>
      <c r="B371" s="4" t="str">
        <f>IFERROR(__xludf.DUMMYFUNCTION("""COMPUTED_VALUE"""),"P3 - Medium")</f>
        <v>P3 - Medium</v>
      </c>
      <c r="C371" s="5">
        <f>IFERROR(__xludf.DUMMYFUNCTION("""COMPUTED_VALUE"""),44249.458599537036)</f>
        <v>44249.4586</v>
      </c>
      <c r="D371" s="4" t="str">
        <f>IFERROR(__xludf.DUMMYFUNCTION("""COMPUTED_VALUE"""),"RESOLVED")</f>
        <v>RESOLVED</v>
      </c>
      <c r="E371" s="6">
        <f>IFERROR(__xludf.DUMMYFUNCTION("""COMPUTED_VALUE"""),44384.874606481484)</f>
        <v>44384.87461</v>
      </c>
      <c r="F371" s="4" t="str">
        <f>IFERROR(__xludf.DUMMYFUNCTION("""COMPUTED_VALUE""")," ---")</f>
        <v> ---</v>
      </c>
      <c r="G371" s="4" t="str">
        <f>IFERROR(__xludf.DUMMYFUNCTION("""COMPUTED_VALUE"""),"SUSE Linux Enterprise Server 15 SP3")</f>
        <v>SUSE Linux Enterprise Server 15 SP3</v>
      </c>
      <c r="H371" s="7" t="str">
        <f t="shared" si="2"/>
        <v>NO</v>
      </c>
      <c r="I371" s="7" t="str">
        <f t="shared" si="3"/>
        <v>NO</v>
      </c>
    </row>
    <row r="372">
      <c r="A372" s="4">
        <f>IFERROR(__xludf.DUMMYFUNCTION("""COMPUTED_VALUE"""),1187039.0)</f>
        <v>1187039</v>
      </c>
      <c r="B372" s="4" t="str">
        <f>IFERROR(__xludf.DUMMYFUNCTION("""COMPUTED_VALUE"""),"P3 - Medium")</f>
        <v>P3 - Medium</v>
      </c>
      <c r="C372" s="5">
        <f>IFERROR(__xludf.DUMMYFUNCTION("""COMPUTED_VALUE"""),44355.49700231481)</f>
        <v>44355.497</v>
      </c>
      <c r="D372" s="4" t="str">
        <f>IFERROR(__xludf.DUMMYFUNCTION("""COMPUTED_VALUE"""),"RESOLVED")</f>
        <v>RESOLVED</v>
      </c>
      <c r="E372" s="6">
        <f>IFERROR(__xludf.DUMMYFUNCTION("""COMPUTED_VALUE"""),44516.617581018516)</f>
        <v>44516.61758</v>
      </c>
      <c r="F372" s="4" t="str">
        <f>IFERROR(__xludf.DUMMYFUNCTION("""COMPUTED_VALUE""")," ---")</f>
        <v> ---</v>
      </c>
      <c r="G372" s="4" t="str">
        <f>IFERROR(__xludf.DUMMYFUNCTION("""COMPUTED_VALUE"""),"SUSE Linux Enterprise Server 15 SP3")</f>
        <v>SUSE Linux Enterprise Server 15 SP3</v>
      </c>
      <c r="H372" s="7" t="str">
        <f t="shared" si="2"/>
        <v>NO</v>
      </c>
      <c r="I372" s="7" t="str">
        <f t="shared" si="3"/>
        <v>NO</v>
      </c>
    </row>
    <row r="373">
      <c r="A373" s="4">
        <f>IFERROR(__xludf.DUMMYFUNCTION("""COMPUTED_VALUE"""),1184769.0)</f>
        <v>1184769</v>
      </c>
      <c r="B373" s="4" t="str">
        <f>IFERROR(__xludf.DUMMYFUNCTION("""COMPUTED_VALUE"""),"P3 - Medium")</f>
        <v>P3 - Medium</v>
      </c>
      <c r="C373" s="5">
        <f>IFERROR(__xludf.DUMMYFUNCTION("""COMPUTED_VALUE"""),44301.23003472222)</f>
        <v>44301.23003</v>
      </c>
      <c r="D373" s="4" t="str">
        <f>IFERROR(__xludf.DUMMYFUNCTION("""COMPUTED_VALUE"""),"RESOLVED")</f>
        <v>RESOLVED</v>
      </c>
      <c r="E373" s="6">
        <f>IFERROR(__xludf.DUMMYFUNCTION("""COMPUTED_VALUE"""),44397.41237268518)</f>
        <v>44397.41237</v>
      </c>
      <c r="F373" s="4" t="str">
        <f>IFERROR(__xludf.DUMMYFUNCTION("""COMPUTED_VALUE""")," ---")</f>
        <v> ---</v>
      </c>
      <c r="G373" s="4" t="str">
        <f>IFERROR(__xludf.DUMMYFUNCTION("""COMPUTED_VALUE"""),"SUSE Linux Enterprise Server 15 SP3")</f>
        <v>SUSE Linux Enterprise Server 15 SP3</v>
      </c>
      <c r="H373" s="7" t="str">
        <f t="shared" si="2"/>
        <v>NO</v>
      </c>
      <c r="I373" s="7" t="str">
        <f t="shared" si="3"/>
        <v>NO</v>
      </c>
    </row>
    <row r="374">
      <c r="A374" s="4">
        <f>IFERROR(__xludf.DUMMYFUNCTION("""COMPUTED_VALUE"""),1181240.0)</f>
        <v>1181240</v>
      </c>
      <c r="B374" s="4" t="str">
        <f>IFERROR(__xludf.DUMMYFUNCTION("""COMPUTED_VALUE"""),"P3 - Medium")</f>
        <v>P3 - Medium</v>
      </c>
      <c r="C374" s="5">
        <f>IFERROR(__xludf.DUMMYFUNCTION("""COMPUTED_VALUE"""),44217.584756944445)</f>
        <v>44217.58476</v>
      </c>
      <c r="D374" s="4" t="str">
        <f>IFERROR(__xludf.DUMMYFUNCTION("""COMPUTED_VALUE"""),"RESOLVED")</f>
        <v>RESOLVED</v>
      </c>
      <c r="E374" s="6">
        <f>IFERROR(__xludf.DUMMYFUNCTION("""COMPUTED_VALUE"""),44365.26546296296)</f>
        <v>44365.26546</v>
      </c>
      <c r="F374" s="4" t="str">
        <f>IFERROR(__xludf.DUMMYFUNCTION("""COMPUTED_VALUE""")," ---")</f>
        <v> ---</v>
      </c>
      <c r="G374" s="4" t="str">
        <f>IFERROR(__xludf.DUMMYFUNCTION("""COMPUTED_VALUE"""),"SUSE Linux Enterprise Server 15 SP3")</f>
        <v>SUSE Linux Enterprise Server 15 SP3</v>
      </c>
      <c r="H374" s="7" t="str">
        <f t="shared" si="2"/>
        <v>NO</v>
      </c>
      <c r="I374" s="7" t="str">
        <f t="shared" si="3"/>
        <v>NO</v>
      </c>
    </row>
    <row r="375">
      <c r="A375" s="4">
        <f>IFERROR(__xludf.DUMMYFUNCTION("""COMPUTED_VALUE"""),1176659.0)</f>
        <v>1176659</v>
      </c>
      <c r="B375" s="4" t="str">
        <f>IFERROR(__xludf.DUMMYFUNCTION("""COMPUTED_VALUE"""),"P3 - Medium")</f>
        <v>P3 - Medium</v>
      </c>
      <c r="C375" s="5">
        <f>IFERROR(__xludf.DUMMYFUNCTION("""COMPUTED_VALUE"""),44091.24165509259)</f>
        <v>44091.24166</v>
      </c>
      <c r="D375" s="4" t="str">
        <f>IFERROR(__xludf.DUMMYFUNCTION("""COMPUTED_VALUE"""),"RESOLVED")</f>
        <v>RESOLVED</v>
      </c>
      <c r="E375" s="6">
        <f>IFERROR(__xludf.DUMMYFUNCTION("""COMPUTED_VALUE"""),44365.261458333334)</f>
        <v>44365.26146</v>
      </c>
      <c r="F375" s="4" t="str">
        <f>IFERROR(__xludf.DUMMYFUNCTION("""COMPUTED_VALUE""")," ---")</f>
        <v> ---</v>
      </c>
      <c r="G375" s="4" t="str">
        <f>IFERROR(__xludf.DUMMYFUNCTION("""COMPUTED_VALUE"""),"SUSE Linux Enterprise Server 15 SP3")</f>
        <v>SUSE Linux Enterprise Server 15 SP3</v>
      </c>
      <c r="H375" s="7" t="str">
        <f t="shared" si="2"/>
        <v>NO</v>
      </c>
      <c r="I375" s="7" t="str">
        <f t="shared" si="3"/>
        <v>NO</v>
      </c>
    </row>
    <row r="376">
      <c r="A376" s="4">
        <f>IFERROR(__xludf.DUMMYFUNCTION("""COMPUTED_VALUE"""),1180036.0)</f>
        <v>1180036</v>
      </c>
      <c r="B376" s="4" t="str">
        <f>IFERROR(__xludf.DUMMYFUNCTION("""COMPUTED_VALUE"""),"P3 - Medium")</f>
        <v>P3 - Medium</v>
      </c>
      <c r="C376" s="5">
        <f>IFERROR(__xludf.DUMMYFUNCTION("""COMPUTED_VALUE"""),44180.31313657408)</f>
        <v>44180.31314</v>
      </c>
      <c r="D376" s="4" t="str">
        <f>IFERROR(__xludf.DUMMYFUNCTION("""COMPUTED_VALUE"""),"RESOLVED")</f>
        <v>RESOLVED</v>
      </c>
      <c r="E376" s="6">
        <f>IFERROR(__xludf.DUMMYFUNCTION("""COMPUTED_VALUE"""),44361.64148148148)</f>
        <v>44361.64148</v>
      </c>
      <c r="F376" s="4" t="str">
        <f>IFERROR(__xludf.DUMMYFUNCTION("""COMPUTED_VALUE""")," ---")</f>
        <v> ---</v>
      </c>
      <c r="G376" s="4" t="str">
        <f>IFERROR(__xludf.DUMMYFUNCTION("""COMPUTED_VALUE"""),"SUSE Linux Enterprise Server 15 SP3")</f>
        <v>SUSE Linux Enterprise Server 15 SP3</v>
      </c>
      <c r="H376" s="7" t="str">
        <f t="shared" si="2"/>
        <v>NO</v>
      </c>
      <c r="I376" s="7" t="str">
        <f t="shared" si="3"/>
        <v>NO</v>
      </c>
    </row>
    <row r="377">
      <c r="A377" s="4">
        <f>IFERROR(__xludf.DUMMYFUNCTION("""COMPUTED_VALUE"""),1182171.0)</f>
        <v>1182171</v>
      </c>
      <c r="B377" s="4" t="str">
        <f>IFERROR(__xludf.DUMMYFUNCTION("""COMPUTED_VALUE"""),"P3 - Medium")</f>
        <v>P3 - Medium</v>
      </c>
      <c r="C377" s="5">
        <f>IFERROR(__xludf.DUMMYFUNCTION("""COMPUTED_VALUE"""),44239.44519675926)</f>
        <v>44239.4452</v>
      </c>
      <c r="D377" s="4" t="str">
        <f>IFERROR(__xludf.DUMMYFUNCTION("""COMPUTED_VALUE"""),"RESOLVED")</f>
        <v>RESOLVED</v>
      </c>
      <c r="E377" s="6">
        <f>IFERROR(__xludf.DUMMYFUNCTION("""COMPUTED_VALUE"""),44729.55484953704)</f>
        <v>44729.55485</v>
      </c>
      <c r="F377" s="4" t="str">
        <f>IFERROR(__xludf.DUMMYFUNCTION("""COMPUTED_VALUE""")," ---")</f>
        <v> ---</v>
      </c>
      <c r="G377" s="4" t="str">
        <f>IFERROR(__xludf.DUMMYFUNCTION("""COMPUTED_VALUE"""),"SUSE Linux Enterprise Server 15 SP3")</f>
        <v>SUSE Linux Enterprise Server 15 SP3</v>
      </c>
      <c r="H377" s="7" t="str">
        <f t="shared" si="2"/>
        <v>NO</v>
      </c>
      <c r="I377" s="7" t="str">
        <f t="shared" si="3"/>
        <v>YES</v>
      </c>
    </row>
    <row r="378">
      <c r="A378" s="4">
        <f>IFERROR(__xludf.DUMMYFUNCTION("""COMPUTED_VALUE"""),1184703.0)</f>
        <v>1184703</v>
      </c>
      <c r="B378" s="4" t="str">
        <f>IFERROR(__xludf.DUMMYFUNCTION("""COMPUTED_VALUE"""),"P3 - Medium")</f>
        <v>P3 - Medium</v>
      </c>
      <c r="C378" s="5">
        <f>IFERROR(__xludf.DUMMYFUNCTION("""COMPUTED_VALUE"""),44300.33645833333)</f>
        <v>44300.33646</v>
      </c>
      <c r="D378" s="4" t="str">
        <f>IFERROR(__xludf.DUMMYFUNCTION("""COMPUTED_VALUE"""),"RESOLVED")</f>
        <v>RESOLVED</v>
      </c>
      <c r="E378" s="6">
        <f>IFERROR(__xludf.DUMMYFUNCTION("""COMPUTED_VALUE"""),44300.38539351852)</f>
        <v>44300.38539</v>
      </c>
      <c r="F378" s="4" t="str">
        <f>IFERROR(__xludf.DUMMYFUNCTION("""COMPUTED_VALUE"""),"Yes")</f>
        <v>Yes</v>
      </c>
      <c r="G378" s="4" t="str">
        <f>IFERROR(__xludf.DUMMYFUNCTION("""COMPUTED_VALUE"""),"SUSE Linux Enterprise Server 15 SP3")</f>
        <v>SUSE Linux Enterprise Server 15 SP3</v>
      </c>
      <c r="H378" s="7" t="str">
        <f t="shared" si="2"/>
        <v>NO</v>
      </c>
      <c r="I378" s="7" t="str">
        <f t="shared" si="3"/>
        <v>NO</v>
      </c>
    </row>
    <row r="379">
      <c r="A379" s="4">
        <f>IFERROR(__xludf.DUMMYFUNCTION("""COMPUTED_VALUE"""),1180196.0)</f>
        <v>1180196</v>
      </c>
      <c r="B379" s="4" t="str">
        <f>IFERROR(__xludf.DUMMYFUNCTION("""COMPUTED_VALUE"""),"P3 - Medium")</f>
        <v>P3 - Medium</v>
      </c>
      <c r="C379" s="5">
        <f>IFERROR(__xludf.DUMMYFUNCTION("""COMPUTED_VALUE"""),44182.90550925926)</f>
        <v>44182.90551</v>
      </c>
      <c r="D379" s="4" t="str">
        <f>IFERROR(__xludf.DUMMYFUNCTION("""COMPUTED_VALUE"""),"RESOLVED")</f>
        <v>RESOLVED</v>
      </c>
      <c r="E379" s="6">
        <f>IFERROR(__xludf.DUMMYFUNCTION("""COMPUTED_VALUE"""),44382.80458333333)</f>
        <v>44382.80458</v>
      </c>
      <c r="F379" s="4" t="str">
        <f>IFERROR(__xludf.DUMMYFUNCTION("""COMPUTED_VALUE""")," ---")</f>
        <v> ---</v>
      </c>
      <c r="G379" s="4" t="str">
        <f>IFERROR(__xludf.DUMMYFUNCTION("""COMPUTED_VALUE"""),"SUSE Linux Enterprise Server 15 SP3")</f>
        <v>SUSE Linux Enterprise Server 15 SP3</v>
      </c>
      <c r="H379" s="7" t="str">
        <f t="shared" si="2"/>
        <v>NO</v>
      </c>
      <c r="I379" s="7" t="str">
        <f t="shared" si="3"/>
        <v>NO</v>
      </c>
    </row>
    <row r="380">
      <c r="A380" s="4">
        <f>IFERROR(__xludf.DUMMYFUNCTION("""COMPUTED_VALUE"""),1179531.0)</f>
        <v>1179531</v>
      </c>
      <c r="B380" s="4" t="str">
        <f>IFERROR(__xludf.DUMMYFUNCTION("""COMPUTED_VALUE"""),"P3 - Medium")</f>
        <v>P3 - Medium</v>
      </c>
      <c r="C380" s="5">
        <f>IFERROR(__xludf.DUMMYFUNCTION("""COMPUTED_VALUE"""),44167.58483796296)</f>
        <v>44167.58484</v>
      </c>
      <c r="D380" s="4" t="str">
        <f>IFERROR(__xludf.DUMMYFUNCTION("""COMPUTED_VALUE"""),"RESOLVED")</f>
        <v>RESOLVED</v>
      </c>
      <c r="E380" s="6">
        <f>IFERROR(__xludf.DUMMYFUNCTION("""COMPUTED_VALUE"""),44668.49015046296)</f>
        <v>44668.49015</v>
      </c>
      <c r="F380" s="4" t="str">
        <f>IFERROR(__xludf.DUMMYFUNCTION("""COMPUTED_VALUE""")," ---")</f>
        <v> ---</v>
      </c>
      <c r="G380" s="4" t="str">
        <f>IFERROR(__xludf.DUMMYFUNCTION("""COMPUTED_VALUE"""),"SUSE Linux Enterprise Server 15 SP3")</f>
        <v>SUSE Linux Enterprise Server 15 SP3</v>
      </c>
      <c r="H380" s="7" t="str">
        <f t="shared" si="2"/>
        <v>NO</v>
      </c>
      <c r="I380" s="7" t="str">
        <f t="shared" si="3"/>
        <v>NO</v>
      </c>
    </row>
    <row r="381">
      <c r="A381" s="4">
        <f>IFERROR(__xludf.DUMMYFUNCTION("""COMPUTED_VALUE"""),1177686.0)</f>
        <v>1177686</v>
      </c>
      <c r="B381" s="4" t="str">
        <f>IFERROR(__xludf.DUMMYFUNCTION("""COMPUTED_VALUE"""),"P3 - Medium")</f>
        <v>P3 - Medium</v>
      </c>
      <c r="C381" s="5">
        <f>IFERROR(__xludf.DUMMYFUNCTION("""COMPUTED_VALUE"""),44118.51766203704)</f>
        <v>44118.51766</v>
      </c>
      <c r="D381" s="4" t="str">
        <f>IFERROR(__xludf.DUMMYFUNCTION("""COMPUTED_VALUE"""),"RESOLVED")</f>
        <v>RESOLVED</v>
      </c>
      <c r="E381" s="6">
        <f>IFERROR(__xludf.DUMMYFUNCTION("""COMPUTED_VALUE"""),44384.853541666664)</f>
        <v>44384.85354</v>
      </c>
      <c r="F381" s="4" t="str">
        <f>IFERROR(__xludf.DUMMYFUNCTION("""COMPUTED_VALUE""")," ---")</f>
        <v> ---</v>
      </c>
      <c r="G381" s="4" t="str">
        <f>IFERROR(__xludf.DUMMYFUNCTION("""COMPUTED_VALUE"""),"SUSE Linux Enterprise Server 15 SP3")</f>
        <v>SUSE Linux Enterprise Server 15 SP3</v>
      </c>
      <c r="H381" s="7" t="str">
        <f t="shared" si="2"/>
        <v>NO</v>
      </c>
      <c r="I381" s="7" t="str">
        <f t="shared" si="3"/>
        <v>NO</v>
      </c>
    </row>
    <row r="382">
      <c r="A382" s="4">
        <f>IFERROR(__xludf.DUMMYFUNCTION("""COMPUTED_VALUE"""),1180703.0)</f>
        <v>1180703</v>
      </c>
      <c r="B382" s="4" t="str">
        <f>IFERROR(__xludf.DUMMYFUNCTION("""COMPUTED_VALUE"""),"P3 - Medium")</f>
        <v>P3 - Medium</v>
      </c>
      <c r="C382" s="5">
        <f>IFERROR(__xludf.DUMMYFUNCTION("""COMPUTED_VALUE"""),44204.61809027778)</f>
        <v>44204.61809</v>
      </c>
      <c r="D382" s="4" t="str">
        <f>IFERROR(__xludf.DUMMYFUNCTION("""COMPUTED_VALUE"""),"RESOLVED")</f>
        <v>RESOLVED</v>
      </c>
      <c r="E382" s="6">
        <f>IFERROR(__xludf.DUMMYFUNCTION("""COMPUTED_VALUE"""),44224.432800925926)</f>
        <v>44224.4328</v>
      </c>
      <c r="F382" s="4" t="str">
        <f>IFERROR(__xludf.DUMMYFUNCTION("""COMPUTED_VALUE""")," ---")</f>
        <v> ---</v>
      </c>
      <c r="G382" s="4" t="str">
        <f>IFERROR(__xludf.DUMMYFUNCTION("""COMPUTED_VALUE"""),"SUSE Linux Enterprise Server 15 SP3")</f>
        <v>SUSE Linux Enterprise Server 15 SP3</v>
      </c>
      <c r="H382" s="7" t="str">
        <f t="shared" si="2"/>
        <v>NO</v>
      </c>
      <c r="I382" s="7" t="str">
        <f t="shared" si="3"/>
        <v>NO</v>
      </c>
    </row>
    <row r="383">
      <c r="A383" s="4">
        <f>IFERROR(__xludf.DUMMYFUNCTION("""COMPUTED_VALUE"""),1180744.0)</f>
        <v>1180744</v>
      </c>
      <c r="B383" s="4" t="str">
        <f>IFERROR(__xludf.DUMMYFUNCTION("""COMPUTED_VALUE"""),"P3 - Medium")</f>
        <v>P3 - Medium</v>
      </c>
      <c r="C383" s="5">
        <f>IFERROR(__xludf.DUMMYFUNCTION("""COMPUTED_VALUE"""),44206.61153935185)</f>
        <v>44206.61154</v>
      </c>
      <c r="D383" s="4" t="str">
        <f>IFERROR(__xludf.DUMMYFUNCTION("""COMPUTED_VALUE"""),"RESOLVED")</f>
        <v>RESOLVED</v>
      </c>
      <c r="E383" s="6">
        <f>IFERROR(__xludf.DUMMYFUNCTION("""COMPUTED_VALUE"""),44384.86524305555)</f>
        <v>44384.86524</v>
      </c>
      <c r="F383" s="4" t="str">
        <f>IFERROR(__xludf.DUMMYFUNCTION("""COMPUTED_VALUE""")," ---")</f>
        <v> ---</v>
      </c>
      <c r="G383" s="4" t="str">
        <f>IFERROR(__xludf.DUMMYFUNCTION("""COMPUTED_VALUE"""),"SUSE Linux Enterprise Server 15 SP3")</f>
        <v>SUSE Linux Enterprise Server 15 SP3</v>
      </c>
      <c r="H383" s="7" t="str">
        <f t="shared" si="2"/>
        <v>NO</v>
      </c>
      <c r="I383" s="7" t="str">
        <f t="shared" si="3"/>
        <v>NO</v>
      </c>
    </row>
    <row r="384">
      <c r="A384" s="4">
        <f>IFERROR(__xludf.DUMMYFUNCTION("""COMPUTED_VALUE"""),1178780.0)</f>
        <v>1178780</v>
      </c>
      <c r="B384" s="4" t="str">
        <f>IFERROR(__xludf.DUMMYFUNCTION("""COMPUTED_VALUE"""),"P3 - Medium")</f>
        <v>P3 - Medium</v>
      </c>
      <c r="C384" s="5">
        <f>IFERROR(__xludf.DUMMYFUNCTION("""COMPUTED_VALUE"""),44148.62621527778)</f>
        <v>44148.62622</v>
      </c>
      <c r="D384" s="4" t="str">
        <f>IFERROR(__xludf.DUMMYFUNCTION("""COMPUTED_VALUE"""),"RESOLVED")</f>
        <v>RESOLVED</v>
      </c>
      <c r="E384" s="6">
        <f>IFERROR(__xludf.DUMMYFUNCTION("""COMPUTED_VALUE"""),44384.85851851852)</f>
        <v>44384.85852</v>
      </c>
      <c r="F384" s="4" t="str">
        <f>IFERROR(__xludf.DUMMYFUNCTION("""COMPUTED_VALUE""")," ---")</f>
        <v> ---</v>
      </c>
      <c r="G384" s="4" t="str">
        <f>IFERROR(__xludf.DUMMYFUNCTION("""COMPUTED_VALUE"""),"SUSE Linux Enterprise Server 15 SP3")</f>
        <v>SUSE Linux Enterprise Server 15 SP3</v>
      </c>
      <c r="H384" s="7" t="str">
        <f t="shared" si="2"/>
        <v>NO</v>
      </c>
      <c r="I384" s="7" t="str">
        <f t="shared" si="3"/>
        <v>NO</v>
      </c>
    </row>
    <row r="385">
      <c r="A385" s="4">
        <f>IFERROR(__xludf.DUMMYFUNCTION("""COMPUTED_VALUE"""),1179882.0)</f>
        <v>1179882</v>
      </c>
      <c r="B385" s="4" t="str">
        <f>IFERROR(__xludf.DUMMYFUNCTION("""COMPUTED_VALUE"""),"P3 - Medium")</f>
        <v>P3 - Medium</v>
      </c>
      <c r="C385" s="5">
        <f>IFERROR(__xludf.DUMMYFUNCTION("""COMPUTED_VALUE"""),44175.42574074074)</f>
        <v>44175.42574</v>
      </c>
      <c r="D385" s="4" t="str">
        <f>IFERROR(__xludf.DUMMYFUNCTION("""COMPUTED_VALUE"""),"RESOLVED")</f>
        <v>RESOLVED</v>
      </c>
      <c r="E385" s="6">
        <f>IFERROR(__xludf.DUMMYFUNCTION("""COMPUTED_VALUE"""),44384.86336805556)</f>
        <v>44384.86337</v>
      </c>
      <c r="F385" s="4" t="str">
        <f>IFERROR(__xludf.DUMMYFUNCTION("""COMPUTED_VALUE""")," ---")</f>
        <v> ---</v>
      </c>
      <c r="G385" s="4" t="str">
        <f>IFERROR(__xludf.DUMMYFUNCTION("""COMPUTED_VALUE"""),"SUSE Linux Enterprise Server 15 SP3")</f>
        <v>SUSE Linux Enterprise Server 15 SP3</v>
      </c>
      <c r="H385" s="7" t="str">
        <f t="shared" si="2"/>
        <v>NO</v>
      </c>
      <c r="I385" s="7" t="str">
        <f t="shared" si="3"/>
        <v>NO</v>
      </c>
    </row>
    <row r="386">
      <c r="A386" s="4">
        <f>IFERROR(__xludf.DUMMYFUNCTION("""COMPUTED_VALUE"""),1184481.0)</f>
        <v>1184481</v>
      </c>
      <c r="B386" s="4" t="str">
        <f>IFERROR(__xludf.DUMMYFUNCTION("""COMPUTED_VALUE"""),"P3 - Medium")</f>
        <v>P3 - Medium</v>
      </c>
      <c r="C386" s="5">
        <f>IFERROR(__xludf.DUMMYFUNCTION("""COMPUTED_VALUE"""),44294.30207175926)</f>
        <v>44294.30207</v>
      </c>
      <c r="D386" s="4" t="str">
        <f>IFERROR(__xludf.DUMMYFUNCTION("""COMPUTED_VALUE"""),"RESOLVED")</f>
        <v>RESOLVED</v>
      </c>
      <c r="E386" s="6">
        <f>IFERROR(__xludf.DUMMYFUNCTION("""COMPUTED_VALUE"""),44469.858449074076)</f>
        <v>44469.85845</v>
      </c>
      <c r="F386" s="4" t="str">
        <f>IFERROR(__xludf.DUMMYFUNCTION("""COMPUTED_VALUE""")," ---")</f>
        <v> ---</v>
      </c>
      <c r="G386" s="4" t="str">
        <f>IFERROR(__xludf.DUMMYFUNCTION("""COMPUTED_VALUE"""),"PUBLIC SUSE Linux Enterprise Server 15 SP3")</f>
        <v>PUBLIC SUSE Linux Enterprise Server 15 SP3</v>
      </c>
      <c r="H386" s="7" t="str">
        <f t="shared" si="2"/>
        <v>NO</v>
      </c>
      <c r="I386" s="7" t="str">
        <f t="shared" si="3"/>
        <v>NO</v>
      </c>
    </row>
    <row r="387">
      <c r="A387" s="4">
        <f>IFERROR(__xludf.DUMMYFUNCTION("""COMPUTED_VALUE"""),1179301.0)</f>
        <v>1179301</v>
      </c>
      <c r="B387" s="4" t="str">
        <f>IFERROR(__xludf.DUMMYFUNCTION("""COMPUTED_VALUE"""),"P3 - Medium")</f>
        <v>P3 - Medium</v>
      </c>
      <c r="C387" s="5">
        <f>IFERROR(__xludf.DUMMYFUNCTION("""COMPUTED_VALUE"""),44162.09947916667)</f>
        <v>44162.09948</v>
      </c>
      <c r="D387" s="4" t="str">
        <f>IFERROR(__xludf.DUMMYFUNCTION("""COMPUTED_VALUE"""),"RESOLVED")</f>
        <v>RESOLVED</v>
      </c>
      <c r="E387" s="6">
        <f>IFERROR(__xludf.DUMMYFUNCTION("""COMPUTED_VALUE"""),44587.68258101852)</f>
        <v>44587.68258</v>
      </c>
      <c r="F387" s="4" t="str">
        <f>IFERROR(__xludf.DUMMYFUNCTION("""COMPUTED_VALUE""")," ---")</f>
        <v> ---</v>
      </c>
      <c r="G387" s="4" t="str">
        <f>IFERROR(__xludf.DUMMYFUNCTION("""COMPUTED_VALUE"""),"SUSE Linux Enterprise Server 15 SP3")</f>
        <v>SUSE Linux Enterprise Server 15 SP3</v>
      </c>
      <c r="H387" s="7" t="str">
        <f t="shared" si="2"/>
        <v>NO</v>
      </c>
      <c r="I387" s="7" t="str">
        <f t="shared" si="3"/>
        <v>NO</v>
      </c>
    </row>
    <row r="388">
      <c r="A388" s="4">
        <f>IFERROR(__xludf.DUMMYFUNCTION("""COMPUTED_VALUE"""),1176447.0)</f>
        <v>1176447</v>
      </c>
      <c r="B388" s="4" t="str">
        <f>IFERROR(__xludf.DUMMYFUNCTION("""COMPUTED_VALUE"""),"P3 - Medium")</f>
        <v>P3 - Medium</v>
      </c>
      <c r="C388" s="5">
        <f>IFERROR(__xludf.DUMMYFUNCTION("""COMPUTED_VALUE"""),44085.56787037037)</f>
        <v>44085.56787</v>
      </c>
      <c r="D388" s="4" t="str">
        <f>IFERROR(__xludf.DUMMYFUNCTION("""COMPUTED_VALUE"""),"RESOLVED")</f>
        <v>RESOLVED</v>
      </c>
      <c r="E388" s="6">
        <f>IFERROR(__xludf.DUMMYFUNCTION("""COMPUTED_VALUE"""),44736.68172453704)</f>
        <v>44736.68172</v>
      </c>
      <c r="F388" s="4" t="str">
        <f>IFERROR(__xludf.DUMMYFUNCTION("""COMPUTED_VALUE""")," ---")</f>
        <v> ---</v>
      </c>
      <c r="G388" s="4" t="str">
        <f>IFERROR(__xludf.DUMMYFUNCTION("""COMPUTED_VALUE"""),"SUSE Linux Enterprise Server 15 SP3")</f>
        <v>SUSE Linux Enterprise Server 15 SP3</v>
      </c>
      <c r="H388" s="7" t="str">
        <f t="shared" si="2"/>
        <v>NO</v>
      </c>
      <c r="I388" s="7" t="str">
        <f t="shared" si="3"/>
        <v>NO</v>
      </c>
    </row>
    <row r="389">
      <c r="A389" s="4">
        <f>IFERROR(__xludf.DUMMYFUNCTION("""COMPUTED_VALUE"""),1178642.0)</f>
        <v>1178642</v>
      </c>
      <c r="B389" s="4" t="str">
        <f>IFERROR(__xludf.DUMMYFUNCTION("""COMPUTED_VALUE"""),"P3 - Medium")</f>
        <v>P3 - Medium</v>
      </c>
      <c r="C389" s="5">
        <f>IFERROR(__xludf.DUMMYFUNCTION("""COMPUTED_VALUE"""),44145.844826388886)</f>
        <v>44145.84483</v>
      </c>
      <c r="D389" s="4" t="str">
        <f>IFERROR(__xludf.DUMMYFUNCTION("""COMPUTED_VALUE"""),"RESOLVED")</f>
        <v>RESOLVED</v>
      </c>
      <c r="E389" s="6">
        <f>IFERROR(__xludf.DUMMYFUNCTION("""COMPUTED_VALUE"""),44147.16438657408)</f>
        <v>44147.16439</v>
      </c>
      <c r="F389" s="4" t="str">
        <f>IFERROR(__xludf.DUMMYFUNCTION("""COMPUTED_VALUE""")," ---")</f>
        <v> ---</v>
      </c>
      <c r="G389" s="4" t="str">
        <f>IFERROR(__xludf.DUMMYFUNCTION("""COMPUTED_VALUE"""),"SUSE Linux Enterprise Server 15 SP3")</f>
        <v>SUSE Linux Enterprise Server 15 SP3</v>
      </c>
      <c r="H389" s="7" t="str">
        <f t="shared" si="2"/>
        <v>NO</v>
      </c>
      <c r="I389" s="7" t="str">
        <f t="shared" si="3"/>
        <v>NO</v>
      </c>
    </row>
    <row r="390">
      <c r="A390" s="4">
        <f>IFERROR(__xludf.DUMMYFUNCTION("""COMPUTED_VALUE"""),1177626.0)</f>
        <v>1177626</v>
      </c>
      <c r="B390" s="4" t="str">
        <f>IFERROR(__xludf.DUMMYFUNCTION("""COMPUTED_VALUE"""),"P3 - Medium")</f>
        <v>P3 - Medium</v>
      </c>
      <c r="C390" s="5">
        <f>IFERROR(__xludf.DUMMYFUNCTION("""COMPUTED_VALUE"""),44117.55578703704)</f>
        <v>44117.55579</v>
      </c>
      <c r="D390" s="4" t="str">
        <f>IFERROR(__xludf.DUMMYFUNCTION("""COMPUTED_VALUE"""),"RESOLVED")</f>
        <v>RESOLVED</v>
      </c>
      <c r="E390" s="6">
        <f>IFERROR(__xludf.DUMMYFUNCTION("""COMPUTED_VALUE"""),44365.261469907404)</f>
        <v>44365.26147</v>
      </c>
      <c r="F390" s="4" t="str">
        <f>IFERROR(__xludf.DUMMYFUNCTION("""COMPUTED_VALUE""")," ---")</f>
        <v> ---</v>
      </c>
      <c r="G390" s="4" t="str">
        <f>IFERROR(__xludf.DUMMYFUNCTION("""COMPUTED_VALUE"""),"SUSE Linux Enterprise Server 15 SP3")</f>
        <v>SUSE Linux Enterprise Server 15 SP3</v>
      </c>
      <c r="H390" s="7" t="str">
        <f t="shared" si="2"/>
        <v>NO</v>
      </c>
      <c r="I390" s="7" t="str">
        <f t="shared" si="3"/>
        <v>NO</v>
      </c>
    </row>
    <row r="391">
      <c r="A391" s="4">
        <f>IFERROR(__xludf.DUMMYFUNCTION("""COMPUTED_VALUE"""),1179145.0)</f>
        <v>1179145</v>
      </c>
      <c r="B391" s="4" t="str">
        <f>IFERROR(__xludf.DUMMYFUNCTION("""COMPUTED_VALUE"""),"P3 - Medium")</f>
        <v>P3 - Medium</v>
      </c>
      <c r="C391" s="5">
        <f>IFERROR(__xludf.DUMMYFUNCTION("""COMPUTED_VALUE"""),44159.47141203703)</f>
        <v>44159.47141</v>
      </c>
      <c r="D391" s="4" t="str">
        <f>IFERROR(__xludf.DUMMYFUNCTION("""COMPUTED_VALUE"""),"RESOLVED")</f>
        <v>RESOLVED</v>
      </c>
      <c r="E391" s="6">
        <f>IFERROR(__xludf.DUMMYFUNCTION("""COMPUTED_VALUE"""),44573.440520833334)</f>
        <v>44573.44052</v>
      </c>
      <c r="F391" s="4" t="str">
        <f>IFERROR(__xludf.DUMMYFUNCTION("""COMPUTED_VALUE""")," ---")</f>
        <v> ---</v>
      </c>
      <c r="G391" s="4" t="str">
        <f>IFERROR(__xludf.DUMMYFUNCTION("""COMPUTED_VALUE"""),"SUSE Linux Enterprise Server 15 SP3")</f>
        <v>SUSE Linux Enterprise Server 15 SP3</v>
      </c>
      <c r="H391" s="7" t="str">
        <f t="shared" si="2"/>
        <v>NO</v>
      </c>
      <c r="I391" s="7" t="str">
        <f t="shared" si="3"/>
        <v>NO</v>
      </c>
    </row>
    <row r="392">
      <c r="A392" s="4">
        <f>IFERROR(__xludf.DUMMYFUNCTION("""COMPUTED_VALUE"""),1179344.0)</f>
        <v>1179344</v>
      </c>
      <c r="B392" s="4" t="str">
        <f>IFERROR(__xludf.DUMMYFUNCTION("""COMPUTED_VALUE"""),"P3 - Medium")</f>
        <v>P3 - Medium</v>
      </c>
      <c r="C392" s="5">
        <f>IFERROR(__xludf.DUMMYFUNCTION("""COMPUTED_VALUE"""),44162.68965277778)</f>
        <v>44162.68965</v>
      </c>
      <c r="D392" s="4" t="str">
        <f>IFERROR(__xludf.DUMMYFUNCTION("""COMPUTED_VALUE"""),"RESOLVED")</f>
        <v>RESOLVED</v>
      </c>
      <c r="E392" s="6">
        <f>IFERROR(__xludf.DUMMYFUNCTION("""COMPUTED_VALUE"""),44384.859606481485)</f>
        <v>44384.85961</v>
      </c>
      <c r="F392" s="4" t="str">
        <f>IFERROR(__xludf.DUMMYFUNCTION("""COMPUTED_VALUE""")," ---")</f>
        <v> ---</v>
      </c>
      <c r="G392" s="4" t="str">
        <f>IFERROR(__xludf.DUMMYFUNCTION("""COMPUTED_VALUE"""),"SUSE Linux Enterprise Server 15 SP3")</f>
        <v>SUSE Linux Enterprise Server 15 SP3</v>
      </c>
      <c r="H392" s="7" t="str">
        <f t="shared" si="2"/>
        <v>NO</v>
      </c>
      <c r="I392" s="7" t="str">
        <f t="shared" si="3"/>
        <v>NO</v>
      </c>
    </row>
    <row r="393">
      <c r="A393" s="4">
        <f>IFERROR(__xludf.DUMMYFUNCTION("""COMPUTED_VALUE"""),1179597.0)</f>
        <v>1179597</v>
      </c>
      <c r="B393" s="4" t="str">
        <f>IFERROR(__xludf.DUMMYFUNCTION("""COMPUTED_VALUE"""),"P3 - Medium")</f>
        <v>P3 - Medium</v>
      </c>
      <c r="C393" s="5">
        <f>IFERROR(__xludf.DUMMYFUNCTION("""COMPUTED_VALUE"""),44169.45575231482)</f>
        <v>44169.45575</v>
      </c>
      <c r="D393" s="4" t="str">
        <f>IFERROR(__xludf.DUMMYFUNCTION("""COMPUTED_VALUE"""),"RESOLVED")</f>
        <v>RESOLVED</v>
      </c>
      <c r="E393" s="6">
        <f>IFERROR(__xludf.DUMMYFUNCTION("""COMPUTED_VALUE"""),44384.86078703704)</f>
        <v>44384.86079</v>
      </c>
      <c r="F393" s="4" t="str">
        <f>IFERROR(__xludf.DUMMYFUNCTION("""COMPUTED_VALUE""")," ---")</f>
        <v> ---</v>
      </c>
      <c r="G393" s="4" t="str">
        <f>IFERROR(__xludf.DUMMYFUNCTION("""COMPUTED_VALUE"""),"SUSE Linux Enterprise Server 15 SP3")</f>
        <v>SUSE Linux Enterprise Server 15 SP3</v>
      </c>
      <c r="H393" s="7" t="str">
        <f t="shared" si="2"/>
        <v>NO</v>
      </c>
      <c r="I393" s="7" t="str">
        <f t="shared" si="3"/>
        <v>NO</v>
      </c>
    </row>
    <row r="394">
      <c r="A394" s="4">
        <f>IFERROR(__xludf.DUMMYFUNCTION("""COMPUTED_VALUE"""),1180166.0)</f>
        <v>1180166</v>
      </c>
      <c r="B394" s="4" t="str">
        <f>IFERROR(__xludf.DUMMYFUNCTION("""COMPUTED_VALUE"""),"P3 - Medium")</f>
        <v>P3 - Medium</v>
      </c>
      <c r="C394" s="5">
        <f>IFERROR(__xludf.DUMMYFUNCTION("""COMPUTED_VALUE"""),44182.547060185185)</f>
        <v>44182.54706</v>
      </c>
      <c r="D394" s="4" t="str">
        <f>IFERROR(__xludf.DUMMYFUNCTION("""COMPUTED_VALUE"""),"RESOLVED")</f>
        <v>RESOLVED</v>
      </c>
      <c r="E394" s="6">
        <f>IFERROR(__xludf.DUMMYFUNCTION("""COMPUTED_VALUE"""),44284.35837962963)</f>
        <v>44284.35838</v>
      </c>
      <c r="F394" s="4" t="str">
        <f>IFERROR(__xludf.DUMMYFUNCTION("""COMPUTED_VALUE""")," ---")</f>
        <v> ---</v>
      </c>
      <c r="G394" s="4" t="str">
        <f>IFERROR(__xludf.DUMMYFUNCTION("""COMPUTED_VALUE"""),"SUSE Linux Enterprise Server 15 SP3")</f>
        <v>SUSE Linux Enterprise Server 15 SP3</v>
      </c>
      <c r="H394" s="7" t="str">
        <f t="shared" si="2"/>
        <v>NO</v>
      </c>
      <c r="I394" s="7" t="str">
        <f t="shared" si="3"/>
        <v>NO</v>
      </c>
    </row>
    <row r="395">
      <c r="A395" s="4">
        <f>IFERROR(__xludf.DUMMYFUNCTION("""COMPUTED_VALUE"""),1180705.0)</f>
        <v>1180705</v>
      </c>
      <c r="B395" s="4" t="str">
        <f>IFERROR(__xludf.DUMMYFUNCTION("""COMPUTED_VALUE"""),"P3 - Medium")</f>
        <v>P3 - Medium</v>
      </c>
      <c r="C395" s="5">
        <f>IFERROR(__xludf.DUMMYFUNCTION("""COMPUTED_VALUE"""),44204.67388888889)</f>
        <v>44204.67389</v>
      </c>
      <c r="D395" s="4" t="str">
        <f>IFERROR(__xludf.DUMMYFUNCTION("""COMPUTED_VALUE"""),"RESOLVED")</f>
        <v>RESOLVED</v>
      </c>
      <c r="E395" s="6">
        <f>IFERROR(__xludf.DUMMYFUNCTION("""COMPUTED_VALUE"""),44330.362974537034)</f>
        <v>44330.36297</v>
      </c>
      <c r="F395" s="4" t="str">
        <f>IFERROR(__xludf.DUMMYFUNCTION("""COMPUTED_VALUE""")," ---")</f>
        <v> ---</v>
      </c>
      <c r="G395" s="4" t="str">
        <f>IFERROR(__xludf.DUMMYFUNCTION("""COMPUTED_VALUE"""),"SUSE Linux Enterprise Server 15 SP3")</f>
        <v>SUSE Linux Enterprise Server 15 SP3</v>
      </c>
      <c r="H395" s="7" t="str">
        <f t="shared" si="2"/>
        <v>NO</v>
      </c>
      <c r="I395" s="7" t="str">
        <f t="shared" si="3"/>
        <v>NO</v>
      </c>
    </row>
    <row r="396">
      <c r="A396" s="4">
        <f>IFERROR(__xludf.DUMMYFUNCTION("""COMPUTED_VALUE"""),1182743.0)</f>
        <v>1182743</v>
      </c>
      <c r="B396" s="4" t="str">
        <f>IFERROR(__xludf.DUMMYFUNCTION("""COMPUTED_VALUE"""),"P3 - Medium")</f>
        <v>P3 - Medium</v>
      </c>
      <c r="C396" s="5">
        <f>IFERROR(__xludf.DUMMYFUNCTION("""COMPUTED_VALUE"""),44252.5131712963)</f>
        <v>44252.51317</v>
      </c>
      <c r="D396" s="4" t="str">
        <f>IFERROR(__xludf.DUMMYFUNCTION("""COMPUTED_VALUE"""),"RESOLVED")</f>
        <v>RESOLVED</v>
      </c>
      <c r="E396" s="6">
        <f>IFERROR(__xludf.DUMMYFUNCTION("""COMPUTED_VALUE"""),44384.875972222224)</f>
        <v>44384.87597</v>
      </c>
      <c r="F396" s="4" t="str">
        <f>IFERROR(__xludf.DUMMYFUNCTION("""COMPUTED_VALUE""")," ---")</f>
        <v> ---</v>
      </c>
      <c r="G396" s="4" t="str">
        <f>IFERROR(__xludf.DUMMYFUNCTION("""COMPUTED_VALUE"""),"SUSE Linux Enterprise Server 15 SP3")</f>
        <v>SUSE Linux Enterprise Server 15 SP3</v>
      </c>
      <c r="H396" s="7" t="str">
        <f t="shared" si="2"/>
        <v>NO</v>
      </c>
      <c r="I396" s="7" t="str">
        <f t="shared" si="3"/>
        <v>NO</v>
      </c>
    </row>
    <row r="397">
      <c r="A397" s="4">
        <f>IFERROR(__xludf.DUMMYFUNCTION("""COMPUTED_VALUE"""),1184264.0)</f>
        <v>1184264</v>
      </c>
      <c r="B397" s="4" t="str">
        <f>IFERROR(__xludf.DUMMYFUNCTION("""COMPUTED_VALUE"""),"P3 - Medium")</f>
        <v>P3 - Medium</v>
      </c>
      <c r="C397" s="5">
        <f>IFERROR(__xludf.DUMMYFUNCTION("""COMPUTED_VALUE"""),44287.38898148148)</f>
        <v>44287.38898</v>
      </c>
      <c r="D397" s="4" t="str">
        <f>IFERROR(__xludf.DUMMYFUNCTION("""COMPUTED_VALUE"""),"RESOLVED")</f>
        <v>RESOLVED</v>
      </c>
      <c r="E397" s="6">
        <f>IFERROR(__xludf.DUMMYFUNCTION("""COMPUTED_VALUE"""),44388.727685185186)</f>
        <v>44388.72769</v>
      </c>
      <c r="F397" s="4" t="str">
        <f>IFERROR(__xludf.DUMMYFUNCTION("""COMPUTED_VALUE""")," ---")</f>
        <v> ---</v>
      </c>
      <c r="G397" s="4" t="str">
        <f>IFERROR(__xludf.DUMMYFUNCTION("""COMPUTED_VALUE"""),"SUSE Linux Enterprise Server 15 SP3")</f>
        <v>SUSE Linux Enterprise Server 15 SP3</v>
      </c>
      <c r="H397" s="7" t="str">
        <f t="shared" si="2"/>
        <v>NO</v>
      </c>
      <c r="I397" s="7" t="str">
        <f t="shared" si="3"/>
        <v>NO</v>
      </c>
    </row>
    <row r="398">
      <c r="A398" s="4">
        <f>IFERROR(__xludf.DUMMYFUNCTION("""COMPUTED_VALUE"""),1184877.0)</f>
        <v>1184877</v>
      </c>
      <c r="B398" s="4" t="str">
        <f>IFERROR(__xludf.DUMMYFUNCTION("""COMPUTED_VALUE"""),"P3 - Medium")</f>
        <v>P3 - Medium</v>
      </c>
      <c r="C398" s="5">
        <f>IFERROR(__xludf.DUMMYFUNCTION("""COMPUTED_VALUE"""),44302.52407407408)</f>
        <v>44302.52407</v>
      </c>
      <c r="D398" s="4" t="str">
        <f>IFERROR(__xludf.DUMMYFUNCTION("""COMPUTED_VALUE"""),"RESOLVED")</f>
        <v>RESOLVED</v>
      </c>
      <c r="E398" s="6">
        <f>IFERROR(__xludf.DUMMYFUNCTION("""COMPUTED_VALUE"""),44574.37716435185)</f>
        <v>44574.37716</v>
      </c>
      <c r="F398" s="4" t="str">
        <f>IFERROR(__xludf.DUMMYFUNCTION("""COMPUTED_VALUE""")," ---")</f>
        <v> ---</v>
      </c>
      <c r="G398" s="4" t="str">
        <f>IFERROR(__xludf.DUMMYFUNCTION("""COMPUTED_VALUE"""),"SUSE Linux Enterprise Server 15 SP3")</f>
        <v>SUSE Linux Enterprise Server 15 SP3</v>
      </c>
      <c r="H398" s="7" t="str">
        <f t="shared" si="2"/>
        <v>NO</v>
      </c>
      <c r="I398" s="7" t="str">
        <f t="shared" si="3"/>
        <v>NO</v>
      </c>
    </row>
    <row r="399">
      <c r="A399" s="4">
        <f>IFERROR(__xludf.DUMMYFUNCTION("""COMPUTED_VALUE"""),1185670.0)</f>
        <v>1185670</v>
      </c>
      <c r="B399" s="4" t="str">
        <f>IFERROR(__xludf.DUMMYFUNCTION("""COMPUTED_VALUE"""),"P3 - Medium")</f>
        <v>P3 - Medium</v>
      </c>
      <c r="C399" s="5">
        <f>IFERROR(__xludf.DUMMYFUNCTION("""COMPUTED_VALUE"""),44321.59752314815)</f>
        <v>44321.59752</v>
      </c>
      <c r="D399" s="4" t="str">
        <f>IFERROR(__xludf.DUMMYFUNCTION("""COMPUTED_VALUE"""),"RESOLVED")</f>
        <v>RESOLVED</v>
      </c>
      <c r="E399" s="6">
        <f>IFERROR(__xludf.DUMMYFUNCTION("""COMPUTED_VALUE"""),44388.731574074074)</f>
        <v>44388.73157</v>
      </c>
      <c r="F399" s="4" t="str">
        <f>IFERROR(__xludf.DUMMYFUNCTION("""COMPUTED_VALUE""")," ---")</f>
        <v> ---</v>
      </c>
      <c r="G399" s="4" t="str">
        <f>IFERROR(__xludf.DUMMYFUNCTION("""COMPUTED_VALUE"""),"SUSE Linux Enterprise Server 15 SP3")</f>
        <v>SUSE Linux Enterprise Server 15 SP3</v>
      </c>
      <c r="H399" s="7" t="str">
        <f t="shared" si="2"/>
        <v>NO</v>
      </c>
      <c r="I399" s="7" t="str">
        <f t="shared" si="3"/>
        <v>NO</v>
      </c>
    </row>
    <row r="400">
      <c r="A400" s="4">
        <f>IFERROR(__xludf.DUMMYFUNCTION("""COMPUTED_VALUE"""),1175582.0)</f>
        <v>1175582</v>
      </c>
      <c r="B400" s="4" t="str">
        <f>IFERROR(__xludf.DUMMYFUNCTION("""COMPUTED_VALUE"""),"P3 - Medium")</f>
        <v>P3 - Medium</v>
      </c>
      <c r="C400" s="5">
        <f>IFERROR(__xludf.DUMMYFUNCTION("""COMPUTED_VALUE"""),44064.278078703705)</f>
        <v>44064.27808</v>
      </c>
      <c r="D400" s="4" t="str">
        <f>IFERROR(__xludf.DUMMYFUNCTION("""COMPUTED_VALUE"""),"VERIFIED")</f>
        <v>VERIFIED</v>
      </c>
      <c r="E400" s="6">
        <f>IFERROR(__xludf.DUMMYFUNCTION("""COMPUTED_VALUE"""),44311.11371527778)</f>
        <v>44311.11372</v>
      </c>
      <c r="F400" s="4" t="str">
        <f>IFERROR(__xludf.DUMMYFUNCTION("""COMPUTED_VALUE""")," ---")</f>
        <v> ---</v>
      </c>
      <c r="G400" s="4" t="str">
        <f>IFERROR(__xludf.DUMMYFUNCTION("""COMPUTED_VALUE"""),"SUSE Linux Enterprise Server 15 SP3")</f>
        <v>SUSE Linux Enterprise Server 15 SP3</v>
      </c>
      <c r="H400" s="7" t="str">
        <f t="shared" si="2"/>
        <v>NO</v>
      </c>
      <c r="I400" s="7" t="str">
        <f t="shared" si="3"/>
        <v>NO</v>
      </c>
    </row>
    <row r="401">
      <c r="A401" s="4">
        <f>IFERROR(__xludf.DUMMYFUNCTION("""COMPUTED_VALUE"""),1178473.0)</f>
        <v>1178473</v>
      </c>
      <c r="B401" s="4" t="str">
        <f>IFERROR(__xludf.DUMMYFUNCTION("""COMPUTED_VALUE"""),"P3 - Medium")</f>
        <v>P3 - Medium</v>
      </c>
      <c r="C401" s="5">
        <f>IFERROR(__xludf.DUMMYFUNCTION("""COMPUTED_VALUE"""),44140.558171296296)</f>
        <v>44140.55817</v>
      </c>
      <c r="D401" s="4" t="str">
        <f>IFERROR(__xludf.DUMMYFUNCTION("""COMPUTED_VALUE"""),"VERIFIED")</f>
        <v>VERIFIED</v>
      </c>
      <c r="E401" s="6">
        <f>IFERROR(__xludf.DUMMYFUNCTION("""COMPUTED_VALUE"""),44365.26341435185)</f>
        <v>44365.26341</v>
      </c>
      <c r="F401" s="4" t="str">
        <f>IFERROR(__xludf.DUMMYFUNCTION("""COMPUTED_VALUE""")," ---")</f>
        <v> ---</v>
      </c>
      <c r="G401" s="4" t="str">
        <f>IFERROR(__xludf.DUMMYFUNCTION("""COMPUTED_VALUE"""),"SUSE Linux Enterprise Server 15 SP3")</f>
        <v>SUSE Linux Enterprise Server 15 SP3</v>
      </c>
      <c r="H401" s="7" t="str">
        <f t="shared" si="2"/>
        <v>NO</v>
      </c>
      <c r="I401" s="7" t="str">
        <f t="shared" si="3"/>
        <v>NO</v>
      </c>
    </row>
    <row r="402">
      <c r="A402" s="4">
        <f>IFERROR(__xludf.DUMMYFUNCTION("""COMPUTED_VALUE"""),1182013.0)</f>
        <v>1182013</v>
      </c>
      <c r="B402" s="4" t="str">
        <f>IFERROR(__xludf.DUMMYFUNCTION("""COMPUTED_VALUE"""),"P3 - Medium")</f>
        <v>P3 - Medium</v>
      </c>
      <c r="C402" s="5">
        <f>IFERROR(__xludf.DUMMYFUNCTION("""COMPUTED_VALUE"""),44236.649502314816)</f>
        <v>44236.6495</v>
      </c>
      <c r="D402" s="4" t="str">
        <f>IFERROR(__xludf.DUMMYFUNCTION("""COMPUTED_VALUE"""),"VERIFIED")</f>
        <v>VERIFIED</v>
      </c>
      <c r="E402" s="6">
        <f>IFERROR(__xludf.DUMMYFUNCTION("""COMPUTED_VALUE"""),44259.46643518518)</f>
        <v>44259.46644</v>
      </c>
      <c r="F402" s="4" t="str">
        <f>IFERROR(__xludf.DUMMYFUNCTION("""COMPUTED_VALUE""")," ---")</f>
        <v> ---</v>
      </c>
      <c r="G402" s="4" t="str">
        <f>IFERROR(__xludf.DUMMYFUNCTION("""COMPUTED_VALUE"""),"PUBLIC SUSE Linux Enterprise Server 15 SP3")</f>
        <v>PUBLIC SUSE Linux Enterprise Server 15 SP3</v>
      </c>
      <c r="H402" s="7" t="str">
        <f t="shared" si="2"/>
        <v>NO</v>
      </c>
      <c r="I402" s="7" t="str">
        <f t="shared" si="3"/>
        <v>NO</v>
      </c>
    </row>
    <row r="403">
      <c r="A403" s="4">
        <f>IFERROR(__xludf.DUMMYFUNCTION("""COMPUTED_VALUE"""),1177028.0)</f>
        <v>1177028</v>
      </c>
      <c r="B403" s="4" t="str">
        <f>IFERROR(__xludf.DUMMYFUNCTION("""COMPUTED_VALUE"""),"P4 - Low")</f>
        <v>P4 - Low</v>
      </c>
      <c r="C403" s="5">
        <f>IFERROR(__xludf.DUMMYFUNCTION("""COMPUTED_VALUE"""),44102.34751157407)</f>
        <v>44102.34751</v>
      </c>
      <c r="D403" s="4" t="str">
        <f>IFERROR(__xludf.DUMMYFUNCTION("""COMPUTED_VALUE"""),"NEW")</f>
        <v>NEW</v>
      </c>
      <c r="E403" s="6">
        <f>IFERROR(__xludf.DUMMYFUNCTION("""COMPUTED_VALUE"""),44697.68209490741)</f>
        <v>44697.68209</v>
      </c>
      <c r="F403" s="4" t="str">
        <f>IFERROR(__xludf.DUMMYFUNCTION("""COMPUTED_VALUE""")," ---")</f>
        <v> ---</v>
      </c>
      <c r="G403" s="4" t="str">
        <f>IFERROR(__xludf.DUMMYFUNCTION("""COMPUTED_VALUE"""),"SUSE Linux Enterprise Server 15 SP3")</f>
        <v>SUSE Linux Enterprise Server 15 SP3</v>
      </c>
      <c r="H403" s="7" t="str">
        <f t="shared" si="2"/>
        <v>NO</v>
      </c>
      <c r="I403" s="7" t="str">
        <f t="shared" si="3"/>
        <v>NO</v>
      </c>
    </row>
    <row r="404">
      <c r="A404" s="4">
        <f>IFERROR(__xludf.DUMMYFUNCTION("""COMPUTED_VALUE"""),1183124.0)</f>
        <v>1183124</v>
      </c>
      <c r="B404" s="4" t="str">
        <f>IFERROR(__xludf.DUMMYFUNCTION("""COMPUTED_VALUE"""),"P4 - Low")</f>
        <v>P4 - Low</v>
      </c>
      <c r="C404" s="5">
        <f>IFERROR(__xludf.DUMMYFUNCTION("""COMPUTED_VALUE"""),44261.56707175926)</f>
        <v>44261.56707</v>
      </c>
      <c r="D404" s="4" t="str">
        <f>IFERROR(__xludf.DUMMYFUNCTION("""COMPUTED_VALUE"""),"IN_PROGRESS")</f>
        <v>IN_PROGRESS</v>
      </c>
      <c r="E404" s="6">
        <f>IFERROR(__xludf.DUMMYFUNCTION("""COMPUTED_VALUE"""),44511.87300925926)</f>
        <v>44511.87301</v>
      </c>
      <c r="F404" s="4" t="str">
        <f>IFERROR(__xludf.DUMMYFUNCTION("""COMPUTED_VALUE""")," ---")</f>
        <v> ---</v>
      </c>
      <c r="G404" s="4" t="str">
        <f>IFERROR(__xludf.DUMMYFUNCTION("""COMPUTED_VALUE"""),"SUSE Linux Enterprise Server 15 SP3")</f>
        <v>SUSE Linux Enterprise Server 15 SP3</v>
      </c>
      <c r="H404" s="7" t="str">
        <f t="shared" si="2"/>
        <v>NO</v>
      </c>
      <c r="I404" s="7" t="str">
        <f t="shared" si="3"/>
        <v>NO</v>
      </c>
    </row>
    <row r="405">
      <c r="A405" s="4">
        <f>IFERROR(__xludf.DUMMYFUNCTION("""COMPUTED_VALUE"""),1181535.0)</f>
        <v>1181535</v>
      </c>
      <c r="B405" s="4" t="str">
        <f>IFERROR(__xludf.DUMMYFUNCTION("""COMPUTED_VALUE"""),"P4 - Low")</f>
        <v>P4 - Low</v>
      </c>
      <c r="C405" s="5">
        <f>IFERROR(__xludf.DUMMYFUNCTION("""COMPUTED_VALUE"""),44224.787303240744)</f>
        <v>44224.7873</v>
      </c>
      <c r="D405" s="4" t="str">
        <f>IFERROR(__xludf.DUMMYFUNCTION("""COMPUTED_VALUE"""),"RESOLVED")</f>
        <v>RESOLVED</v>
      </c>
      <c r="E405" s="6">
        <f>IFERROR(__xludf.DUMMYFUNCTION("""COMPUTED_VALUE"""),44475.93471064815)</f>
        <v>44475.93471</v>
      </c>
      <c r="F405" s="4" t="str">
        <f>IFERROR(__xludf.DUMMYFUNCTION("""COMPUTED_VALUE""")," ---")</f>
        <v> ---</v>
      </c>
      <c r="G405" s="4" t="str">
        <f>IFERROR(__xludf.DUMMYFUNCTION("""COMPUTED_VALUE"""),"SUSE Linux Enterprise Server 15 SP3")</f>
        <v>SUSE Linux Enterprise Server 15 SP3</v>
      </c>
      <c r="H405" s="7" t="str">
        <f t="shared" si="2"/>
        <v>NO</v>
      </c>
      <c r="I405" s="7" t="str">
        <f t="shared" si="3"/>
        <v>NO</v>
      </c>
    </row>
    <row r="406">
      <c r="A406" s="4">
        <f>IFERROR(__xludf.DUMMYFUNCTION("""COMPUTED_VALUE"""),1181536.0)</f>
        <v>1181536</v>
      </c>
      <c r="B406" s="4" t="str">
        <f>IFERROR(__xludf.DUMMYFUNCTION("""COMPUTED_VALUE"""),"P4 - Low")</f>
        <v>P4 - Low</v>
      </c>
      <c r="C406" s="5">
        <f>IFERROR(__xludf.DUMMYFUNCTION("""COMPUTED_VALUE"""),44224.80030092593)</f>
        <v>44224.8003</v>
      </c>
      <c r="D406" s="4" t="str">
        <f>IFERROR(__xludf.DUMMYFUNCTION("""COMPUTED_VALUE"""),"RESOLVED")</f>
        <v>RESOLVED</v>
      </c>
      <c r="E406" s="6">
        <f>IFERROR(__xludf.DUMMYFUNCTION("""COMPUTED_VALUE"""),44475.93479166667)</f>
        <v>44475.93479</v>
      </c>
      <c r="F406" s="4" t="str">
        <f>IFERROR(__xludf.DUMMYFUNCTION("""COMPUTED_VALUE""")," ---")</f>
        <v> ---</v>
      </c>
      <c r="G406" s="4" t="str">
        <f>IFERROR(__xludf.DUMMYFUNCTION("""COMPUTED_VALUE"""),"SUSE Linux Enterprise Server 15 SP3")</f>
        <v>SUSE Linux Enterprise Server 15 SP3</v>
      </c>
      <c r="H406" s="7" t="str">
        <f t="shared" si="2"/>
        <v>NO</v>
      </c>
      <c r="I406" s="7" t="str">
        <f t="shared" si="3"/>
        <v>NO</v>
      </c>
    </row>
    <row r="407">
      <c r="A407" s="4">
        <f>IFERROR(__xludf.DUMMYFUNCTION("""COMPUTED_VALUE"""),1181538.0)</f>
        <v>1181538</v>
      </c>
      <c r="B407" s="4" t="str">
        <f>IFERROR(__xludf.DUMMYFUNCTION("""COMPUTED_VALUE"""),"P4 - Low")</f>
        <v>P4 - Low</v>
      </c>
      <c r="C407" s="5">
        <f>IFERROR(__xludf.DUMMYFUNCTION("""COMPUTED_VALUE"""),44224.84991898148)</f>
        <v>44224.84992</v>
      </c>
      <c r="D407" s="4" t="str">
        <f>IFERROR(__xludf.DUMMYFUNCTION("""COMPUTED_VALUE"""),"RESOLVED")</f>
        <v>RESOLVED</v>
      </c>
      <c r="E407" s="6">
        <f>IFERROR(__xludf.DUMMYFUNCTION("""COMPUTED_VALUE"""),44384.868842592594)</f>
        <v>44384.86884</v>
      </c>
      <c r="F407" s="4" t="str">
        <f>IFERROR(__xludf.DUMMYFUNCTION("""COMPUTED_VALUE""")," ---")</f>
        <v> ---</v>
      </c>
      <c r="G407" s="4" t="str">
        <f>IFERROR(__xludf.DUMMYFUNCTION("""COMPUTED_VALUE"""),"SUSE Linux Enterprise Server 15 SP3")</f>
        <v>SUSE Linux Enterprise Server 15 SP3</v>
      </c>
      <c r="H407" s="7" t="str">
        <f t="shared" si="2"/>
        <v>NO</v>
      </c>
      <c r="I407" s="7" t="str">
        <f t="shared" si="3"/>
        <v>NO</v>
      </c>
    </row>
    <row r="408">
      <c r="A408" s="4">
        <f>IFERROR(__xludf.DUMMYFUNCTION("""COMPUTED_VALUE"""),1184484.0)</f>
        <v>1184484</v>
      </c>
      <c r="B408" s="4" t="str">
        <f>IFERROR(__xludf.DUMMYFUNCTION("""COMPUTED_VALUE"""),"P4 - Low")</f>
        <v>P4 - Low</v>
      </c>
      <c r="C408" s="5">
        <f>IFERROR(__xludf.DUMMYFUNCTION("""COMPUTED_VALUE"""),44294.320810185185)</f>
        <v>44294.32081</v>
      </c>
      <c r="D408" s="4" t="str">
        <f>IFERROR(__xludf.DUMMYFUNCTION("""COMPUTED_VALUE"""),"RESOLVED")</f>
        <v>RESOLVED</v>
      </c>
      <c r="E408" s="6">
        <f>IFERROR(__xludf.DUMMYFUNCTION("""COMPUTED_VALUE"""),44365.260347222225)</f>
        <v>44365.26035</v>
      </c>
      <c r="F408" s="4" t="str">
        <f>IFERROR(__xludf.DUMMYFUNCTION("""COMPUTED_VALUE""")," ---")</f>
        <v> ---</v>
      </c>
      <c r="G408" s="4" t="str">
        <f>IFERROR(__xludf.DUMMYFUNCTION("""COMPUTED_VALUE"""),"SUSE Linux Enterprise Server 15 SP3")</f>
        <v>SUSE Linux Enterprise Server 15 SP3</v>
      </c>
      <c r="H408" s="7" t="str">
        <f t="shared" si="2"/>
        <v>NO</v>
      </c>
      <c r="I408" s="7" t="str">
        <f t="shared" si="3"/>
        <v>NO</v>
      </c>
    </row>
    <row r="409">
      <c r="A409" s="4">
        <f>IFERROR(__xludf.DUMMYFUNCTION("""COMPUTED_VALUE"""),1186752.0)</f>
        <v>1186752</v>
      </c>
      <c r="B409" s="4" t="str">
        <f>IFERROR(__xludf.DUMMYFUNCTION("""COMPUTED_VALUE"""),"P4 - Low")</f>
        <v>P4 - Low</v>
      </c>
      <c r="C409" s="5">
        <f>IFERROR(__xludf.DUMMYFUNCTION("""COMPUTED_VALUE"""),44349.52417824074)</f>
        <v>44349.52418</v>
      </c>
      <c r="D409" s="4" t="str">
        <f>IFERROR(__xludf.DUMMYFUNCTION("""COMPUTED_VALUE"""),"RESOLVED")</f>
        <v>RESOLVED</v>
      </c>
      <c r="E409" s="6">
        <f>IFERROR(__xludf.DUMMYFUNCTION("""COMPUTED_VALUE"""),44398.56967592592)</f>
        <v>44398.56968</v>
      </c>
      <c r="F409" s="4" t="str">
        <f>IFERROR(__xludf.DUMMYFUNCTION("""COMPUTED_VALUE""")," ---")</f>
        <v> ---</v>
      </c>
      <c r="G409" s="4" t="str">
        <f>IFERROR(__xludf.DUMMYFUNCTION("""COMPUTED_VALUE"""),"SUSE Linux Enterprise Server 15 SP3")</f>
        <v>SUSE Linux Enterprise Server 15 SP3</v>
      </c>
      <c r="H409" s="7" t="str">
        <f t="shared" si="2"/>
        <v>NO</v>
      </c>
      <c r="I409" s="7" t="str">
        <f t="shared" si="3"/>
        <v>NO</v>
      </c>
    </row>
    <row r="410">
      <c r="A410" s="4">
        <f>IFERROR(__xludf.DUMMYFUNCTION("""COMPUTED_VALUE"""),1182065.0)</f>
        <v>1182065</v>
      </c>
      <c r="B410" s="4" t="str">
        <f>IFERROR(__xludf.DUMMYFUNCTION("""COMPUTED_VALUE"""),"P4 - Low")</f>
        <v>P4 - Low</v>
      </c>
      <c r="C410" s="5">
        <f>IFERROR(__xludf.DUMMYFUNCTION("""COMPUTED_VALUE"""),44237.68251157407)</f>
        <v>44237.68251</v>
      </c>
      <c r="D410" s="4" t="str">
        <f>IFERROR(__xludf.DUMMYFUNCTION("""COMPUTED_VALUE"""),"RESOLVED")</f>
        <v>RESOLVED</v>
      </c>
      <c r="E410" s="6">
        <f>IFERROR(__xludf.DUMMYFUNCTION("""COMPUTED_VALUE"""),44365.26326388889)</f>
        <v>44365.26326</v>
      </c>
      <c r="F410" s="4" t="str">
        <f>IFERROR(__xludf.DUMMYFUNCTION("""COMPUTED_VALUE""")," ---")</f>
        <v> ---</v>
      </c>
      <c r="G410" s="4" t="str">
        <f>IFERROR(__xludf.DUMMYFUNCTION("""COMPUTED_VALUE"""),"SUSE Linux Enterprise Server 15 SP3")</f>
        <v>SUSE Linux Enterprise Server 15 SP3</v>
      </c>
      <c r="H410" s="7" t="str">
        <f t="shared" si="2"/>
        <v>NO</v>
      </c>
      <c r="I410" s="7" t="str">
        <f t="shared" si="3"/>
        <v>NO</v>
      </c>
    </row>
    <row r="411">
      <c r="A411" s="4">
        <f>IFERROR(__xludf.DUMMYFUNCTION("""COMPUTED_VALUE"""),1177738.0)</f>
        <v>1177738</v>
      </c>
      <c r="B411" s="4" t="str">
        <f>IFERROR(__xludf.DUMMYFUNCTION("""COMPUTED_VALUE"""),"P4 - Low")</f>
        <v>P4 - Low</v>
      </c>
      <c r="C411" s="5">
        <f>IFERROR(__xludf.DUMMYFUNCTION("""COMPUTED_VALUE"""),44119.394953703704)</f>
        <v>44119.39495</v>
      </c>
      <c r="D411" s="4" t="str">
        <f>IFERROR(__xludf.DUMMYFUNCTION("""COMPUTED_VALUE"""),"RESOLVED")</f>
        <v>RESOLVED</v>
      </c>
      <c r="E411" s="6">
        <f>IFERROR(__xludf.DUMMYFUNCTION("""COMPUTED_VALUE"""),44365.26684027778)</f>
        <v>44365.26684</v>
      </c>
      <c r="F411" s="4" t="str">
        <f>IFERROR(__xludf.DUMMYFUNCTION("""COMPUTED_VALUE""")," ---")</f>
        <v> ---</v>
      </c>
      <c r="G411" s="4" t="str">
        <f>IFERROR(__xludf.DUMMYFUNCTION("""COMPUTED_VALUE"""),"SUSE Linux Enterprise Server 15 SP3")</f>
        <v>SUSE Linux Enterprise Server 15 SP3</v>
      </c>
      <c r="H411" s="7" t="str">
        <f t="shared" si="2"/>
        <v>NO</v>
      </c>
      <c r="I411" s="7" t="str">
        <f t="shared" si="3"/>
        <v>NO</v>
      </c>
    </row>
    <row r="412">
      <c r="A412" s="4">
        <f>IFERROR(__xludf.DUMMYFUNCTION("""COMPUTED_VALUE"""),1180175.0)</f>
        <v>1180175</v>
      </c>
      <c r="B412" s="4" t="str">
        <f>IFERROR(__xludf.DUMMYFUNCTION("""COMPUTED_VALUE"""),"P4 - Low")</f>
        <v>P4 - Low</v>
      </c>
      <c r="C412" s="5">
        <f>IFERROR(__xludf.DUMMYFUNCTION("""COMPUTED_VALUE"""),44182.61974537037)</f>
        <v>44182.61975</v>
      </c>
      <c r="D412" s="4" t="str">
        <f>IFERROR(__xludf.DUMMYFUNCTION("""COMPUTED_VALUE"""),"RESOLVED")</f>
        <v>RESOLVED</v>
      </c>
      <c r="E412" s="6">
        <f>IFERROR(__xludf.DUMMYFUNCTION("""COMPUTED_VALUE"""),44225.31662037037)</f>
        <v>44225.31662</v>
      </c>
      <c r="F412" s="4" t="str">
        <f>IFERROR(__xludf.DUMMYFUNCTION("""COMPUTED_VALUE""")," ---")</f>
        <v> ---</v>
      </c>
      <c r="G412" s="4" t="str">
        <f>IFERROR(__xludf.DUMMYFUNCTION("""COMPUTED_VALUE"""),"SUSE Linux Enterprise Server 15 SP3")</f>
        <v>SUSE Linux Enterprise Server 15 SP3</v>
      </c>
      <c r="H412" s="7" t="str">
        <f t="shared" si="2"/>
        <v>NO</v>
      </c>
      <c r="I412" s="7" t="str">
        <f t="shared" si="3"/>
        <v>NO</v>
      </c>
    </row>
    <row r="413">
      <c r="A413" s="4">
        <f>IFERROR(__xludf.DUMMYFUNCTION("""COMPUTED_VALUE"""),1182128.0)</f>
        <v>1182128</v>
      </c>
      <c r="B413" s="4" t="str">
        <f>IFERROR(__xludf.DUMMYFUNCTION("""COMPUTED_VALUE"""),"P4 - Low")</f>
        <v>P4 - Low</v>
      </c>
      <c r="C413" s="5">
        <f>IFERROR(__xludf.DUMMYFUNCTION("""COMPUTED_VALUE"""),44238.60282407407)</f>
        <v>44238.60282</v>
      </c>
      <c r="D413" s="4" t="str">
        <f>IFERROR(__xludf.DUMMYFUNCTION("""COMPUTED_VALUE"""),"RESOLVED")</f>
        <v>RESOLVED</v>
      </c>
      <c r="E413" s="6">
        <f>IFERROR(__xludf.DUMMYFUNCTION("""COMPUTED_VALUE"""),44384.87081018519)</f>
        <v>44384.87081</v>
      </c>
      <c r="F413" s="4" t="str">
        <f>IFERROR(__xludf.DUMMYFUNCTION("""COMPUTED_VALUE""")," ---")</f>
        <v> ---</v>
      </c>
      <c r="G413" s="4" t="str">
        <f>IFERROR(__xludf.DUMMYFUNCTION("""COMPUTED_VALUE"""),"SUSE Linux Enterprise Server 15 SP3")</f>
        <v>SUSE Linux Enterprise Server 15 SP3</v>
      </c>
      <c r="H413" s="7" t="str">
        <f t="shared" si="2"/>
        <v>NO</v>
      </c>
      <c r="I413" s="7" t="str">
        <f t="shared" si="3"/>
        <v>YES</v>
      </c>
    </row>
    <row r="414">
      <c r="A414" s="4">
        <f>IFERROR(__xludf.DUMMYFUNCTION("""COMPUTED_VALUE"""),1177788.0)</f>
        <v>1177788</v>
      </c>
      <c r="B414" s="4" t="str">
        <f>IFERROR(__xludf.DUMMYFUNCTION("""COMPUTED_VALUE"""),"P4 - Low")</f>
        <v>P4 - Low</v>
      </c>
      <c r="C414" s="5">
        <f>IFERROR(__xludf.DUMMYFUNCTION("""COMPUTED_VALUE"""),44120.35851851852)</f>
        <v>44120.35852</v>
      </c>
      <c r="D414" s="4" t="str">
        <f>IFERROR(__xludf.DUMMYFUNCTION("""COMPUTED_VALUE"""),"RESOLVED")</f>
        <v>RESOLVED</v>
      </c>
      <c r="E414" s="6">
        <f>IFERROR(__xludf.DUMMYFUNCTION("""COMPUTED_VALUE"""),44384.85418981482)</f>
        <v>44384.85419</v>
      </c>
      <c r="F414" s="4" t="str">
        <f>IFERROR(__xludf.DUMMYFUNCTION("""COMPUTED_VALUE""")," ---")</f>
        <v> ---</v>
      </c>
      <c r="G414" s="4" t="str">
        <f>IFERROR(__xludf.DUMMYFUNCTION("""COMPUTED_VALUE"""),"SUSE Linux Enterprise Server 15 SP3")</f>
        <v>SUSE Linux Enterprise Server 15 SP3</v>
      </c>
      <c r="H414" s="7" t="str">
        <f t="shared" si="2"/>
        <v>NO</v>
      </c>
      <c r="I414" s="7" t="str">
        <f t="shared" si="3"/>
        <v>NO</v>
      </c>
    </row>
    <row r="415">
      <c r="A415" s="4">
        <f>IFERROR(__xludf.DUMMYFUNCTION("""COMPUTED_VALUE"""),1177281.0)</f>
        <v>1177281</v>
      </c>
      <c r="B415" s="4" t="str">
        <f>IFERROR(__xludf.DUMMYFUNCTION("""COMPUTED_VALUE"""),"P4 - Low")</f>
        <v>P4 - Low</v>
      </c>
      <c r="C415" s="5">
        <f>IFERROR(__xludf.DUMMYFUNCTION("""COMPUTED_VALUE"""),44109.316145833334)</f>
        <v>44109.31615</v>
      </c>
      <c r="D415" s="4" t="str">
        <f>IFERROR(__xludf.DUMMYFUNCTION("""COMPUTED_VALUE"""),"RESOLVED")</f>
        <v>RESOLVED</v>
      </c>
      <c r="E415" s="6">
        <f>IFERROR(__xludf.DUMMYFUNCTION("""COMPUTED_VALUE"""),44362.61253472222)</f>
        <v>44362.61253</v>
      </c>
      <c r="F415" s="4" t="str">
        <f>IFERROR(__xludf.DUMMYFUNCTION("""COMPUTED_VALUE""")," ---")</f>
        <v> ---</v>
      </c>
      <c r="G415" s="4" t="str">
        <f>IFERROR(__xludf.DUMMYFUNCTION("""COMPUTED_VALUE"""),"SUSE Linux Enterprise Server 15 SP3")</f>
        <v>SUSE Linux Enterprise Server 15 SP3</v>
      </c>
      <c r="H415" s="7" t="str">
        <f t="shared" si="2"/>
        <v>NO</v>
      </c>
      <c r="I415" s="7" t="str">
        <f t="shared" si="3"/>
        <v>NO</v>
      </c>
    </row>
    <row r="416">
      <c r="A416" s="4">
        <f>IFERROR(__xludf.DUMMYFUNCTION("""COMPUTED_VALUE"""),1186788.0)</f>
        <v>1186788</v>
      </c>
      <c r="B416" s="4" t="str">
        <f>IFERROR(__xludf.DUMMYFUNCTION("""COMPUTED_VALUE"""),"P5 - None")</f>
        <v>P5 - None</v>
      </c>
      <c r="C416" s="5">
        <f>IFERROR(__xludf.DUMMYFUNCTION("""COMPUTED_VALUE"""),44350.27258101852)</f>
        <v>44350.27258</v>
      </c>
      <c r="D416" s="4" t="str">
        <f>IFERROR(__xludf.DUMMYFUNCTION("""COMPUTED_VALUE"""),"NEW")</f>
        <v>NEW</v>
      </c>
      <c r="E416" s="6">
        <f>IFERROR(__xludf.DUMMYFUNCTION("""COMPUTED_VALUE"""),44403.997719907406)</f>
        <v>44403.99772</v>
      </c>
      <c r="F416" s="4" t="str">
        <f>IFERROR(__xludf.DUMMYFUNCTION("""COMPUTED_VALUE""")," ---")</f>
        <v> ---</v>
      </c>
      <c r="G416" s="4" t="str">
        <f>IFERROR(__xludf.DUMMYFUNCTION("""COMPUTED_VALUE"""),"SUSE Linux Enterprise Server 15 SP3")</f>
        <v>SUSE Linux Enterprise Server 15 SP3</v>
      </c>
      <c r="H416" s="7" t="str">
        <f t="shared" si="2"/>
        <v>NO</v>
      </c>
      <c r="I416" s="7" t="str">
        <f t="shared" si="3"/>
        <v>NO</v>
      </c>
    </row>
    <row r="417">
      <c r="A417" s="4">
        <f>IFERROR(__xludf.DUMMYFUNCTION("""COMPUTED_VALUE"""),1187613.0)</f>
        <v>1187613</v>
      </c>
      <c r="B417" s="4" t="str">
        <f>IFERROR(__xludf.DUMMYFUNCTION("""COMPUTED_VALUE"""),"P5 - None")</f>
        <v>P5 - None</v>
      </c>
      <c r="C417" s="5">
        <f>IFERROR(__xludf.DUMMYFUNCTION("""COMPUTED_VALUE"""),44369.67177083333)</f>
        <v>44369.67177</v>
      </c>
      <c r="D417" s="4" t="str">
        <f>IFERROR(__xludf.DUMMYFUNCTION("""COMPUTED_VALUE"""),"NEW")</f>
        <v>NEW</v>
      </c>
      <c r="E417" s="6">
        <f>IFERROR(__xludf.DUMMYFUNCTION("""COMPUTED_VALUE"""),44660.01605324074)</f>
        <v>44660.01605</v>
      </c>
      <c r="F417" s="4" t="str">
        <f>IFERROR(__xludf.DUMMYFUNCTION("""COMPUTED_VALUE"""),"Yes")</f>
        <v>Yes</v>
      </c>
      <c r="G417" s="4" t="str">
        <f>IFERROR(__xludf.DUMMYFUNCTION("""COMPUTED_VALUE"""),"PUBLIC SUSE Linux Enterprise Server 15 SP3")</f>
        <v>PUBLIC SUSE Linux Enterprise Server 15 SP3</v>
      </c>
      <c r="H417" s="7" t="str">
        <f t="shared" si="2"/>
        <v>NO</v>
      </c>
      <c r="I417" s="7" t="str">
        <f t="shared" si="3"/>
        <v>NO</v>
      </c>
    </row>
    <row r="418">
      <c r="A418" s="4">
        <f>IFERROR(__xludf.DUMMYFUNCTION("""COMPUTED_VALUE"""),1186492.0)</f>
        <v>1186492</v>
      </c>
      <c r="B418" s="4" t="str">
        <f>IFERROR(__xludf.DUMMYFUNCTION("""COMPUTED_VALUE"""),"P5 - None")</f>
        <v>P5 - None</v>
      </c>
      <c r="C418" s="5">
        <f>IFERROR(__xludf.DUMMYFUNCTION("""COMPUTED_VALUE"""),44343.41428240741)</f>
        <v>44343.41428</v>
      </c>
      <c r="D418" s="4" t="str">
        <f>IFERROR(__xludf.DUMMYFUNCTION("""COMPUTED_VALUE"""),"NEW")</f>
        <v>NEW</v>
      </c>
      <c r="E418" s="6">
        <f>IFERROR(__xludf.DUMMYFUNCTION("""COMPUTED_VALUE"""),44357.676712962966)</f>
        <v>44357.67671</v>
      </c>
      <c r="F418" s="4" t="str">
        <f>IFERROR(__xludf.DUMMYFUNCTION("""COMPUTED_VALUE""")," ---")</f>
        <v> ---</v>
      </c>
      <c r="G418" s="4" t="str">
        <f>IFERROR(__xludf.DUMMYFUNCTION("""COMPUTED_VALUE"""),"SUSE Linux Enterprise Server 15 SP3")</f>
        <v>SUSE Linux Enterprise Server 15 SP3</v>
      </c>
      <c r="H418" s="7" t="str">
        <f t="shared" si="2"/>
        <v>NO</v>
      </c>
      <c r="I418" s="7" t="str">
        <f t="shared" si="3"/>
        <v>NO</v>
      </c>
    </row>
    <row r="419">
      <c r="A419" s="4">
        <f>IFERROR(__xludf.DUMMYFUNCTION("""COMPUTED_VALUE"""),1187591.0)</f>
        <v>1187591</v>
      </c>
      <c r="B419" s="4" t="str">
        <f>IFERROR(__xludf.DUMMYFUNCTION("""COMPUTED_VALUE"""),"P5 - None")</f>
        <v>P5 - None</v>
      </c>
      <c r="C419" s="5">
        <f>IFERROR(__xludf.DUMMYFUNCTION("""COMPUTED_VALUE"""),44369.42431712963)</f>
        <v>44369.42432</v>
      </c>
      <c r="D419" s="4" t="str">
        <f>IFERROR(__xludf.DUMMYFUNCTION("""COMPUTED_VALUE"""),"REOPENED")</f>
        <v>REOPENED</v>
      </c>
      <c r="E419" s="6">
        <f>IFERROR(__xludf.DUMMYFUNCTION("""COMPUTED_VALUE"""),44643.511342592596)</f>
        <v>44643.51134</v>
      </c>
      <c r="F419" s="4" t="str">
        <f>IFERROR(__xludf.DUMMYFUNCTION("""COMPUTED_VALUE"""),"Yes")</f>
        <v>Yes</v>
      </c>
      <c r="G419" s="4" t="str">
        <f>IFERROR(__xludf.DUMMYFUNCTION("""COMPUTED_VALUE"""),"PUBLIC SUSE Linux Enterprise Server 15 SP3")</f>
        <v>PUBLIC SUSE Linux Enterprise Server 15 SP3</v>
      </c>
      <c r="H419" s="7" t="str">
        <f t="shared" si="2"/>
        <v>NO</v>
      </c>
      <c r="I419" s="7" t="str">
        <f t="shared" si="3"/>
        <v>NO</v>
      </c>
    </row>
    <row r="420">
      <c r="A420" s="4">
        <f>IFERROR(__xludf.DUMMYFUNCTION("""COMPUTED_VALUE"""),1183614.0)</f>
        <v>1183614</v>
      </c>
      <c r="B420" s="4" t="str">
        <f>IFERROR(__xludf.DUMMYFUNCTION("""COMPUTED_VALUE"""),"P5 - None")</f>
        <v>P5 - None</v>
      </c>
      <c r="C420" s="5">
        <f>IFERROR(__xludf.DUMMYFUNCTION("""COMPUTED_VALUE"""),44271.80708333333)</f>
        <v>44271.80708</v>
      </c>
      <c r="D420" s="4" t="str">
        <f>IFERROR(__xludf.DUMMYFUNCTION("""COMPUTED_VALUE"""),"RESOLVED")</f>
        <v>RESOLVED</v>
      </c>
      <c r="E420" s="6">
        <f>IFERROR(__xludf.DUMMYFUNCTION("""COMPUTED_VALUE"""),44272.81730324074)</f>
        <v>44272.8173</v>
      </c>
      <c r="F420" s="4" t="str">
        <f>IFERROR(__xludf.DUMMYFUNCTION("""COMPUTED_VALUE""")," ---")</f>
        <v> ---</v>
      </c>
      <c r="G420" s="4" t="str">
        <f>IFERROR(__xludf.DUMMYFUNCTION("""COMPUTED_VALUE"""),"SUSE Linux Enterprise Server 15 SP3")</f>
        <v>SUSE Linux Enterprise Server 15 SP3</v>
      </c>
      <c r="H420" s="7" t="str">
        <f t="shared" si="2"/>
        <v>NO</v>
      </c>
      <c r="I420" s="7" t="str">
        <f t="shared" si="3"/>
        <v>NO</v>
      </c>
    </row>
    <row r="421">
      <c r="A421" s="4">
        <f>IFERROR(__xludf.DUMMYFUNCTION("""COMPUTED_VALUE"""),1181304.0)</f>
        <v>1181304</v>
      </c>
      <c r="B421" s="4" t="str">
        <f>IFERROR(__xludf.DUMMYFUNCTION("""COMPUTED_VALUE"""),"P5 - None")</f>
        <v>P5 - None</v>
      </c>
      <c r="C421" s="5">
        <f>IFERROR(__xludf.DUMMYFUNCTION("""COMPUTED_VALUE"""),44218.672951388886)</f>
        <v>44218.67295</v>
      </c>
      <c r="D421" s="4" t="str">
        <f>IFERROR(__xludf.DUMMYFUNCTION("""COMPUTED_VALUE"""),"RESOLVED")</f>
        <v>RESOLVED</v>
      </c>
      <c r="E421" s="6">
        <f>IFERROR(__xludf.DUMMYFUNCTION("""COMPUTED_VALUE"""),44365.26646990741)</f>
        <v>44365.26647</v>
      </c>
      <c r="F421" s="4" t="str">
        <f>IFERROR(__xludf.DUMMYFUNCTION("""COMPUTED_VALUE""")," ---")</f>
        <v> ---</v>
      </c>
      <c r="G421" s="4" t="str">
        <f>IFERROR(__xludf.DUMMYFUNCTION("""COMPUTED_VALUE"""),"SUSE Linux Enterprise Server 15 SP3")</f>
        <v>SUSE Linux Enterprise Server 15 SP3</v>
      </c>
      <c r="H421" s="7" t="str">
        <f t="shared" si="2"/>
        <v>NO</v>
      </c>
      <c r="I421" s="7" t="str">
        <f t="shared" si="3"/>
        <v>NO</v>
      </c>
    </row>
    <row r="422">
      <c r="A422" s="4">
        <f>IFERROR(__xludf.DUMMYFUNCTION("""COMPUTED_VALUE"""),1181309.0)</f>
        <v>1181309</v>
      </c>
      <c r="B422" s="4" t="str">
        <f>IFERROR(__xludf.DUMMYFUNCTION("""COMPUTED_VALUE"""),"P5 - None")</f>
        <v>P5 - None</v>
      </c>
      <c r="C422" s="5">
        <f>IFERROR(__xludf.DUMMYFUNCTION("""COMPUTED_VALUE"""),44218.695868055554)</f>
        <v>44218.69587</v>
      </c>
      <c r="D422" s="4" t="str">
        <f>IFERROR(__xludf.DUMMYFUNCTION("""COMPUTED_VALUE"""),"RESOLVED")</f>
        <v>RESOLVED</v>
      </c>
      <c r="E422" s="6">
        <f>IFERROR(__xludf.DUMMYFUNCTION("""COMPUTED_VALUE"""),44475.93461805556)</f>
        <v>44475.93462</v>
      </c>
      <c r="F422" s="4" t="str">
        <f>IFERROR(__xludf.DUMMYFUNCTION("""COMPUTED_VALUE""")," ---")</f>
        <v> ---</v>
      </c>
      <c r="G422" s="4" t="str">
        <f>IFERROR(__xludf.DUMMYFUNCTION("""COMPUTED_VALUE"""),"SUSE Linux Enterprise Server 15 SP3")</f>
        <v>SUSE Linux Enterprise Server 15 SP3</v>
      </c>
      <c r="H422" s="7" t="str">
        <f t="shared" si="2"/>
        <v>NO</v>
      </c>
      <c r="I422" s="7" t="str">
        <f t="shared" si="3"/>
        <v>NO</v>
      </c>
    </row>
    <row r="423">
      <c r="A423" s="4">
        <f>IFERROR(__xludf.DUMMYFUNCTION("""COMPUTED_VALUE"""),1186219.0)</f>
        <v>1186219</v>
      </c>
      <c r="B423" s="4" t="str">
        <f>IFERROR(__xludf.DUMMYFUNCTION("""COMPUTED_VALUE"""),"P5 - None")</f>
        <v>P5 - None</v>
      </c>
      <c r="C423" s="5">
        <f>IFERROR(__xludf.DUMMYFUNCTION("""COMPUTED_VALUE"""),44334.89024305555)</f>
        <v>44334.89024</v>
      </c>
      <c r="D423" s="4" t="str">
        <f>IFERROR(__xludf.DUMMYFUNCTION("""COMPUTED_VALUE"""),"RESOLVED")</f>
        <v>RESOLVED</v>
      </c>
      <c r="E423" s="6">
        <f>IFERROR(__xludf.DUMMYFUNCTION("""COMPUTED_VALUE"""),44388.73315972222)</f>
        <v>44388.73316</v>
      </c>
      <c r="F423" s="4" t="str">
        <f>IFERROR(__xludf.DUMMYFUNCTION("""COMPUTED_VALUE""")," ---")</f>
        <v> ---</v>
      </c>
      <c r="G423" s="4" t="str">
        <f>IFERROR(__xludf.DUMMYFUNCTION("""COMPUTED_VALUE"""),"SUSE Linux Enterprise Server 15 SP3")</f>
        <v>SUSE Linux Enterprise Server 15 SP3</v>
      </c>
      <c r="H423" s="7" t="str">
        <f t="shared" si="2"/>
        <v>NO</v>
      </c>
      <c r="I423" s="7" t="str">
        <f t="shared" si="3"/>
        <v>NO</v>
      </c>
    </row>
    <row r="424">
      <c r="A424" s="4">
        <f>IFERROR(__xludf.DUMMYFUNCTION("""COMPUTED_VALUE"""),1187357.0)</f>
        <v>1187357</v>
      </c>
      <c r="B424" s="4" t="str">
        <f>IFERROR(__xludf.DUMMYFUNCTION("""COMPUTED_VALUE"""),"P5 - None")</f>
        <v>P5 - None</v>
      </c>
      <c r="C424" s="5">
        <f>IFERROR(__xludf.DUMMYFUNCTION("""COMPUTED_VALUE"""),44362.57034722222)</f>
        <v>44362.57035</v>
      </c>
      <c r="D424" s="4" t="str">
        <f>IFERROR(__xludf.DUMMYFUNCTION("""COMPUTED_VALUE"""),"RESOLVED")</f>
        <v>RESOLVED</v>
      </c>
      <c r="E424" s="6">
        <f>IFERROR(__xludf.DUMMYFUNCTION("""COMPUTED_VALUE"""),44384.897569444445)</f>
        <v>44384.89757</v>
      </c>
      <c r="F424" s="4" t="str">
        <f>IFERROR(__xludf.DUMMYFUNCTION("""COMPUTED_VALUE""")," ---")</f>
        <v> ---</v>
      </c>
      <c r="G424" s="4" t="str">
        <f>IFERROR(__xludf.DUMMYFUNCTION("""COMPUTED_VALUE"""),"SUSE Linux Enterprise Server 15 SP3")</f>
        <v>SUSE Linux Enterprise Server 15 SP3</v>
      </c>
      <c r="H424" s="7" t="str">
        <f t="shared" si="2"/>
        <v>NO</v>
      </c>
      <c r="I424" s="7" t="str">
        <f t="shared" si="3"/>
        <v>NO</v>
      </c>
    </row>
    <row r="425">
      <c r="A425" s="4">
        <f>IFERROR(__xludf.DUMMYFUNCTION("""COMPUTED_VALUE"""),1173989.0)</f>
        <v>1173989</v>
      </c>
      <c r="B425" s="4" t="str">
        <f>IFERROR(__xludf.DUMMYFUNCTION("""COMPUTED_VALUE"""),"P5 - None")</f>
        <v>P5 - None</v>
      </c>
      <c r="C425" s="5">
        <f>IFERROR(__xludf.DUMMYFUNCTION("""COMPUTED_VALUE"""),44022.392534722225)</f>
        <v>44022.39253</v>
      </c>
      <c r="D425" s="4" t="str">
        <f>IFERROR(__xludf.DUMMYFUNCTION("""COMPUTED_VALUE"""),"RESOLVED")</f>
        <v>RESOLVED</v>
      </c>
      <c r="E425" s="6">
        <f>IFERROR(__xludf.DUMMYFUNCTION("""COMPUTED_VALUE"""),44034.00980324074)</f>
        <v>44034.0098</v>
      </c>
      <c r="F425" s="4" t="str">
        <f>IFERROR(__xludf.DUMMYFUNCTION("""COMPUTED_VALUE""")," ---")</f>
        <v> ---</v>
      </c>
      <c r="G425" s="4" t="str">
        <f>IFERROR(__xludf.DUMMYFUNCTION("""COMPUTED_VALUE"""),"SUSE Linux Enterprise Server 15 SP3")</f>
        <v>SUSE Linux Enterprise Server 15 SP3</v>
      </c>
      <c r="H425" s="7" t="str">
        <f t="shared" si="2"/>
        <v>NO</v>
      </c>
      <c r="I425" s="7" t="str">
        <f t="shared" si="3"/>
        <v>NO</v>
      </c>
    </row>
    <row r="426">
      <c r="A426" s="4">
        <f>IFERROR(__xludf.DUMMYFUNCTION("""COMPUTED_VALUE"""),1185472.0)</f>
        <v>1185472</v>
      </c>
      <c r="B426" s="4" t="str">
        <f>IFERROR(__xludf.DUMMYFUNCTION("""COMPUTED_VALUE"""),"P5 - None")</f>
        <v>P5 - None</v>
      </c>
      <c r="C426" s="5">
        <f>IFERROR(__xludf.DUMMYFUNCTION("""COMPUTED_VALUE"""),44315.62535879629)</f>
        <v>44315.62536</v>
      </c>
      <c r="D426" s="4" t="str">
        <f>IFERROR(__xludf.DUMMYFUNCTION("""COMPUTED_VALUE"""),"RESOLVED")</f>
        <v>RESOLVED</v>
      </c>
      <c r="E426" s="6">
        <f>IFERROR(__xludf.DUMMYFUNCTION("""COMPUTED_VALUE"""),44388.70111111111)</f>
        <v>44388.70111</v>
      </c>
      <c r="F426" s="4" t="str">
        <f>IFERROR(__xludf.DUMMYFUNCTION("""COMPUTED_VALUE""")," ---")</f>
        <v> ---</v>
      </c>
      <c r="G426" s="4" t="str">
        <f>IFERROR(__xludf.DUMMYFUNCTION("""COMPUTED_VALUE"""),"SUSE Linux Enterprise Server 15 SP3")</f>
        <v>SUSE Linux Enterprise Server 15 SP3</v>
      </c>
      <c r="H426" s="7" t="str">
        <f t="shared" si="2"/>
        <v>NO</v>
      </c>
      <c r="I426" s="7" t="str">
        <f t="shared" si="3"/>
        <v>NO</v>
      </c>
    </row>
    <row r="427">
      <c r="A427" s="4">
        <f>IFERROR(__xludf.DUMMYFUNCTION("""COMPUTED_VALUE"""),1185491.0)</f>
        <v>1185491</v>
      </c>
      <c r="B427" s="4" t="str">
        <f>IFERROR(__xludf.DUMMYFUNCTION("""COMPUTED_VALUE"""),"P5 - None")</f>
        <v>P5 - None</v>
      </c>
      <c r="C427" s="5">
        <f>IFERROR(__xludf.DUMMYFUNCTION("""COMPUTED_VALUE"""),44316.33945601852)</f>
        <v>44316.33946</v>
      </c>
      <c r="D427" s="4" t="str">
        <f>IFERROR(__xludf.DUMMYFUNCTION("""COMPUTED_VALUE"""),"RESOLVED")</f>
        <v>RESOLVED</v>
      </c>
      <c r="E427" s="6">
        <f>IFERROR(__xludf.DUMMYFUNCTION("""COMPUTED_VALUE"""),44388.730532407404)</f>
        <v>44388.73053</v>
      </c>
      <c r="F427" s="4" t="str">
        <f>IFERROR(__xludf.DUMMYFUNCTION("""COMPUTED_VALUE""")," ---")</f>
        <v> ---</v>
      </c>
      <c r="G427" s="4" t="str">
        <f>IFERROR(__xludf.DUMMYFUNCTION("""COMPUTED_VALUE"""),"SUSE Linux Enterprise Server 15 SP3")</f>
        <v>SUSE Linux Enterprise Server 15 SP3</v>
      </c>
      <c r="H427" s="7" t="str">
        <f t="shared" si="2"/>
        <v>NO</v>
      </c>
      <c r="I427" s="7" t="str">
        <f t="shared" si="3"/>
        <v>NO</v>
      </c>
    </row>
    <row r="428">
      <c r="A428" s="4">
        <f>IFERROR(__xludf.DUMMYFUNCTION("""COMPUTED_VALUE"""),1186416.0)</f>
        <v>1186416</v>
      </c>
      <c r="B428" s="4" t="str">
        <f>IFERROR(__xludf.DUMMYFUNCTION("""COMPUTED_VALUE"""),"P5 - None")</f>
        <v>P5 - None</v>
      </c>
      <c r="C428" s="5">
        <f>IFERROR(__xludf.DUMMYFUNCTION("""COMPUTED_VALUE"""),44341.51082175926)</f>
        <v>44341.51082</v>
      </c>
      <c r="D428" s="4" t="str">
        <f>IFERROR(__xludf.DUMMYFUNCTION("""COMPUTED_VALUE"""),"RESOLVED")</f>
        <v>RESOLVED</v>
      </c>
      <c r="E428" s="6">
        <f>IFERROR(__xludf.DUMMYFUNCTION("""COMPUTED_VALUE"""),44484.53061342592)</f>
        <v>44484.53061</v>
      </c>
      <c r="F428" s="4" t="str">
        <f>IFERROR(__xludf.DUMMYFUNCTION("""COMPUTED_VALUE""")," ---")</f>
        <v> ---</v>
      </c>
      <c r="G428" s="4" t="str">
        <f>IFERROR(__xludf.DUMMYFUNCTION("""COMPUTED_VALUE"""),"SUSE Linux Enterprise Server 15 SP3")</f>
        <v>SUSE Linux Enterprise Server 15 SP3</v>
      </c>
      <c r="H428" s="7" t="str">
        <f t="shared" si="2"/>
        <v>NO</v>
      </c>
      <c r="I428" s="7" t="str">
        <f t="shared" si="3"/>
        <v>NO</v>
      </c>
    </row>
    <row r="429">
      <c r="A429" s="4">
        <f>IFERROR(__xludf.DUMMYFUNCTION("""COMPUTED_VALUE"""),1186451.0)</f>
        <v>1186451</v>
      </c>
      <c r="B429" s="4" t="str">
        <f>IFERROR(__xludf.DUMMYFUNCTION("""COMPUTED_VALUE"""),"P5 - None")</f>
        <v>P5 - None</v>
      </c>
      <c r="C429" s="5">
        <f>IFERROR(__xludf.DUMMYFUNCTION("""COMPUTED_VALUE"""),44341.845347222225)</f>
        <v>44341.84535</v>
      </c>
      <c r="D429" s="4" t="str">
        <f>IFERROR(__xludf.DUMMYFUNCTION("""COMPUTED_VALUE"""),"RESOLVED")</f>
        <v>RESOLVED</v>
      </c>
      <c r="E429" s="6">
        <f>IFERROR(__xludf.DUMMYFUNCTION("""COMPUTED_VALUE"""),44388.70596064815)</f>
        <v>44388.70596</v>
      </c>
      <c r="F429" s="4" t="str">
        <f>IFERROR(__xludf.DUMMYFUNCTION("""COMPUTED_VALUE""")," ---")</f>
        <v> ---</v>
      </c>
      <c r="G429" s="4" t="str">
        <f>IFERROR(__xludf.DUMMYFUNCTION("""COMPUTED_VALUE"""),"SUSE Linux Enterprise Server 15 SP3")</f>
        <v>SUSE Linux Enterprise Server 15 SP3</v>
      </c>
      <c r="H429" s="7" t="str">
        <f t="shared" si="2"/>
        <v>NO</v>
      </c>
      <c r="I429" s="7" t="str">
        <f t="shared" si="3"/>
        <v>NO</v>
      </c>
    </row>
    <row r="430">
      <c r="A430" s="4">
        <f>IFERROR(__xludf.DUMMYFUNCTION("""COMPUTED_VALUE"""),1186479.0)</f>
        <v>1186479</v>
      </c>
      <c r="B430" s="4" t="str">
        <f>IFERROR(__xludf.DUMMYFUNCTION("""COMPUTED_VALUE"""),"P5 - None")</f>
        <v>P5 - None</v>
      </c>
      <c r="C430" s="5">
        <f>IFERROR(__xludf.DUMMYFUNCTION("""COMPUTED_VALUE"""),44343.19480324074)</f>
        <v>44343.1948</v>
      </c>
      <c r="D430" s="4" t="str">
        <f>IFERROR(__xludf.DUMMYFUNCTION("""COMPUTED_VALUE"""),"RESOLVED")</f>
        <v>RESOLVED</v>
      </c>
      <c r="E430" s="6">
        <f>IFERROR(__xludf.DUMMYFUNCTION("""COMPUTED_VALUE"""),44484.52269675926)</f>
        <v>44484.5227</v>
      </c>
      <c r="F430" s="4" t="str">
        <f>IFERROR(__xludf.DUMMYFUNCTION("""COMPUTED_VALUE""")," ---")</f>
        <v> ---</v>
      </c>
      <c r="G430" s="4" t="str">
        <f>IFERROR(__xludf.DUMMYFUNCTION("""COMPUTED_VALUE"""),"SUSE Linux Enterprise Server 15 SP3")</f>
        <v>SUSE Linux Enterprise Server 15 SP3</v>
      </c>
      <c r="H430" s="7" t="str">
        <f t="shared" si="2"/>
        <v>NO</v>
      </c>
      <c r="I430" s="7" t="str">
        <f t="shared" si="3"/>
        <v>NO</v>
      </c>
    </row>
    <row r="431">
      <c r="A431" s="4">
        <f>IFERROR(__xludf.DUMMYFUNCTION("""COMPUTED_VALUE"""),1179814.0)</f>
        <v>1179814</v>
      </c>
      <c r="B431" s="4" t="str">
        <f>IFERROR(__xludf.DUMMYFUNCTION("""COMPUTED_VALUE"""),"P5 - None")</f>
        <v>P5 - None</v>
      </c>
      <c r="C431" s="5">
        <f>IFERROR(__xludf.DUMMYFUNCTION("""COMPUTED_VALUE"""),44174.386145833334)</f>
        <v>44174.38615</v>
      </c>
      <c r="D431" s="4" t="str">
        <f>IFERROR(__xludf.DUMMYFUNCTION("""COMPUTED_VALUE"""),"RESOLVED")</f>
        <v>RESOLVED</v>
      </c>
      <c r="E431" s="6">
        <f>IFERROR(__xludf.DUMMYFUNCTION("""COMPUTED_VALUE"""),44384.86284722222)</f>
        <v>44384.86285</v>
      </c>
      <c r="F431" s="4" t="str">
        <f>IFERROR(__xludf.DUMMYFUNCTION("""COMPUTED_VALUE""")," ---")</f>
        <v> ---</v>
      </c>
      <c r="G431" s="4" t="str">
        <f>IFERROR(__xludf.DUMMYFUNCTION("""COMPUTED_VALUE"""),"SUSE Linux Enterprise Server 15 SP3")</f>
        <v>SUSE Linux Enterprise Server 15 SP3</v>
      </c>
      <c r="H431" s="7" t="str">
        <f t="shared" si="2"/>
        <v>NO</v>
      </c>
      <c r="I431" s="7" t="str">
        <f t="shared" si="3"/>
        <v>NO</v>
      </c>
    </row>
    <row r="432">
      <c r="A432" s="4">
        <f>IFERROR(__xludf.DUMMYFUNCTION("""COMPUTED_VALUE"""),1179815.0)</f>
        <v>1179815</v>
      </c>
      <c r="B432" s="4" t="str">
        <f>IFERROR(__xludf.DUMMYFUNCTION("""COMPUTED_VALUE"""),"P5 - None")</f>
        <v>P5 - None</v>
      </c>
      <c r="C432" s="5">
        <f>IFERROR(__xludf.DUMMYFUNCTION("""COMPUTED_VALUE"""),44174.38699074074)</f>
        <v>44174.38699</v>
      </c>
      <c r="D432" s="4" t="str">
        <f>IFERROR(__xludf.DUMMYFUNCTION("""COMPUTED_VALUE"""),"RESOLVED")</f>
        <v>RESOLVED</v>
      </c>
      <c r="E432" s="6">
        <f>IFERROR(__xludf.DUMMYFUNCTION("""COMPUTED_VALUE"""),44384.862905092596)</f>
        <v>44384.86291</v>
      </c>
      <c r="F432" s="4" t="str">
        <f>IFERROR(__xludf.DUMMYFUNCTION("""COMPUTED_VALUE""")," ---")</f>
        <v> ---</v>
      </c>
      <c r="G432" s="4" t="str">
        <f>IFERROR(__xludf.DUMMYFUNCTION("""COMPUTED_VALUE"""),"SUSE Linux Enterprise Server 15 SP3")</f>
        <v>SUSE Linux Enterprise Server 15 SP3</v>
      </c>
      <c r="H432" s="7" t="str">
        <f t="shared" si="2"/>
        <v>NO</v>
      </c>
      <c r="I432" s="7" t="str">
        <f t="shared" si="3"/>
        <v>NO</v>
      </c>
    </row>
    <row r="433">
      <c r="A433" s="4">
        <f>IFERROR(__xludf.DUMMYFUNCTION("""COMPUTED_VALUE"""),1179819.0)</f>
        <v>1179819</v>
      </c>
      <c r="B433" s="4" t="str">
        <f>IFERROR(__xludf.DUMMYFUNCTION("""COMPUTED_VALUE"""),"P5 - None")</f>
        <v>P5 - None</v>
      </c>
      <c r="C433" s="5">
        <f>IFERROR(__xludf.DUMMYFUNCTION("""COMPUTED_VALUE"""),44174.42350694445)</f>
        <v>44174.42351</v>
      </c>
      <c r="D433" s="4" t="str">
        <f>IFERROR(__xludf.DUMMYFUNCTION("""COMPUTED_VALUE"""),"RESOLVED")</f>
        <v>RESOLVED</v>
      </c>
      <c r="E433" s="6">
        <f>IFERROR(__xludf.DUMMYFUNCTION("""COMPUTED_VALUE"""),44384.86298611111)</f>
        <v>44384.86299</v>
      </c>
      <c r="F433" s="4" t="str">
        <f>IFERROR(__xludf.DUMMYFUNCTION("""COMPUTED_VALUE""")," ---")</f>
        <v> ---</v>
      </c>
      <c r="G433" s="4" t="str">
        <f>IFERROR(__xludf.DUMMYFUNCTION("""COMPUTED_VALUE"""),"SUSE Linux Enterprise Server 15 SP3")</f>
        <v>SUSE Linux Enterprise Server 15 SP3</v>
      </c>
      <c r="H433" s="7" t="str">
        <f t="shared" si="2"/>
        <v>NO</v>
      </c>
      <c r="I433" s="7" t="str">
        <f t="shared" si="3"/>
        <v>NO</v>
      </c>
    </row>
    <row r="434">
      <c r="A434" s="4">
        <f>IFERROR(__xludf.DUMMYFUNCTION("""COMPUTED_VALUE"""),1182616.0)</f>
        <v>1182616</v>
      </c>
      <c r="B434" s="4" t="str">
        <f>IFERROR(__xludf.DUMMYFUNCTION("""COMPUTED_VALUE"""),"P5 - None")</f>
        <v>P5 - None</v>
      </c>
      <c r="C434" s="5">
        <f>IFERROR(__xludf.DUMMYFUNCTION("""COMPUTED_VALUE"""),44250.59296296296)</f>
        <v>44250.59296</v>
      </c>
      <c r="D434" s="4" t="str">
        <f>IFERROR(__xludf.DUMMYFUNCTION("""COMPUTED_VALUE"""),"RESOLVED")</f>
        <v>RESOLVED</v>
      </c>
      <c r="E434" s="6">
        <f>IFERROR(__xludf.DUMMYFUNCTION("""COMPUTED_VALUE"""),44384.875289351854)</f>
        <v>44384.87529</v>
      </c>
      <c r="F434" s="4" t="str">
        <f>IFERROR(__xludf.DUMMYFUNCTION("""COMPUTED_VALUE""")," ---")</f>
        <v> ---</v>
      </c>
      <c r="G434" s="4" t="str">
        <f>IFERROR(__xludf.DUMMYFUNCTION("""COMPUTED_VALUE"""),"SUSE Linux Enterprise Server 15 SP3")</f>
        <v>SUSE Linux Enterprise Server 15 SP3</v>
      </c>
      <c r="H434" s="7" t="str">
        <f t="shared" si="2"/>
        <v>NO</v>
      </c>
      <c r="I434" s="7" t="str">
        <f t="shared" si="3"/>
        <v>NO</v>
      </c>
    </row>
    <row r="435">
      <c r="A435" s="4">
        <f>IFERROR(__xludf.DUMMYFUNCTION("""COMPUTED_VALUE"""),1174339.0)</f>
        <v>1174339</v>
      </c>
      <c r="B435" s="4" t="str">
        <f>IFERROR(__xludf.DUMMYFUNCTION("""COMPUTED_VALUE"""),"P5 - None")</f>
        <v>P5 - None</v>
      </c>
      <c r="C435" s="5">
        <f>IFERROR(__xludf.DUMMYFUNCTION("""COMPUTED_VALUE"""),44033.23721064815)</f>
        <v>44033.23721</v>
      </c>
      <c r="D435" s="4" t="str">
        <f>IFERROR(__xludf.DUMMYFUNCTION("""COMPUTED_VALUE"""),"RESOLVED")</f>
        <v>RESOLVED</v>
      </c>
      <c r="E435" s="6">
        <f>IFERROR(__xludf.DUMMYFUNCTION("""COMPUTED_VALUE"""),44033.55287037037)</f>
        <v>44033.55287</v>
      </c>
      <c r="F435" s="4" t="str">
        <f>IFERROR(__xludf.DUMMYFUNCTION("""COMPUTED_VALUE""")," ---")</f>
        <v> ---</v>
      </c>
      <c r="G435" s="4" t="str">
        <f>IFERROR(__xludf.DUMMYFUNCTION("""COMPUTED_VALUE"""),"SUSE Linux Enterprise Server 15 SP3")</f>
        <v>SUSE Linux Enterprise Server 15 SP3</v>
      </c>
      <c r="H435" s="7" t="str">
        <f t="shared" si="2"/>
        <v>NO</v>
      </c>
      <c r="I435" s="7" t="str">
        <f t="shared" si="3"/>
        <v>NO</v>
      </c>
    </row>
    <row r="436">
      <c r="A436" s="4">
        <f>IFERROR(__xludf.DUMMYFUNCTION("""COMPUTED_VALUE"""),1187343.0)</f>
        <v>1187343</v>
      </c>
      <c r="B436" s="4" t="str">
        <f>IFERROR(__xludf.DUMMYFUNCTION("""COMPUTED_VALUE"""),"P5 - None")</f>
        <v>P5 - None</v>
      </c>
      <c r="C436" s="5">
        <f>IFERROR(__xludf.DUMMYFUNCTION("""COMPUTED_VALUE"""),44362.52543981482)</f>
        <v>44362.52544</v>
      </c>
      <c r="D436" s="4" t="str">
        <f>IFERROR(__xludf.DUMMYFUNCTION("""COMPUTED_VALUE"""),"RESOLVED")</f>
        <v>RESOLVED</v>
      </c>
      <c r="E436" s="6">
        <f>IFERROR(__xludf.DUMMYFUNCTION("""COMPUTED_VALUE"""),44379.31211805555)</f>
        <v>44379.31212</v>
      </c>
      <c r="F436" s="4" t="str">
        <f>IFERROR(__xludf.DUMMYFUNCTION("""COMPUTED_VALUE""")," ---")</f>
        <v> ---</v>
      </c>
      <c r="G436" s="4" t="str">
        <f>IFERROR(__xludf.DUMMYFUNCTION("""COMPUTED_VALUE"""),"SUSE Linux Enterprise Server 15 SP3")</f>
        <v>SUSE Linux Enterprise Server 15 SP3</v>
      </c>
      <c r="H436" s="7" t="str">
        <f t="shared" si="2"/>
        <v>NO</v>
      </c>
      <c r="I436" s="7" t="str">
        <f t="shared" si="3"/>
        <v>NO</v>
      </c>
    </row>
    <row r="437">
      <c r="A437" s="4">
        <f>IFERROR(__xludf.DUMMYFUNCTION("""COMPUTED_VALUE"""),1187344.0)</f>
        <v>1187344</v>
      </c>
      <c r="B437" s="4" t="str">
        <f>IFERROR(__xludf.DUMMYFUNCTION("""COMPUTED_VALUE"""),"P5 - None")</f>
        <v>P5 - None</v>
      </c>
      <c r="C437" s="5">
        <f>IFERROR(__xludf.DUMMYFUNCTION("""COMPUTED_VALUE"""),44362.52564814815)</f>
        <v>44362.52565</v>
      </c>
      <c r="D437" s="4" t="str">
        <f>IFERROR(__xludf.DUMMYFUNCTION("""COMPUTED_VALUE"""),"RESOLVED")</f>
        <v>RESOLVED</v>
      </c>
      <c r="E437" s="6">
        <f>IFERROR(__xludf.DUMMYFUNCTION("""COMPUTED_VALUE"""),44384.8969212963)</f>
        <v>44384.89692</v>
      </c>
      <c r="F437" s="4" t="str">
        <f>IFERROR(__xludf.DUMMYFUNCTION("""COMPUTED_VALUE""")," ---")</f>
        <v> ---</v>
      </c>
      <c r="G437" s="4" t="str">
        <f>IFERROR(__xludf.DUMMYFUNCTION("""COMPUTED_VALUE"""),"SUSE Linux Enterprise Server 15 SP3")</f>
        <v>SUSE Linux Enterprise Server 15 SP3</v>
      </c>
      <c r="H437" s="7" t="str">
        <f t="shared" si="2"/>
        <v>NO</v>
      </c>
      <c r="I437" s="7" t="str">
        <f t="shared" si="3"/>
        <v>NO</v>
      </c>
    </row>
    <row r="438">
      <c r="A438" s="4">
        <f>IFERROR(__xludf.DUMMYFUNCTION("""COMPUTED_VALUE"""),1187345.0)</f>
        <v>1187345</v>
      </c>
      <c r="B438" s="4" t="str">
        <f>IFERROR(__xludf.DUMMYFUNCTION("""COMPUTED_VALUE"""),"P5 - None")</f>
        <v>P5 - None</v>
      </c>
      <c r="C438" s="5">
        <f>IFERROR(__xludf.DUMMYFUNCTION("""COMPUTED_VALUE"""),44362.52584490741)</f>
        <v>44362.52584</v>
      </c>
      <c r="D438" s="4" t="str">
        <f>IFERROR(__xludf.DUMMYFUNCTION("""COMPUTED_VALUE"""),"RESOLVED")</f>
        <v>RESOLVED</v>
      </c>
      <c r="E438" s="6">
        <f>IFERROR(__xludf.DUMMYFUNCTION("""COMPUTED_VALUE"""),44384.89699074074)</f>
        <v>44384.89699</v>
      </c>
      <c r="F438" s="4" t="str">
        <f>IFERROR(__xludf.DUMMYFUNCTION("""COMPUTED_VALUE""")," ---")</f>
        <v> ---</v>
      </c>
      <c r="G438" s="4" t="str">
        <f>IFERROR(__xludf.DUMMYFUNCTION("""COMPUTED_VALUE"""),"SUSE Linux Enterprise Server 15 SP3")</f>
        <v>SUSE Linux Enterprise Server 15 SP3</v>
      </c>
      <c r="H438" s="7" t="str">
        <f t="shared" si="2"/>
        <v>NO</v>
      </c>
      <c r="I438" s="7" t="str">
        <f t="shared" si="3"/>
        <v>NO</v>
      </c>
    </row>
    <row r="439">
      <c r="A439" s="4">
        <f>IFERROR(__xludf.DUMMYFUNCTION("""COMPUTED_VALUE"""),1187346.0)</f>
        <v>1187346</v>
      </c>
      <c r="B439" s="4" t="str">
        <f>IFERROR(__xludf.DUMMYFUNCTION("""COMPUTED_VALUE"""),"P5 - None")</f>
        <v>P5 - None</v>
      </c>
      <c r="C439" s="5">
        <f>IFERROR(__xludf.DUMMYFUNCTION("""COMPUTED_VALUE"""),44362.526041666664)</f>
        <v>44362.52604</v>
      </c>
      <c r="D439" s="4" t="str">
        <f>IFERROR(__xludf.DUMMYFUNCTION("""COMPUTED_VALUE"""),"RESOLVED")</f>
        <v>RESOLVED</v>
      </c>
      <c r="E439" s="6">
        <f>IFERROR(__xludf.DUMMYFUNCTION("""COMPUTED_VALUE"""),44384.89707175926)</f>
        <v>44384.89707</v>
      </c>
      <c r="F439" s="4" t="str">
        <f>IFERROR(__xludf.DUMMYFUNCTION("""COMPUTED_VALUE""")," ---")</f>
        <v> ---</v>
      </c>
      <c r="G439" s="4" t="str">
        <f>IFERROR(__xludf.DUMMYFUNCTION("""COMPUTED_VALUE"""),"SUSE Linux Enterprise Server 15 SP3")</f>
        <v>SUSE Linux Enterprise Server 15 SP3</v>
      </c>
      <c r="H439" s="7" t="str">
        <f t="shared" si="2"/>
        <v>NO</v>
      </c>
      <c r="I439" s="7" t="str">
        <f t="shared" si="3"/>
        <v>NO</v>
      </c>
    </row>
    <row r="440">
      <c r="A440" s="4">
        <f>IFERROR(__xludf.DUMMYFUNCTION("""COMPUTED_VALUE"""),1187347.0)</f>
        <v>1187347</v>
      </c>
      <c r="B440" s="4" t="str">
        <f>IFERROR(__xludf.DUMMYFUNCTION("""COMPUTED_VALUE"""),"P5 - None")</f>
        <v>P5 - None</v>
      </c>
      <c r="C440" s="5">
        <f>IFERROR(__xludf.DUMMYFUNCTION("""COMPUTED_VALUE"""),44362.52627314815)</f>
        <v>44362.52627</v>
      </c>
      <c r="D440" s="4" t="str">
        <f>IFERROR(__xludf.DUMMYFUNCTION("""COMPUTED_VALUE"""),"RESOLVED")</f>
        <v>RESOLVED</v>
      </c>
      <c r="E440" s="6">
        <f>IFERROR(__xludf.DUMMYFUNCTION("""COMPUTED_VALUE"""),44384.897141203706)</f>
        <v>44384.89714</v>
      </c>
      <c r="F440" s="4" t="str">
        <f>IFERROR(__xludf.DUMMYFUNCTION("""COMPUTED_VALUE""")," ---")</f>
        <v> ---</v>
      </c>
      <c r="G440" s="4" t="str">
        <f>IFERROR(__xludf.DUMMYFUNCTION("""COMPUTED_VALUE"""),"SUSE Linux Enterprise Server 15 SP3")</f>
        <v>SUSE Linux Enterprise Server 15 SP3</v>
      </c>
      <c r="H440" s="7" t="str">
        <f t="shared" si="2"/>
        <v>NO</v>
      </c>
      <c r="I440" s="7" t="str">
        <f t="shared" si="3"/>
        <v>NO</v>
      </c>
    </row>
    <row r="441">
      <c r="A441" s="4">
        <f>IFERROR(__xludf.DUMMYFUNCTION("""COMPUTED_VALUE"""),1187348.0)</f>
        <v>1187348</v>
      </c>
      <c r="B441" s="4" t="str">
        <f>IFERROR(__xludf.DUMMYFUNCTION("""COMPUTED_VALUE"""),"P5 - None")</f>
        <v>P5 - None</v>
      </c>
      <c r="C441" s="5">
        <f>IFERROR(__xludf.DUMMYFUNCTION("""COMPUTED_VALUE"""),44362.52646990741)</f>
        <v>44362.52647</v>
      </c>
      <c r="D441" s="4" t="str">
        <f>IFERROR(__xludf.DUMMYFUNCTION("""COMPUTED_VALUE"""),"RESOLVED")</f>
        <v>RESOLVED</v>
      </c>
      <c r="E441" s="6">
        <f>IFERROR(__xludf.DUMMYFUNCTION("""COMPUTED_VALUE"""),44384.897210648145)</f>
        <v>44384.89721</v>
      </c>
      <c r="F441" s="4" t="str">
        <f>IFERROR(__xludf.DUMMYFUNCTION("""COMPUTED_VALUE""")," ---")</f>
        <v> ---</v>
      </c>
      <c r="G441" s="4" t="str">
        <f>IFERROR(__xludf.DUMMYFUNCTION("""COMPUTED_VALUE"""),"SUSE Linux Enterprise Server 15 SP3")</f>
        <v>SUSE Linux Enterprise Server 15 SP3</v>
      </c>
      <c r="H441" s="7" t="str">
        <f t="shared" si="2"/>
        <v>NO</v>
      </c>
      <c r="I441" s="7" t="str">
        <f t="shared" si="3"/>
        <v>NO</v>
      </c>
    </row>
    <row r="442">
      <c r="A442" s="4">
        <f>IFERROR(__xludf.DUMMYFUNCTION("""COMPUTED_VALUE"""),1187349.0)</f>
        <v>1187349</v>
      </c>
      <c r="B442" s="4" t="str">
        <f>IFERROR(__xludf.DUMMYFUNCTION("""COMPUTED_VALUE"""),"P5 - None")</f>
        <v>P5 - None</v>
      </c>
      <c r="C442" s="5">
        <f>IFERROR(__xludf.DUMMYFUNCTION("""COMPUTED_VALUE"""),44362.526655092595)</f>
        <v>44362.52666</v>
      </c>
      <c r="D442" s="4" t="str">
        <f>IFERROR(__xludf.DUMMYFUNCTION("""COMPUTED_VALUE"""),"RESOLVED")</f>
        <v>RESOLVED</v>
      </c>
      <c r="E442" s="6">
        <f>IFERROR(__xludf.DUMMYFUNCTION("""COMPUTED_VALUE"""),44384.89728009259)</f>
        <v>44384.89728</v>
      </c>
      <c r="F442" s="4" t="str">
        <f>IFERROR(__xludf.DUMMYFUNCTION("""COMPUTED_VALUE""")," ---")</f>
        <v> ---</v>
      </c>
      <c r="G442" s="4" t="str">
        <f>IFERROR(__xludf.DUMMYFUNCTION("""COMPUTED_VALUE"""),"SUSE Linux Enterprise Server 15 SP3")</f>
        <v>SUSE Linux Enterprise Server 15 SP3</v>
      </c>
      <c r="H442" s="7" t="str">
        <f t="shared" si="2"/>
        <v>NO</v>
      </c>
      <c r="I442" s="7" t="str">
        <f t="shared" si="3"/>
        <v>NO</v>
      </c>
    </row>
    <row r="443">
      <c r="A443" s="4">
        <f>IFERROR(__xludf.DUMMYFUNCTION("""COMPUTED_VALUE"""),1187350.0)</f>
        <v>1187350</v>
      </c>
      <c r="B443" s="4" t="str">
        <f>IFERROR(__xludf.DUMMYFUNCTION("""COMPUTED_VALUE"""),"P5 - None")</f>
        <v>P5 - None</v>
      </c>
      <c r="C443" s="5">
        <f>IFERROR(__xludf.DUMMYFUNCTION("""COMPUTED_VALUE"""),44362.52685185185)</f>
        <v>44362.52685</v>
      </c>
      <c r="D443" s="4" t="str">
        <f>IFERROR(__xludf.DUMMYFUNCTION("""COMPUTED_VALUE"""),"RESOLVED")</f>
        <v>RESOLVED</v>
      </c>
      <c r="E443" s="6">
        <f>IFERROR(__xludf.DUMMYFUNCTION("""COMPUTED_VALUE"""),44384.89734953704)</f>
        <v>44384.89735</v>
      </c>
      <c r="F443" s="4" t="str">
        <f>IFERROR(__xludf.DUMMYFUNCTION("""COMPUTED_VALUE""")," ---")</f>
        <v> ---</v>
      </c>
      <c r="G443" s="4" t="str">
        <f>IFERROR(__xludf.DUMMYFUNCTION("""COMPUTED_VALUE"""),"SUSE Linux Enterprise Server 15 SP3")</f>
        <v>SUSE Linux Enterprise Server 15 SP3</v>
      </c>
      <c r="H443" s="7" t="str">
        <f t="shared" si="2"/>
        <v>NO</v>
      </c>
      <c r="I443" s="7" t="str">
        <f t="shared" si="3"/>
        <v>NO</v>
      </c>
    </row>
    <row r="444">
      <c r="A444" s="4">
        <f>IFERROR(__xludf.DUMMYFUNCTION("""COMPUTED_VALUE"""),1187351.0)</f>
        <v>1187351</v>
      </c>
      <c r="B444" s="4" t="str">
        <f>IFERROR(__xludf.DUMMYFUNCTION("""COMPUTED_VALUE"""),"P5 - None")</f>
        <v>P5 - None</v>
      </c>
      <c r="C444" s="5">
        <f>IFERROR(__xludf.DUMMYFUNCTION("""COMPUTED_VALUE"""),44362.52704861111)</f>
        <v>44362.52705</v>
      </c>
      <c r="D444" s="4" t="str">
        <f>IFERROR(__xludf.DUMMYFUNCTION("""COMPUTED_VALUE"""),"RESOLVED")</f>
        <v>RESOLVED</v>
      </c>
      <c r="E444" s="6">
        <f>IFERROR(__xludf.DUMMYFUNCTION("""COMPUTED_VALUE"""),44384.89741898148)</f>
        <v>44384.89742</v>
      </c>
      <c r="F444" s="4" t="str">
        <f>IFERROR(__xludf.DUMMYFUNCTION("""COMPUTED_VALUE""")," ---")</f>
        <v> ---</v>
      </c>
      <c r="G444" s="4" t="str">
        <f>IFERROR(__xludf.DUMMYFUNCTION("""COMPUTED_VALUE"""),"SUSE Linux Enterprise Server 15 SP3")</f>
        <v>SUSE Linux Enterprise Server 15 SP3</v>
      </c>
      <c r="H444" s="7" t="str">
        <f t="shared" si="2"/>
        <v>NO</v>
      </c>
      <c r="I444" s="7" t="str">
        <f t="shared" si="3"/>
        <v>NO</v>
      </c>
    </row>
    <row r="445">
      <c r="A445" s="4">
        <f>IFERROR(__xludf.DUMMYFUNCTION("""COMPUTED_VALUE"""),1179947.0)</f>
        <v>1179947</v>
      </c>
      <c r="B445" s="4" t="str">
        <f>IFERROR(__xludf.DUMMYFUNCTION("""COMPUTED_VALUE"""),"P5 - None")</f>
        <v>P5 - None</v>
      </c>
      <c r="C445" s="5">
        <f>IFERROR(__xludf.DUMMYFUNCTION("""COMPUTED_VALUE"""),44176.452997685185)</f>
        <v>44176.453</v>
      </c>
      <c r="D445" s="4" t="str">
        <f>IFERROR(__xludf.DUMMYFUNCTION("""COMPUTED_VALUE"""),"RESOLVED")</f>
        <v>RESOLVED</v>
      </c>
      <c r="E445" s="6">
        <f>IFERROR(__xludf.DUMMYFUNCTION("""COMPUTED_VALUE"""),44176.48075231481)</f>
        <v>44176.48075</v>
      </c>
      <c r="F445" s="4" t="str">
        <f>IFERROR(__xludf.DUMMYFUNCTION("""COMPUTED_VALUE""")," ---")</f>
        <v> ---</v>
      </c>
      <c r="G445" s="4" t="str">
        <f>IFERROR(__xludf.DUMMYFUNCTION("""COMPUTED_VALUE"""),"SUSE Linux Enterprise Server 15 SP3")</f>
        <v>SUSE Linux Enterprise Server 15 SP3</v>
      </c>
      <c r="H445" s="7" t="str">
        <f t="shared" si="2"/>
        <v>NO</v>
      </c>
      <c r="I445" s="7" t="str">
        <f t="shared" si="3"/>
        <v>NO</v>
      </c>
    </row>
    <row r="446">
      <c r="A446" s="4">
        <f>IFERROR(__xludf.DUMMYFUNCTION("""COMPUTED_VALUE"""),1181089.0)</f>
        <v>1181089</v>
      </c>
      <c r="B446" s="4" t="str">
        <f>IFERROR(__xludf.DUMMYFUNCTION("""COMPUTED_VALUE"""),"P5 - None")</f>
        <v>P5 - None</v>
      </c>
      <c r="C446" s="5">
        <f>IFERROR(__xludf.DUMMYFUNCTION("""COMPUTED_VALUE"""),44215.335868055554)</f>
        <v>44215.33587</v>
      </c>
      <c r="D446" s="4" t="str">
        <f>IFERROR(__xludf.DUMMYFUNCTION("""COMPUTED_VALUE"""),"RESOLVED")</f>
        <v>RESOLVED</v>
      </c>
      <c r="E446" s="6">
        <f>IFERROR(__xludf.DUMMYFUNCTION("""COMPUTED_VALUE"""),44365.260416666664)</f>
        <v>44365.26042</v>
      </c>
      <c r="F446" s="4" t="str">
        <f>IFERROR(__xludf.DUMMYFUNCTION("""COMPUTED_VALUE"""),"Yes")</f>
        <v>Yes</v>
      </c>
      <c r="G446" s="4" t="str">
        <f>IFERROR(__xludf.DUMMYFUNCTION("""COMPUTED_VALUE"""),"SUSE Linux Enterprise Server 15 SP3")</f>
        <v>SUSE Linux Enterprise Server 15 SP3</v>
      </c>
      <c r="H446" s="7" t="str">
        <f t="shared" si="2"/>
        <v>NO</v>
      </c>
      <c r="I446" s="7" t="str">
        <f t="shared" si="3"/>
        <v>NO</v>
      </c>
    </row>
    <row r="447">
      <c r="A447" s="4">
        <f>IFERROR(__xludf.DUMMYFUNCTION("""COMPUTED_VALUE"""),1181693.0)</f>
        <v>1181693</v>
      </c>
      <c r="B447" s="4" t="str">
        <f>IFERROR(__xludf.DUMMYFUNCTION("""COMPUTED_VALUE"""),"P5 - None")</f>
        <v>P5 - None</v>
      </c>
      <c r="C447" s="5">
        <f>IFERROR(__xludf.DUMMYFUNCTION("""COMPUTED_VALUE"""),44229.45034722222)</f>
        <v>44229.45035</v>
      </c>
      <c r="D447" s="4" t="str">
        <f>IFERROR(__xludf.DUMMYFUNCTION("""COMPUTED_VALUE"""),"RESOLVED")</f>
        <v>RESOLVED</v>
      </c>
      <c r="E447" s="6">
        <f>IFERROR(__xludf.DUMMYFUNCTION("""COMPUTED_VALUE"""),44365.266076388885)</f>
        <v>44365.26608</v>
      </c>
      <c r="F447" s="4" t="str">
        <f>IFERROR(__xludf.DUMMYFUNCTION("""COMPUTED_VALUE""")," ---")</f>
        <v> ---</v>
      </c>
      <c r="G447" s="4" t="str">
        <f>IFERROR(__xludf.DUMMYFUNCTION("""COMPUTED_VALUE"""),"SUSE Linux Enterprise Server 15 SP3")</f>
        <v>SUSE Linux Enterprise Server 15 SP3</v>
      </c>
      <c r="H447" s="7" t="str">
        <f t="shared" si="2"/>
        <v>NO</v>
      </c>
      <c r="I447" s="7" t="str">
        <f t="shared" si="3"/>
        <v>NO</v>
      </c>
    </row>
    <row r="448">
      <c r="A448" s="4">
        <f>IFERROR(__xludf.DUMMYFUNCTION("""COMPUTED_VALUE"""),1182018.0)</f>
        <v>1182018</v>
      </c>
      <c r="B448" s="4" t="str">
        <f>IFERROR(__xludf.DUMMYFUNCTION("""COMPUTED_VALUE"""),"P5 - None")</f>
        <v>P5 - None</v>
      </c>
      <c r="C448" s="5">
        <f>IFERROR(__xludf.DUMMYFUNCTION("""COMPUTED_VALUE"""),44236.696539351855)</f>
        <v>44236.69654</v>
      </c>
      <c r="D448" s="4" t="str">
        <f>IFERROR(__xludf.DUMMYFUNCTION("""COMPUTED_VALUE"""),"RESOLVED")</f>
        <v>RESOLVED</v>
      </c>
      <c r="E448" s="6">
        <f>IFERROR(__xludf.DUMMYFUNCTION("""COMPUTED_VALUE"""),44365.26284722222)</f>
        <v>44365.26285</v>
      </c>
      <c r="F448" s="4" t="str">
        <f>IFERROR(__xludf.DUMMYFUNCTION("""COMPUTED_VALUE""")," ---")</f>
        <v> ---</v>
      </c>
      <c r="G448" s="4" t="str">
        <f>IFERROR(__xludf.DUMMYFUNCTION("""COMPUTED_VALUE"""),"PUBLIC SUSE Linux Enterprise Server 15 SP3")</f>
        <v>PUBLIC SUSE Linux Enterprise Server 15 SP3</v>
      </c>
      <c r="H448" s="7" t="str">
        <f t="shared" si="2"/>
        <v>NO</v>
      </c>
      <c r="I448" s="7" t="str">
        <f t="shared" si="3"/>
        <v>NO</v>
      </c>
    </row>
    <row r="449">
      <c r="A449" s="4">
        <f>IFERROR(__xludf.DUMMYFUNCTION("""COMPUTED_VALUE"""),1182600.0)</f>
        <v>1182600</v>
      </c>
      <c r="B449" s="4" t="str">
        <f>IFERROR(__xludf.DUMMYFUNCTION("""COMPUTED_VALUE"""),"P5 - None")</f>
        <v>P5 - None</v>
      </c>
      <c r="C449" s="5">
        <f>IFERROR(__xludf.DUMMYFUNCTION("""COMPUTED_VALUE"""),44250.409363425926)</f>
        <v>44250.40936</v>
      </c>
      <c r="D449" s="4" t="str">
        <f>IFERROR(__xludf.DUMMYFUNCTION("""COMPUTED_VALUE"""),"RESOLVED")</f>
        <v>RESOLVED</v>
      </c>
      <c r="E449" s="6">
        <f>IFERROR(__xludf.DUMMYFUNCTION("""COMPUTED_VALUE"""),44250.56033564815)</f>
        <v>44250.56034</v>
      </c>
      <c r="F449" s="4" t="str">
        <f>IFERROR(__xludf.DUMMYFUNCTION("""COMPUTED_VALUE""")," ---")</f>
        <v> ---</v>
      </c>
      <c r="G449" s="4" t="str">
        <f>IFERROR(__xludf.DUMMYFUNCTION("""COMPUTED_VALUE"""),"SUSE Linux Enterprise Server 15 SP3")</f>
        <v>SUSE Linux Enterprise Server 15 SP3</v>
      </c>
      <c r="H449" s="7" t="str">
        <f t="shared" si="2"/>
        <v>NO</v>
      </c>
      <c r="I449" s="7" t="str">
        <f t="shared" si="3"/>
        <v>NO</v>
      </c>
    </row>
    <row r="450">
      <c r="A450" s="4">
        <f>IFERROR(__xludf.DUMMYFUNCTION("""COMPUTED_VALUE"""),1183537.0)</f>
        <v>1183537</v>
      </c>
      <c r="B450" s="4" t="str">
        <f>IFERROR(__xludf.DUMMYFUNCTION("""COMPUTED_VALUE"""),"P5 - None")</f>
        <v>P5 - None</v>
      </c>
      <c r="C450" s="5">
        <f>IFERROR(__xludf.DUMMYFUNCTION("""COMPUTED_VALUE"""),44270.6316087963)</f>
        <v>44270.63161</v>
      </c>
      <c r="D450" s="4" t="str">
        <f>IFERROR(__xludf.DUMMYFUNCTION("""COMPUTED_VALUE"""),"RESOLVED")</f>
        <v>RESOLVED</v>
      </c>
      <c r="E450" s="6">
        <f>IFERROR(__xludf.DUMMYFUNCTION("""COMPUTED_VALUE"""),44270.64550925926)</f>
        <v>44270.64551</v>
      </c>
      <c r="F450" s="4" t="str">
        <f>IFERROR(__xludf.DUMMYFUNCTION("""COMPUTED_VALUE""")," ---")</f>
        <v> ---</v>
      </c>
      <c r="G450" s="4" t="str">
        <f>IFERROR(__xludf.DUMMYFUNCTION("""COMPUTED_VALUE"""),"SUSE Linux Enterprise Server 15 SP3")</f>
        <v>SUSE Linux Enterprise Server 15 SP3</v>
      </c>
      <c r="H450" s="7" t="str">
        <f t="shared" si="2"/>
        <v>NO</v>
      </c>
      <c r="I450" s="7" t="str">
        <f t="shared" si="3"/>
        <v>NO</v>
      </c>
    </row>
    <row r="451">
      <c r="A451" s="4">
        <f>IFERROR(__xludf.DUMMYFUNCTION("""COMPUTED_VALUE"""),1184551.0)</f>
        <v>1184551</v>
      </c>
      <c r="B451" s="4" t="str">
        <f>IFERROR(__xludf.DUMMYFUNCTION("""COMPUTED_VALUE"""),"P5 - None")</f>
        <v>P5 - None</v>
      </c>
      <c r="C451" s="5">
        <f>IFERROR(__xludf.DUMMYFUNCTION("""COMPUTED_VALUE"""),44295.42077546296)</f>
        <v>44295.42078</v>
      </c>
      <c r="D451" s="4" t="str">
        <f>IFERROR(__xludf.DUMMYFUNCTION("""COMPUTED_VALUE"""),"RESOLVED")</f>
        <v>RESOLVED</v>
      </c>
      <c r="E451" s="6">
        <f>IFERROR(__xludf.DUMMYFUNCTION("""COMPUTED_VALUE"""),44295.63118055555)</f>
        <v>44295.63118</v>
      </c>
      <c r="F451" s="4" t="str">
        <f>IFERROR(__xludf.DUMMYFUNCTION("""COMPUTED_VALUE""")," ---")</f>
        <v> ---</v>
      </c>
      <c r="G451" s="4" t="str">
        <f>IFERROR(__xludf.DUMMYFUNCTION("""COMPUTED_VALUE"""),"PUBLIC SUSE Linux Enterprise Server 15 SP3")</f>
        <v>PUBLIC SUSE Linux Enterprise Server 15 SP3</v>
      </c>
      <c r="H451" s="7" t="str">
        <f t="shared" si="2"/>
        <v>NO</v>
      </c>
      <c r="I451" s="7" t="str">
        <f t="shared" si="3"/>
        <v>NO</v>
      </c>
    </row>
    <row r="452">
      <c r="A452" s="4">
        <f>IFERROR(__xludf.DUMMYFUNCTION("""COMPUTED_VALUE"""),1186123.0)</f>
        <v>1186123</v>
      </c>
      <c r="B452" s="4" t="str">
        <f>IFERROR(__xludf.DUMMYFUNCTION("""COMPUTED_VALUE"""),"P5 - None")</f>
        <v>P5 - None</v>
      </c>
      <c r="C452" s="5">
        <f>IFERROR(__xludf.DUMMYFUNCTION("""COMPUTED_VALUE"""),44333.477013888885)</f>
        <v>44333.47701</v>
      </c>
      <c r="D452" s="4" t="str">
        <f>IFERROR(__xludf.DUMMYFUNCTION("""COMPUTED_VALUE"""),"RESOLVED")</f>
        <v>RESOLVED</v>
      </c>
      <c r="E452" s="6">
        <f>IFERROR(__xludf.DUMMYFUNCTION("""COMPUTED_VALUE"""),44365.26519675926)</f>
        <v>44365.2652</v>
      </c>
      <c r="F452" s="4" t="str">
        <f>IFERROR(__xludf.DUMMYFUNCTION("""COMPUTED_VALUE""")," ---")</f>
        <v> ---</v>
      </c>
      <c r="G452" s="4" t="str">
        <f>IFERROR(__xludf.DUMMYFUNCTION("""COMPUTED_VALUE"""),"SUSE Linux Enterprise Server 15 SP3")</f>
        <v>SUSE Linux Enterprise Server 15 SP3</v>
      </c>
      <c r="H452" s="7" t="str">
        <f t="shared" si="2"/>
        <v>NO</v>
      </c>
      <c r="I452" s="7" t="str">
        <f t="shared" si="3"/>
        <v>NO</v>
      </c>
    </row>
    <row r="453">
      <c r="A453" s="4">
        <f>IFERROR(__xludf.DUMMYFUNCTION("""COMPUTED_VALUE"""),1186142.0)</f>
        <v>1186142</v>
      </c>
      <c r="B453" s="4" t="str">
        <f>IFERROR(__xludf.DUMMYFUNCTION("""COMPUTED_VALUE"""),"P5 - None")</f>
        <v>P5 - None</v>
      </c>
      <c r="C453" s="5">
        <f>IFERROR(__xludf.DUMMYFUNCTION("""COMPUTED_VALUE"""),44333.707974537036)</f>
        <v>44333.70797</v>
      </c>
      <c r="D453" s="4" t="str">
        <f>IFERROR(__xludf.DUMMYFUNCTION("""COMPUTED_VALUE"""),"RESOLVED")</f>
        <v>RESOLVED</v>
      </c>
      <c r="E453" s="6">
        <f>IFERROR(__xludf.DUMMYFUNCTION("""COMPUTED_VALUE"""),44334.22105324074)</f>
        <v>44334.22105</v>
      </c>
      <c r="F453" s="4" t="str">
        <f>IFERROR(__xludf.DUMMYFUNCTION("""COMPUTED_VALUE""")," ---")</f>
        <v> ---</v>
      </c>
      <c r="G453" s="4" t="str">
        <f>IFERROR(__xludf.DUMMYFUNCTION("""COMPUTED_VALUE"""),"SUSE Linux Enterprise Server 15 SP3")</f>
        <v>SUSE Linux Enterprise Server 15 SP3</v>
      </c>
      <c r="H453" s="7" t="str">
        <f t="shared" si="2"/>
        <v>NO</v>
      </c>
      <c r="I453" s="7" t="str">
        <f t="shared" si="3"/>
        <v>NO</v>
      </c>
    </row>
    <row r="454">
      <c r="A454" s="4">
        <f>IFERROR(__xludf.DUMMYFUNCTION("""COMPUTED_VALUE"""),1186941.0)</f>
        <v>1186941</v>
      </c>
      <c r="B454" s="4" t="str">
        <f>IFERROR(__xludf.DUMMYFUNCTION("""COMPUTED_VALUE"""),"P5 - None")</f>
        <v>P5 - None</v>
      </c>
      <c r="C454" s="5">
        <f>IFERROR(__xludf.DUMMYFUNCTION("""COMPUTED_VALUE"""),44354.619467592594)</f>
        <v>44354.61947</v>
      </c>
      <c r="D454" s="4" t="str">
        <f>IFERROR(__xludf.DUMMYFUNCTION("""COMPUTED_VALUE"""),"RESOLVED")</f>
        <v>RESOLVED</v>
      </c>
      <c r="E454" s="6">
        <f>IFERROR(__xludf.DUMMYFUNCTION("""COMPUTED_VALUE"""),44356.52716435185)</f>
        <v>44356.52716</v>
      </c>
      <c r="F454" s="4" t="str">
        <f>IFERROR(__xludf.DUMMYFUNCTION("""COMPUTED_VALUE""")," ---")</f>
        <v> ---</v>
      </c>
      <c r="G454" s="4" t="str">
        <f>IFERROR(__xludf.DUMMYFUNCTION("""COMPUTED_VALUE"""),"SUSE Linux Enterprise Server 15 SP3")</f>
        <v>SUSE Linux Enterprise Server 15 SP3</v>
      </c>
      <c r="H454" s="7" t="str">
        <f t="shared" si="2"/>
        <v>NO</v>
      </c>
      <c r="I454" s="7" t="str">
        <f t="shared" si="3"/>
        <v>NO</v>
      </c>
    </row>
    <row r="455">
      <c r="A455" s="4">
        <f>IFERROR(__xludf.DUMMYFUNCTION("""COMPUTED_VALUE"""),1187277.0)</f>
        <v>1187277</v>
      </c>
      <c r="B455" s="4" t="str">
        <f>IFERROR(__xludf.DUMMYFUNCTION("""COMPUTED_VALUE"""),"P5 - None")</f>
        <v>P5 - None</v>
      </c>
      <c r="C455" s="5">
        <f>IFERROR(__xludf.DUMMYFUNCTION("""COMPUTED_VALUE"""),44361.279652777775)</f>
        <v>44361.27965</v>
      </c>
      <c r="D455" s="4" t="str">
        <f>IFERROR(__xludf.DUMMYFUNCTION("""COMPUTED_VALUE"""),"RESOLVED")</f>
        <v>RESOLVED</v>
      </c>
      <c r="E455" s="6">
        <f>IFERROR(__xludf.DUMMYFUNCTION("""COMPUTED_VALUE"""),44382.58699074074)</f>
        <v>44382.58699</v>
      </c>
      <c r="F455" s="4" t="str">
        <f>IFERROR(__xludf.DUMMYFUNCTION("""COMPUTED_VALUE""")," ---")</f>
        <v> ---</v>
      </c>
      <c r="G455" s="4" t="str">
        <f>IFERROR(__xludf.DUMMYFUNCTION("""COMPUTED_VALUE"""),"SUSE Linux Enterprise Server 15 SP3")</f>
        <v>SUSE Linux Enterprise Server 15 SP3</v>
      </c>
      <c r="H455" s="7" t="str">
        <f t="shared" si="2"/>
        <v>NO</v>
      </c>
      <c r="I455" s="7" t="str">
        <f t="shared" si="3"/>
        <v>NO</v>
      </c>
    </row>
    <row r="456">
      <c r="A456" s="4">
        <f>IFERROR(__xludf.DUMMYFUNCTION("""COMPUTED_VALUE"""),1187483.0)</f>
        <v>1187483</v>
      </c>
      <c r="B456" s="4" t="str">
        <f>IFERROR(__xludf.DUMMYFUNCTION("""COMPUTED_VALUE"""),"P5 - None")</f>
        <v>P5 - None</v>
      </c>
      <c r="C456" s="5">
        <f>IFERROR(__xludf.DUMMYFUNCTION("""COMPUTED_VALUE"""),44365.32665509259)</f>
        <v>44365.32666</v>
      </c>
      <c r="D456" s="4" t="str">
        <f>IFERROR(__xludf.DUMMYFUNCTION("""COMPUTED_VALUE"""),"RESOLVED")</f>
        <v>RESOLVED</v>
      </c>
      <c r="E456" s="6">
        <f>IFERROR(__xludf.DUMMYFUNCTION("""COMPUTED_VALUE"""),44482.55978009259)</f>
        <v>44482.55978</v>
      </c>
      <c r="F456" s="4" t="str">
        <f>IFERROR(__xludf.DUMMYFUNCTION("""COMPUTED_VALUE""")," ---")</f>
        <v> ---</v>
      </c>
      <c r="G456" s="4" t="str">
        <f>IFERROR(__xludf.DUMMYFUNCTION("""COMPUTED_VALUE"""),"SUSE Linux Enterprise Server 15 SP3")</f>
        <v>SUSE Linux Enterprise Server 15 SP3</v>
      </c>
      <c r="H456" s="7" t="str">
        <f t="shared" si="2"/>
        <v>NO</v>
      </c>
      <c r="I456" s="7" t="str">
        <f t="shared" si="3"/>
        <v>NO</v>
      </c>
    </row>
    <row r="457">
      <c r="A457" s="4">
        <f>IFERROR(__xludf.DUMMYFUNCTION("""COMPUTED_VALUE"""),1187773.0)</f>
        <v>1187773</v>
      </c>
      <c r="B457" s="4" t="str">
        <f>IFERROR(__xludf.DUMMYFUNCTION("""COMPUTED_VALUE"""),"P5 - None")</f>
        <v>P5 - None</v>
      </c>
      <c r="C457" s="5">
        <f>IFERROR(__xludf.DUMMYFUNCTION("""COMPUTED_VALUE"""),44375.571493055555)</f>
        <v>44375.57149</v>
      </c>
      <c r="D457" s="4" t="str">
        <f>IFERROR(__xludf.DUMMYFUNCTION("""COMPUTED_VALUE"""),"RESOLVED")</f>
        <v>RESOLVED</v>
      </c>
      <c r="E457" s="6">
        <f>IFERROR(__xludf.DUMMYFUNCTION("""COMPUTED_VALUE"""),44376.33399305555)</f>
        <v>44376.33399</v>
      </c>
      <c r="F457" s="4" t="str">
        <f>IFERROR(__xludf.DUMMYFUNCTION("""COMPUTED_VALUE""")," ---")</f>
        <v> ---</v>
      </c>
      <c r="G457" s="4" t="str">
        <f>IFERROR(__xludf.DUMMYFUNCTION("""COMPUTED_VALUE"""),"SUSE Linux Enterprise Server 15 SP3")</f>
        <v>SUSE Linux Enterprise Server 15 SP3</v>
      </c>
      <c r="H457" s="7" t="str">
        <f t="shared" si="2"/>
        <v>NO</v>
      </c>
      <c r="I457" s="7" t="str">
        <f t="shared" si="3"/>
        <v>NO</v>
      </c>
    </row>
    <row r="458">
      <c r="A458" s="4">
        <f>IFERROR(__xludf.DUMMYFUNCTION("""COMPUTED_VALUE"""),1186501.0)</f>
        <v>1186501</v>
      </c>
      <c r="B458" s="4" t="str">
        <f>IFERROR(__xludf.DUMMYFUNCTION("""COMPUTED_VALUE"""),"P5 - None")</f>
        <v>P5 - None</v>
      </c>
      <c r="C458" s="5">
        <f>IFERROR(__xludf.DUMMYFUNCTION("""COMPUTED_VALUE"""),44343.54304398148)</f>
        <v>44343.54304</v>
      </c>
      <c r="D458" s="4" t="str">
        <f>IFERROR(__xludf.DUMMYFUNCTION("""COMPUTED_VALUE"""),"RESOLVED")</f>
        <v>RESOLVED</v>
      </c>
      <c r="E458" s="6">
        <f>IFERROR(__xludf.DUMMYFUNCTION("""COMPUTED_VALUE"""),44388.734398148146)</f>
        <v>44388.7344</v>
      </c>
      <c r="F458" s="4" t="str">
        <f>IFERROR(__xludf.DUMMYFUNCTION("""COMPUTED_VALUE""")," ---")</f>
        <v> ---</v>
      </c>
      <c r="G458" s="4" t="str">
        <f>IFERROR(__xludf.DUMMYFUNCTION("""COMPUTED_VALUE"""),"SUSE Linux Enterprise Server 15 SP3")</f>
        <v>SUSE Linux Enterprise Server 15 SP3</v>
      </c>
      <c r="H458" s="7" t="str">
        <f t="shared" si="2"/>
        <v>NO</v>
      </c>
      <c r="I458" s="7" t="str">
        <f t="shared" si="3"/>
        <v>NO</v>
      </c>
    </row>
    <row r="459">
      <c r="A459" s="4">
        <f>IFERROR(__xludf.DUMMYFUNCTION("""COMPUTED_VALUE"""),1182114.0)</f>
        <v>1182114</v>
      </c>
      <c r="B459" s="4" t="str">
        <f>IFERROR(__xludf.DUMMYFUNCTION("""COMPUTED_VALUE"""),"P5 - None")</f>
        <v>P5 - None</v>
      </c>
      <c r="C459" s="5">
        <f>IFERROR(__xludf.DUMMYFUNCTION("""COMPUTED_VALUE"""),44238.49469907407)</f>
        <v>44238.4947</v>
      </c>
      <c r="D459" s="4" t="str">
        <f>IFERROR(__xludf.DUMMYFUNCTION("""COMPUTED_VALUE"""),"RESOLVED")</f>
        <v>RESOLVED</v>
      </c>
      <c r="E459" s="6">
        <f>IFERROR(__xludf.DUMMYFUNCTION("""COMPUTED_VALUE"""),44384.87065972222)</f>
        <v>44384.87066</v>
      </c>
      <c r="F459" s="4" t="str">
        <f>IFERROR(__xludf.DUMMYFUNCTION("""COMPUTED_VALUE""")," ---")</f>
        <v> ---</v>
      </c>
      <c r="G459" s="4" t="str">
        <f>IFERROR(__xludf.DUMMYFUNCTION("""COMPUTED_VALUE"""),"SUSE Linux Enterprise Server 15 SP3")</f>
        <v>SUSE Linux Enterprise Server 15 SP3</v>
      </c>
      <c r="H459" s="7" t="str">
        <f t="shared" si="2"/>
        <v>NO</v>
      </c>
      <c r="I459" s="7" t="str">
        <f t="shared" si="3"/>
        <v>YES</v>
      </c>
    </row>
    <row r="460">
      <c r="A460" s="4">
        <f>IFERROR(__xludf.DUMMYFUNCTION("""COMPUTED_VALUE"""),1184729.0)</f>
        <v>1184729</v>
      </c>
      <c r="B460" s="4" t="str">
        <f>IFERROR(__xludf.DUMMYFUNCTION("""COMPUTED_VALUE"""),"P5 - None")</f>
        <v>P5 - None</v>
      </c>
      <c r="C460" s="5">
        <f>IFERROR(__xludf.DUMMYFUNCTION("""COMPUTED_VALUE"""),44300.57480324074)</f>
        <v>44300.5748</v>
      </c>
      <c r="D460" s="4" t="str">
        <f>IFERROR(__xludf.DUMMYFUNCTION("""COMPUTED_VALUE"""),"RESOLVED")</f>
        <v>RESOLVED</v>
      </c>
      <c r="E460" s="6">
        <f>IFERROR(__xludf.DUMMYFUNCTION("""COMPUTED_VALUE"""),44300.635983796295)</f>
        <v>44300.63598</v>
      </c>
      <c r="F460" s="4" t="str">
        <f>IFERROR(__xludf.DUMMYFUNCTION("""COMPUTED_VALUE""")," ---")</f>
        <v> ---</v>
      </c>
      <c r="G460" s="4" t="str">
        <f>IFERROR(__xludf.DUMMYFUNCTION("""COMPUTED_VALUE"""),"SUSE Linux Enterprise Server 15 SP3")</f>
        <v>SUSE Linux Enterprise Server 15 SP3</v>
      </c>
      <c r="H460" s="7" t="str">
        <f t="shared" si="2"/>
        <v>NO</v>
      </c>
      <c r="I460" s="7" t="str">
        <f t="shared" si="3"/>
        <v>NO</v>
      </c>
    </row>
    <row r="461">
      <c r="A461" s="4">
        <f>IFERROR(__xludf.DUMMYFUNCTION("""COMPUTED_VALUE"""),1183440.0)</f>
        <v>1183440</v>
      </c>
      <c r="B461" s="4" t="str">
        <f>IFERROR(__xludf.DUMMYFUNCTION("""COMPUTED_VALUE"""),"P5 - None")</f>
        <v>P5 - None</v>
      </c>
      <c r="C461" s="5">
        <f>IFERROR(__xludf.DUMMYFUNCTION("""COMPUTED_VALUE"""),44267.41736111111)</f>
        <v>44267.41736</v>
      </c>
      <c r="D461" s="4" t="str">
        <f>IFERROR(__xludf.DUMMYFUNCTION("""COMPUTED_VALUE"""),"RESOLVED")</f>
        <v>RESOLVED</v>
      </c>
      <c r="E461" s="6">
        <f>IFERROR(__xludf.DUMMYFUNCTION("""COMPUTED_VALUE"""),44384.88064814815)</f>
        <v>44384.88065</v>
      </c>
      <c r="F461" s="4" t="str">
        <f>IFERROR(__xludf.DUMMYFUNCTION("""COMPUTED_VALUE""")," ---")</f>
        <v> ---</v>
      </c>
      <c r="G461" s="4" t="str">
        <f>IFERROR(__xludf.DUMMYFUNCTION("""COMPUTED_VALUE"""),"SUSE Linux Enterprise Server 15 SP3")</f>
        <v>SUSE Linux Enterprise Server 15 SP3</v>
      </c>
      <c r="H461" s="7" t="str">
        <f t="shared" si="2"/>
        <v>NO</v>
      </c>
      <c r="I461" s="7" t="str">
        <f t="shared" si="3"/>
        <v>NO</v>
      </c>
    </row>
    <row r="462">
      <c r="A462" s="4">
        <f>IFERROR(__xludf.DUMMYFUNCTION("""COMPUTED_VALUE"""),1183692.0)</f>
        <v>1183692</v>
      </c>
      <c r="B462" s="4" t="str">
        <f>IFERROR(__xludf.DUMMYFUNCTION("""COMPUTED_VALUE"""),"P5 - None")</f>
        <v>P5 - None</v>
      </c>
      <c r="C462" s="5">
        <f>IFERROR(__xludf.DUMMYFUNCTION("""COMPUTED_VALUE"""),44273.39805555555)</f>
        <v>44273.39806</v>
      </c>
      <c r="D462" s="4" t="str">
        <f>IFERROR(__xludf.DUMMYFUNCTION("""COMPUTED_VALUE"""),"RESOLVED")</f>
        <v>RESOLVED</v>
      </c>
      <c r="E462" s="6">
        <f>IFERROR(__xludf.DUMMYFUNCTION("""COMPUTED_VALUE"""),44396.279375)</f>
        <v>44396.27938</v>
      </c>
      <c r="F462" s="4" t="str">
        <f>IFERROR(__xludf.DUMMYFUNCTION("""COMPUTED_VALUE""")," ---")</f>
        <v> ---</v>
      </c>
      <c r="G462" s="4" t="str">
        <f>IFERROR(__xludf.DUMMYFUNCTION("""COMPUTED_VALUE"""),"SUSE Linux Enterprise Server 15 SP3")</f>
        <v>SUSE Linux Enterprise Server 15 SP3</v>
      </c>
      <c r="H462" s="7" t="str">
        <f t="shared" si="2"/>
        <v>NO</v>
      </c>
      <c r="I462" s="7" t="str">
        <f t="shared" si="3"/>
        <v>NO</v>
      </c>
    </row>
    <row r="463">
      <c r="A463" s="4">
        <f>IFERROR(__xludf.DUMMYFUNCTION("""COMPUTED_VALUE"""),1187122.0)</f>
        <v>1187122</v>
      </c>
      <c r="B463" s="4" t="str">
        <f>IFERROR(__xludf.DUMMYFUNCTION("""COMPUTED_VALUE"""),"P5 - None")</f>
        <v>P5 - None</v>
      </c>
      <c r="C463" s="5">
        <f>IFERROR(__xludf.DUMMYFUNCTION("""COMPUTED_VALUE"""),44356.619733796295)</f>
        <v>44356.61973</v>
      </c>
      <c r="D463" s="4" t="str">
        <f>IFERROR(__xludf.DUMMYFUNCTION("""COMPUTED_VALUE"""),"RESOLVED")</f>
        <v>RESOLVED</v>
      </c>
      <c r="E463" s="6">
        <f>IFERROR(__xludf.DUMMYFUNCTION("""COMPUTED_VALUE"""),44615.3084375)</f>
        <v>44615.30844</v>
      </c>
      <c r="F463" s="4" t="str">
        <f>IFERROR(__xludf.DUMMYFUNCTION("""COMPUTED_VALUE""")," ---")</f>
        <v> ---</v>
      </c>
      <c r="G463" s="4" t="str">
        <f>IFERROR(__xludf.DUMMYFUNCTION("""COMPUTED_VALUE"""),"SUSE Linux Enterprise Server 15 SP3")</f>
        <v>SUSE Linux Enterprise Server 15 SP3</v>
      </c>
      <c r="H463" s="7" t="str">
        <f t="shared" si="2"/>
        <v>NO</v>
      </c>
      <c r="I463" s="7" t="str">
        <f t="shared" si="3"/>
        <v>NO</v>
      </c>
    </row>
    <row r="464">
      <c r="A464" s="4">
        <f>IFERROR(__xludf.DUMMYFUNCTION("""COMPUTED_VALUE"""),1174513.0)</f>
        <v>1174513</v>
      </c>
      <c r="B464" s="4" t="str">
        <f>IFERROR(__xludf.DUMMYFUNCTION("""COMPUTED_VALUE"""),"P5 - None")</f>
        <v>P5 - None</v>
      </c>
      <c r="C464" s="5">
        <f>IFERROR(__xludf.DUMMYFUNCTION("""COMPUTED_VALUE"""),44039.28564814815)</f>
        <v>44039.28565</v>
      </c>
      <c r="D464" s="4" t="str">
        <f>IFERROR(__xludf.DUMMYFUNCTION("""COMPUTED_VALUE"""),"RESOLVED")</f>
        <v>RESOLVED</v>
      </c>
      <c r="E464" s="6">
        <f>IFERROR(__xludf.DUMMYFUNCTION("""COMPUTED_VALUE"""),44384.84019675926)</f>
        <v>44384.8402</v>
      </c>
      <c r="F464" s="4" t="str">
        <f>IFERROR(__xludf.DUMMYFUNCTION("""COMPUTED_VALUE""")," ---")</f>
        <v> ---</v>
      </c>
      <c r="G464" s="4" t="str">
        <f>IFERROR(__xludf.DUMMYFUNCTION("""COMPUTED_VALUE"""),"SUSE Linux Enterprise Server 15 SP3")</f>
        <v>SUSE Linux Enterprise Server 15 SP3</v>
      </c>
      <c r="H464" s="7" t="str">
        <f t="shared" si="2"/>
        <v>NO</v>
      </c>
      <c r="I464" s="7" t="str">
        <f t="shared" si="3"/>
        <v>NO</v>
      </c>
    </row>
    <row r="465">
      <c r="A465" s="4">
        <f>IFERROR(__xludf.DUMMYFUNCTION("""COMPUTED_VALUE"""),1184714.0)</f>
        <v>1184714</v>
      </c>
      <c r="B465" s="4" t="str">
        <f>IFERROR(__xludf.DUMMYFUNCTION("""COMPUTED_VALUE"""),"P5 - None")</f>
        <v>P5 - None</v>
      </c>
      <c r="C465" s="5">
        <f>IFERROR(__xludf.DUMMYFUNCTION("""COMPUTED_VALUE"""),44300.44403935185)</f>
        <v>44300.44404</v>
      </c>
      <c r="D465" s="4" t="str">
        <f>IFERROR(__xludf.DUMMYFUNCTION("""COMPUTED_VALUE"""),"RESOLVED")</f>
        <v>RESOLVED</v>
      </c>
      <c r="E465" s="6">
        <f>IFERROR(__xludf.DUMMYFUNCTION("""COMPUTED_VALUE"""),44300.66392361111)</f>
        <v>44300.66392</v>
      </c>
      <c r="F465" s="4" t="str">
        <f>IFERROR(__xludf.DUMMYFUNCTION("""COMPUTED_VALUE""")," ---")</f>
        <v> ---</v>
      </c>
      <c r="G465" s="4" t="str">
        <f>IFERROR(__xludf.DUMMYFUNCTION("""COMPUTED_VALUE"""),"SUSE Linux Enterprise Server 15 SP3")</f>
        <v>SUSE Linux Enterprise Server 15 SP3</v>
      </c>
      <c r="H465" s="7" t="str">
        <f t="shared" si="2"/>
        <v>NO</v>
      </c>
      <c r="I465" s="7" t="str">
        <f t="shared" si="3"/>
        <v>NO</v>
      </c>
    </row>
    <row r="466">
      <c r="A466" s="4">
        <f>IFERROR(__xludf.DUMMYFUNCTION("""COMPUTED_VALUE"""),1176792.0)</f>
        <v>1176792</v>
      </c>
      <c r="B466" s="4" t="str">
        <f>IFERROR(__xludf.DUMMYFUNCTION("""COMPUTED_VALUE"""),"P5 - None")</f>
        <v>P5 - None</v>
      </c>
      <c r="C466" s="5">
        <f>IFERROR(__xludf.DUMMYFUNCTION("""COMPUTED_VALUE"""),44096.32414351852)</f>
        <v>44096.32414</v>
      </c>
      <c r="D466" s="4" t="str">
        <f>IFERROR(__xludf.DUMMYFUNCTION("""COMPUTED_VALUE"""),"RESOLVED")</f>
        <v>RESOLVED</v>
      </c>
      <c r="E466" s="6">
        <f>IFERROR(__xludf.DUMMYFUNCTION("""COMPUTED_VALUE"""),44384.84916666667)</f>
        <v>44384.84917</v>
      </c>
      <c r="F466" s="4" t="str">
        <f>IFERROR(__xludf.DUMMYFUNCTION("""COMPUTED_VALUE""")," ---")</f>
        <v> ---</v>
      </c>
      <c r="G466" s="4" t="str">
        <f>IFERROR(__xludf.DUMMYFUNCTION("""COMPUTED_VALUE"""),"SUSE Linux Enterprise Server 15 SP3")</f>
        <v>SUSE Linux Enterprise Server 15 SP3</v>
      </c>
      <c r="H466" s="7" t="str">
        <f t="shared" si="2"/>
        <v>NO</v>
      </c>
      <c r="I466" s="7" t="str">
        <f t="shared" si="3"/>
        <v>NO</v>
      </c>
    </row>
    <row r="467">
      <c r="A467" s="4">
        <f>IFERROR(__xludf.DUMMYFUNCTION("""COMPUTED_VALUE"""),1182551.0)</f>
        <v>1182551</v>
      </c>
      <c r="B467" s="4" t="str">
        <f>IFERROR(__xludf.DUMMYFUNCTION("""COMPUTED_VALUE"""),"P5 - None")</f>
        <v>P5 - None</v>
      </c>
      <c r="C467" s="5">
        <f>IFERROR(__xludf.DUMMYFUNCTION("""COMPUTED_VALUE"""),44249.41799768519)</f>
        <v>44249.418</v>
      </c>
      <c r="D467" s="4" t="str">
        <f>IFERROR(__xludf.DUMMYFUNCTION("""COMPUTED_VALUE"""),"RESOLVED")</f>
        <v>RESOLVED</v>
      </c>
      <c r="E467" s="6">
        <f>IFERROR(__xludf.DUMMYFUNCTION("""COMPUTED_VALUE"""),44249.429976851854)</f>
        <v>44249.42998</v>
      </c>
      <c r="F467" s="4" t="str">
        <f>IFERROR(__xludf.DUMMYFUNCTION("""COMPUTED_VALUE""")," ---")</f>
        <v> ---</v>
      </c>
      <c r="G467" s="4" t="str">
        <f>IFERROR(__xludf.DUMMYFUNCTION("""COMPUTED_VALUE"""),"SUSE Linux Enterprise Server 15 SP3")</f>
        <v>SUSE Linux Enterprise Server 15 SP3</v>
      </c>
      <c r="H467" s="7" t="str">
        <f t="shared" si="2"/>
        <v>NO</v>
      </c>
      <c r="I467" s="7" t="str">
        <f t="shared" si="3"/>
        <v>NO</v>
      </c>
    </row>
    <row r="468">
      <c r="A468" s="4">
        <f>IFERROR(__xludf.DUMMYFUNCTION("""COMPUTED_VALUE"""),1181795.0)</f>
        <v>1181795</v>
      </c>
      <c r="B468" s="4" t="str">
        <f>IFERROR(__xludf.DUMMYFUNCTION("""COMPUTED_VALUE"""),"P5 - None")</f>
        <v>P5 - None</v>
      </c>
      <c r="C468" s="5">
        <f>IFERROR(__xludf.DUMMYFUNCTION("""COMPUTED_VALUE"""),44231.517847222225)</f>
        <v>44231.51785</v>
      </c>
      <c r="D468" s="4" t="str">
        <f>IFERROR(__xludf.DUMMYFUNCTION("""COMPUTED_VALUE"""),"RESOLVED")</f>
        <v>RESOLVED</v>
      </c>
      <c r="E468" s="6">
        <f>IFERROR(__xludf.DUMMYFUNCTION("""COMPUTED_VALUE"""),44384.87005787037)</f>
        <v>44384.87006</v>
      </c>
      <c r="F468" s="4" t="str">
        <f>IFERROR(__xludf.DUMMYFUNCTION("""COMPUTED_VALUE""")," ---")</f>
        <v> ---</v>
      </c>
      <c r="G468" s="4" t="str">
        <f>IFERROR(__xludf.DUMMYFUNCTION("""COMPUTED_VALUE"""),"SUSE Linux Enterprise Server 15 SP3")</f>
        <v>SUSE Linux Enterprise Server 15 SP3</v>
      </c>
      <c r="H468" s="7" t="str">
        <f t="shared" si="2"/>
        <v>NO</v>
      </c>
      <c r="I468" s="7" t="str">
        <f t="shared" si="3"/>
        <v>NO</v>
      </c>
    </row>
    <row r="469">
      <c r="A469" s="4">
        <f>IFERROR(__xludf.DUMMYFUNCTION("""COMPUTED_VALUE"""),1174188.0)</f>
        <v>1174188</v>
      </c>
      <c r="B469" s="4" t="str">
        <f>IFERROR(__xludf.DUMMYFUNCTION("""COMPUTED_VALUE"""),"P5 - None")</f>
        <v>P5 - None</v>
      </c>
      <c r="C469" s="5">
        <f>IFERROR(__xludf.DUMMYFUNCTION("""COMPUTED_VALUE"""),44028.25230324074)</f>
        <v>44028.2523</v>
      </c>
      <c r="D469" s="4" t="str">
        <f>IFERROR(__xludf.DUMMYFUNCTION("""COMPUTED_VALUE"""),"RESOLVED")</f>
        <v>RESOLVED</v>
      </c>
      <c r="E469" s="6">
        <f>IFERROR(__xludf.DUMMYFUNCTION("""COMPUTED_VALUE"""),44031.330659722225)</f>
        <v>44031.33066</v>
      </c>
      <c r="F469" s="4" t="str">
        <f>IFERROR(__xludf.DUMMYFUNCTION("""COMPUTED_VALUE""")," ---")</f>
        <v> ---</v>
      </c>
      <c r="G469" s="4" t="str">
        <f>IFERROR(__xludf.DUMMYFUNCTION("""COMPUTED_VALUE"""),"SUSE Linux Enterprise Server 15 SP3")</f>
        <v>SUSE Linux Enterprise Server 15 SP3</v>
      </c>
      <c r="H469" s="7" t="str">
        <f t="shared" si="2"/>
        <v>NO</v>
      </c>
      <c r="I469" s="7" t="str">
        <f t="shared" si="3"/>
        <v>NO</v>
      </c>
    </row>
    <row r="470">
      <c r="A470" s="4">
        <f>IFERROR(__xludf.DUMMYFUNCTION("""COMPUTED_VALUE"""),1177463.0)</f>
        <v>1177463</v>
      </c>
      <c r="B470" s="4" t="str">
        <f>IFERROR(__xludf.DUMMYFUNCTION("""COMPUTED_VALUE"""),"P5 - None")</f>
        <v>P5 - None</v>
      </c>
      <c r="C470" s="5">
        <f>IFERROR(__xludf.DUMMYFUNCTION("""COMPUTED_VALUE"""),44112.31375)</f>
        <v>44112.31375</v>
      </c>
      <c r="D470" s="4" t="str">
        <f>IFERROR(__xludf.DUMMYFUNCTION("""COMPUTED_VALUE"""),"VERIFIED")</f>
        <v>VERIFIED</v>
      </c>
      <c r="E470" s="6">
        <f>IFERROR(__xludf.DUMMYFUNCTION("""COMPUTED_VALUE"""),44144.581041666665)</f>
        <v>44144.58104</v>
      </c>
      <c r="F470" s="4" t="str">
        <f>IFERROR(__xludf.DUMMYFUNCTION("""COMPUTED_VALUE""")," ---")</f>
        <v> ---</v>
      </c>
      <c r="G470" s="4" t="str">
        <f>IFERROR(__xludf.DUMMYFUNCTION("""COMPUTED_VALUE"""),"SUSE Linux Enterprise Server 15 SP3")</f>
        <v>SUSE Linux Enterprise Server 15 SP3</v>
      </c>
      <c r="H470" s="7" t="str">
        <f t="shared" si="2"/>
        <v>NO</v>
      </c>
      <c r="I470" s="7" t="str">
        <f t="shared" si="3"/>
        <v>NO</v>
      </c>
    </row>
    <row r="471">
      <c r="A471" s="4">
        <f>IFERROR(__xludf.DUMMYFUNCTION("""COMPUTED_VALUE"""),1182989.0)</f>
        <v>1182989</v>
      </c>
      <c r="B471" s="4" t="str">
        <f>IFERROR(__xludf.DUMMYFUNCTION("""COMPUTED_VALUE"""),"P5 - None")</f>
        <v>P5 - None</v>
      </c>
      <c r="C471" s="5">
        <f>IFERROR(__xludf.DUMMYFUNCTION("""COMPUTED_VALUE"""),44258.62430555555)</f>
        <v>44258.62431</v>
      </c>
      <c r="D471" s="4" t="str">
        <f>IFERROR(__xludf.DUMMYFUNCTION("""COMPUTED_VALUE"""),"VERIFIED")</f>
        <v>VERIFIED</v>
      </c>
      <c r="E471" s="6">
        <f>IFERROR(__xludf.DUMMYFUNCTION("""COMPUTED_VALUE"""),44384.87663194445)</f>
        <v>44384.87663</v>
      </c>
      <c r="F471" s="4" t="str">
        <f>IFERROR(__xludf.DUMMYFUNCTION("""COMPUTED_VALUE""")," ---")</f>
        <v> ---</v>
      </c>
      <c r="G471" s="4" t="str">
        <f>IFERROR(__xludf.DUMMYFUNCTION("""COMPUTED_VALUE"""),"PUBLIC SUSE Linux Enterprise Server 15 SP3")</f>
        <v>PUBLIC SUSE Linux Enterprise Server 15 SP3</v>
      </c>
      <c r="H471" s="7" t="str">
        <f t="shared" si="2"/>
        <v>NO</v>
      </c>
      <c r="I471" s="7" t="str">
        <f t="shared" si="3"/>
        <v>NO</v>
      </c>
    </row>
    <row r="472">
      <c r="A472" s="4">
        <f>IFERROR(__xludf.DUMMYFUNCTION("""COMPUTED_VALUE"""),1186003.0)</f>
        <v>1186003</v>
      </c>
      <c r="B472" s="4" t="str">
        <f>IFERROR(__xludf.DUMMYFUNCTION("""COMPUTED_VALUE"""),"P5 - None")</f>
        <v>P5 - None</v>
      </c>
      <c r="C472" s="5">
        <f>IFERROR(__xludf.DUMMYFUNCTION("""COMPUTED_VALUE"""),44329.10716435185)</f>
        <v>44329.10716</v>
      </c>
      <c r="D472" s="4" t="str">
        <f>IFERROR(__xludf.DUMMYFUNCTION("""COMPUTED_VALUE"""),"VERIFIED")</f>
        <v>VERIFIED</v>
      </c>
      <c r="E472" s="6">
        <f>IFERROR(__xludf.DUMMYFUNCTION("""COMPUTED_VALUE"""),44365.26395833334)</f>
        <v>44365.26396</v>
      </c>
      <c r="F472" s="4" t="str">
        <f>IFERROR(__xludf.DUMMYFUNCTION("""COMPUTED_VALUE"""),"Yes")</f>
        <v>Yes</v>
      </c>
      <c r="G472" s="4" t="str">
        <f>IFERROR(__xludf.DUMMYFUNCTION("""COMPUTED_VALUE"""),"PUBLIC SUSE Linux Enterprise Server 15 SP3")</f>
        <v>PUBLIC SUSE Linux Enterprise Server 15 SP3</v>
      </c>
      <c r="H472" s="7" t="str">
        <f t="shared" si="2"/>
        <v>NO</v>
      </c>
      <c r="I472" s="7" t="str">
        <f t="shared" si="3"/>
        <v>NO</v>
      </c>
    </row>
    <row r="473">
      <c r="A473" s="4">
        <f>IFERROR(__xludf.DUMMYFUNCTION("""COMPUTED_VALUE"""),1176916.0)</f>
        <v>1176916</v>
      </c>
      <c r="B473" s="4" t="str">
        <f>IFERROR(__xludf.DUMMYFUNCTION("""COMPUTED_VALUE"""),"P5 - None")</f>
        <v>P5 - None</v>
      </c>
      <c r="C473" s="5">
        <f>IFERROR(__xludf.DUMMYFUNCTION("""COMPUTED_VALUE"""),44098.51443287037)</f>
        <v>44098.51443</v>
      </c>
      <c r="D473" s="4" t="str">
        <f>IFERROR(__xludf.DUMMYFUNCTION("""COMPUTED_VALUE"""),"VERIFIED")</f>
        <v>VERIFIED</v>
      </c>
      <c r="E473" s="6">
        <f>IFERROR(__xludf.DUMMYFUNCTION("""COMPUTED_VALUE"""),44384.849444444444)</f>
        <v>44384.84944</v>
      </c>
      <c r="F473" s="4" t="str">
        <f>IFERROR(__xludf.DUMMYFUNCTION("""COMPUTED_VALUE""")," ---")</f>
        <v> ---</v>
      </c>
      <c r="G473" s="4" t="str">
        <f>IFERROR(__xludf.DUMMYFUNCTION("""COMPUTED_VALUE"""),"SUSE Linux Enterprise Server 15 SP3")</f>
        <v>SUSE Linux Enterprise Server 15 SP3</v>
      </c>
      <c r="H473" s="7" t="str">
        <f t="shared" si="2"/>
        <v>NO</v>
      </c>
      <c r="I473" s="7" t="str">
        <f t="shared" si="3"/>
        <v>NO</v>
      </c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7" max="7" width="31.13"/>
  </cols>
  <sheetData>
    <row r="1">
      <c r="A1" s="4" t="str">
        <f>IFERROR(__xludf.DUMMYFUNCTION("IMPORTRANGE(""https://docs.google.com/spreadsheets/d/15eaN6fAwKJo8BBZsrrHBaOp_QyRYabkgoT-aS8iw_Fw/edit?usp=sharing"",""bugtab_sp2"")"),"Bug ID")</f>
        <v>Bug ID</v>
      </c>
      <c r="B1" s="4" t="str">
        <f>IFERROR(__xludf.DUMMYFUNCTION("""COMPUTED_VALUE"""),"Priority")</f>
        <v>Priority</v>
      </c>
      <c r="C1" s="5" t="str">
        <f>IFERROR(__xludf.DUMMYFUNCTION("""COMPUTED_VALUE"""),"Opened")</f>
        <v>Opened</v>
      </c>
      <c r="D1" s="4" t="str">
        <f>IFERROR(__xludf.DUMMYFUNCTION("""COMPUTED_VALUE"""),"Status")</f>
        <v>Status</v>
      </c>
      <c r="E1" s="4" t="str">
        <f>IFERROR(__xludf.DUMMYFUNCTION("""COMPUTED_VALUE"""),"Changed")</f>
        <v>Changed</v>
      </c>
      <c r="F1" s="4" t="str">
        <f>IFERROR(__xludf.DUMMYFUNCTION("""COMPUTED_VALUE"""),"Blocker")</f>
        <v>Blocker</v>
      </c>
      <c r="G1" s="4" t="str">
        <f>IFERROR(__xludf.DUMMYFUNCTION("""COMPUTED_VALUE"""),"Product")</f>
        <v>Product</v>
      </c>
      <c r="H1" s="2" t="s">
        <v>0</v>
      </c>
      <c r="I1" s="2" t="s">
        <v>1</v>
      </c>
      <c r="J1" s="3">
        <v>43854.0</v>
      </c>
      <c r="K1" s="3">
        <v>43863.0</v>
      </c>
    </row>
    <row r="2">
      <c r="A2" s="4">
        <f>IFERROR(__xludf.DUMMYFUNCTION("""COMPUTED_VALUE"""),1171688.0)</f>
        <v>1171688</v>
      </c>
      <c r="B2" s="4" t="str">
        <f>IFERROR(__xludf.DUMMYFUNCTION("""COMPUTED_VALUE"""),"P1 - Urgent")</f>
        <v>P1 - Urgent</v>
      </c>
      <c r="C2" s="5">
        <f>IFERROR(__xludf.DUMMYFUNCTION("""COMPUTED_VALUE"""),43965.63045138889)</f>
        <v>43965.63045</v>
      </c>
      <c r="D2" s="4" t="str">
        <f>IFERROR(__xludf.DUMMYFUNCTION("""COMPUTED_VALUE"""),"RESOLVED")</f>
        <v>RESOLVED</v>
      </c>
      <c r="E2" s="6">
        <f>IFERROR(__xludf.DUMMYFUNCTION("""COMPUTED_VALUE"""),44482.67980324074)</f>
        <v>44482.6798</v>
      </c>
      <c r="F2" s="4" t="str">
        <f>IFERROR(__xludf.DUMMYFUNCTION("""COMPUTED_VALUE""")," ---")</f>
        <v> ---</v>
      </c>
      <c r="G2" s="4" t="str">
        <f>IFERROR(__xludf.DUMMYFUNCTION("""COMPUTED_VALUE"""),"SUSE Linux Enterprise Server 15 SP2")</f>
        <v>SUSE Linux Enterprise Server 15 SP2</v>
      </c>
      <c r="H2" s="7" t="str">
        <f t="shared" ref="H2:H885" si="2">IF(AND(GTE(C2,DATEVALUE("24/12/2019")), LTE(C2,DATEVALUE("06/01/2020"))), "YES", "NO")</f>
        <v>NO</v>
      </c>
      <c r="I2" s="7" t="str">
        <f t="shared" ref="I2:I885" si="3">IF(AND(GTE($C2,DATEVALUE($J$1)), LTE($C2,DATEVALUE($K$1))), "YES", "NO")</f>
        <v>NO</v>
      </c>
      <c r="J2" s="4">
        <f t="shared" ref="J2:K2" si="1">WEEKNUM(J1)</f>
        <v>4</v>
      </c>
      <c r="K2" s="4">
        <f t="shared" si="1"/>
        <v>6</v>
      </c>
    </row>
    <row r="3">
      <c r="A3" s="4">
        <f>IFERROR(__xludf.DUMMYFUNCTION("""COMPUTED_VALUE"""),1160561.0)</f>
        <v>1160561</v>
      </c>
      <c r="B3" s="4" t="str">
        <f>IFERROR(__xludf.DUMMYFUNCTION("""COMPUTED_VALUE"""),"P1 - Urgent")</f>
        <v>P1 - Urgent</v>
      </c>
      <c r="C3" s="5">
        <f>IFERROR(__xludf.DUMMYFUNCTION("""COMPUTED_VALUE"""),43839.405173611114)</f>
        <v>43839.40517</v>
      </c>
      <c r="D3" s="4" t="str">
        <f>IFERROR(__xludf.DUMMYFUNCTION("""COMPUTED_VALUE"""),"RESOLVED")</f>
        <v>RESOLVED</v>
      </c>
      <c r="E3" s="6">
        <f>IFERROR(__xludf.DUMMYFUNCTION("""COMPUTED_VALUE"""),44384.800532407404)</f>
        <v>44384.80053</v>
      </c>
      <c r="F3" s="4" t="str">
        <f>IFERROR(__xludf.DUMMYFUNCTION("""COMPUTED_VALUE""")," ---")</f>
        <v> ---</v>
      </c>
      <c r="G3" s="4" t="str">
        <f>IFERROR(__xludf.DUMMYFUNCTION("""COMPUTED_VALUE"""),"SUSE Linux Enterprise Server 15 SP2")</f>
        <v>SUSE Linux Enterprise Server 15 SP2</v>
      </c>
      <c r="H3" s="7" t="str">
        <f t="shared" si="2"/>
        <v>NO</v>
      </c>
      <c r="I3" s="7" t="str">
        <f t="shared" si="3"/>
        <v>NO</v>
      </c>
    </row>
    <row r="4">
      <c r="A4" s="4">
        <f>IFERROR(__xludf.DUMMYFUNCTION("""COMPUTED_VALUE"""),1163458.0)</f>
        <v>1163458</v>
      </c>
      <c r="B4" s="4" t="str">
        <f>IFERROR(__xludf.DUMMYFUNCTION("""COMPUTED_VALUE"""),"P1 - Urgent")</f>
        <v>P1 - Urgent</v>
      </c>
      <c r="C4" s="5">
        <f>IFERROR(__xludf.DUMMYFUNCTION("""COMPUTED_VALUE"""),43873.40519675926)</f>
        <v>43873.4052</v>
      </c>
      <c r="D4" s="4" t="str">
        <f>IFERROR(__xludf.DUMMYFUNCTION("""COMPUTED_VALUE"""),"RESOLVED")</f>
        <v>RESOLVED</v>
      </c>
      <c r="E4" s="6">
        <f>IFERROR(__xludf.DUMMYFUNCTION("""COMPUTED_VALUE"""),44384.80396990741)</f>
        <v>44384.80397</v>
      </c>
      <c r="F4" s="4" t="str">
        <f>IFERROR(__xludf.DUMMYFUNCTION("""COMPUTED_VALUE""")," ---")</f>
        <v> ---</v>
      </c>
      <c r="G4" s="4" t="str">
        <f>IFERROR(__xludf.DUMMYFUNCTION("""COMPUTED_VALUE"""),"SUSE Linux Enterprise Server 15 SP2")</f>
        <v>SUSE Linux Enterprise Server 15 SP2</v>
      </c>
      <c r="H4" s="7" t="str">
        <f t="shared" si="2"/>
        <v>NO</v>
      </c>
      <c r="I4" s="7" t="str">
        <f t="shared" si="3"/>
        <v>NO</v>
      </c>
    </row>
    <row r="5">
      <c r="A5" s="4">
        <f>IFERROR(__xludf.DUMMYFUNCTION("""COMPUTED_VALUE"""),1163459.0)</f>
        <v>1163459</v>
      </c>
      <c r="B5" s="4" t="str">
        <f>IFERROR(__xludf.DUMMYFUNCTION("""COMPUTED_VALUE"""),"P1 - Urgent")</f>
        <v>P1 - Urgent</v>
      </c>
      <c r="C5" s="5">
        <f>IFERROR(__xludf.DUMMYFUNCTION("""COMPUTED_VALUE"""),43873.40846064815)</f>
        <v>43873.40846</v>
      </c>
      <c r="D5" s="4" t="str">
        <f>IFERROR(__xludf.DUMMYFUNCTION("""COMPUTED_VALUE"""),"RESOLVED")</f>
        <v>RESOLVED</v>
      </c>
      <c r="E5" s="6">
        <f>IFERROR(__xludf.DUMMYFUNCTION("""COMPUTED_VALUE"""),44384.80405092592)</f>
        <v>44384.80405</v>
      </c>
      <c r="F5" s="4" t="str">
        <f>IFERROR(__xludf.DUMMYFUNCTION("""COMPUTED_VALUE""")," ---")</f>
        <v> ---</v>
      </c>
      <c r="G5" s="4" t="str">
        <f>IFERROR(__xludf.DUMMYFUNCTION("""COMPUTED_VALUE"""),"SUSE Linux Enterprise Server 15 SP2")</f>
        <v>SUSE Linux Enterprise Server 15 SP2</v>
      </c>
      <c r="H5" s="7" t="str">
        <f t="shared" si="2"/>
        <v>NO</v>
      </c>
      <c r="I5" s="7" t="str">
        <f t="shared" si="3"/>
        <v>NO</v>
      </c>
    </row>
    <row r="6">
      <c r="A6" s="4">
        <f>IFERROR(__xludf.DUMMYFUNCTION("""COMPUTED_VALUE"""),1165167.0)</f>
        <v>1165167</v>
      </c>
      <c r="B6" s="4" t="str">
        <f>IFERROR(__xludf.DUMMYFUNCTION("""COMPUTED_VALUE"""),"P1 - Urgent")</f>
        <v>P1 - Urgent</v>
      </c>
      <c r="C6" s="5">
        <f>IFERROR(__xludf.DUMMYFUNCTION("""COMPUTED_VALUE"""),43888.6021875)</f>
        <v>43888.60219</v>
      </c>
      <c r="D6" s="4" t="str">
        <f>IFERROR(__xludf.DUMMYFUNCTION("""COMPUTED_VALUE"""),"RESOLVED")</f>
        <v>RESOLVED</v>
      </c>
      <c r="E6" s="6">
        <f>IFERROR(__xludf.DUMMYFUNCTION("""COMPUTED_VALUE"""),44384.81701388889)</f>
        <v>44384.81701</v>
      </c>
      <c r="F6" s="4" t="str">
        <f>IFERROR(__xludf.DUMMYFUNCTION("""COMPUTED_VALUE""")," ---")</f>
        <v> ---</v>
      </c>
      <c r="G6" s="4" t="str">
        <f>IFERROR(__xludf.DUMMYFUNCTION("""COMPUTED_VALUE"""),"SUSE Linux Enterprise Server 15 SP2")</f>
        <v>SUSE Linux Enterprise Server 15 SP2</v>
      </c>
      <c r="H6" s="7" t="str">
        <f t="shared" si="2"/>
        <v>NO</v>
      </c>
      <c r="I6" s="7" t="str">
        <f t="shared" si="3"/>
        <v>NO</v>
      </c>
    </row>
    <row r="7">
      <c r="A7" s="4">
        <f>IFERROR(__xludf.DUMMYFUNCTION("""COMPUTED_VALUE"""),1157811.0)</f>
        <v>1157811</v>
      </c>
      <c r="B7" s="4" t="str">
        <f>IFERROR(__xludf.DUMMYFUNCTION("""COMPUTED_VALUE"""),"P1 - Urgent")</f>
        <v>P1 - Urgent</v>
      </c>
      <c r="C7" s="5">
        <f>IFERROR(__xludf.DUMMYFUNCTION("""COMPUTED_VALUE"""),43795.69045138889)</f>
        <v>43795.69045</v>
      </c>
      <c r="D7" s="4" t="str">
        <f>IFERROR(__xludf.DUMMYFUNCTION("""COMPUTED_VALUE"""),"RESOLVED")</f>
        <v>RESOLVED</v>
      </c>
      <c r="E7" s="6">
        <f>IFERROR(__xludf.DUMMYFUNCTION("""COMPUTED_VALUE"""),44365.263344907406)</f>
        <v>44365.26334</v>
      </c>
      <c r="F7" s="4" t="str">
        <f>IFERROR(__xludf.DUMMYFUNCTION("""COMPUTED_VALUE""")," ---")</f>
        <v> ---</v>
      </c>
      <c r="G7" s="4" t="str">
        <f>IFERROR(__xludf.DUMMYFUNCTION("""COMPUTED_VALUE"""),"SUSE Linux Enterprise Server 15 SP2")</f>
        <v>SUSE Linux Enterprise Server 15 SP2</v>
      </c>
      <c r="H7" s="7" t="str">
        <f t="shared" si="2"/>
        <v>NO</v>
      </c>
      <c r="I7" s="7" t="str">
        <f t="shared" si="3"/>
        <v>NO</v>
      </c>
    </row>
    <row r="8">
      <c r="A8" s="4">
        <f>IFERROR(__xludf.DUMMYFUNCTION("""COMPUTED_VALUE"""),1171426.0)</f>
        <v>1171426</v>
      </c>
      <c r="B8" s="4" t="str">
        <f>IFERROR(__xludf.DUMMYFUNCTION("""COMPUTED_VALUE"""),"P1 - Urgent")</f>
        <v>P1 - Urgent</v>
      </c>
      <c r="C8" s="5">
        <f>IFERROR(__xludf.DUMMYFUNCTION("""COMPUTED_VALUE"""),43962.32127314815)</f>
        <v>43962.32127</v>
      </c>
      <c r="D8" s="4" t="str">
        <f>IFERROR(__xludf.DUMMYFUNCTION("""COMPUTED_VALUE"""),"RESOLVED")</f>
        <v>RESOLVED</v>
      </c>
      <c r="E8" s="6">
        <f>IFERROR(__xludf.DUMMYFUNCTION("""COMPUTED_VALUE"""),44384.82846064815)</f>
        <v>44384.82846</v>
      </c>
      <c r="F8" s="4" t="str">
        <f>IFERROR(__xludf.DUMMYFUNCTION("""COMPUTED_VALUE""")," ---")</f>
        <v> ---</v>
      </c>
      <c r="G8" s="4" t="str">
        <f>IFERROR(__xludf.DUMMYFUNCTION("""COMPUTED_VALUE"""),"SUSE Linux Enterprise Server 15 SP2")</f>
        <v>SUSE Linux Enterprise Server 15 SP2</v>
      </c>
      <c r="H8" s="7" t="str">
        <f t="shared" si="2"/>
        <v>NO</v>
      </c>
      <c r="I8" s="7" t="str">
        <f t="shared" si="3"/>
        <v>NO</v>
      </c>
    </row>
    <row r="9">
      <c r="A9" s="4">
        <f>IFERROR(__xludf.DUMMYFUNCTION("""COMPUTED_VALUE"""),1160067.0)</f>
        <v>1160067</v>
      </c>
      <c r="B9" s="4" t="str">
        <f>IFERROR(__xludf.DUMMYFUNCTION("""COMPUTED_VALUE"""),"P1 - Urgent")</f>
        <v>P1 - Urgent</v>
      </c>
      <c r="C9" s="5">
        <f>IFERROR(__xludf.DUMMYFUNCTION("""COMPUTED_VALUE"""),43833.59075231481)</f>
        <v>43833.59075</v>
      </c>
      <c r="D9" s="4" t="str">
        <f>IFERROR(__xludf.DUMMYFUNCTION("""COMPUTED_VALUE"""),"RESOLVED")</f>
        <v>RESOLVED</v>
      </c>
      <c r="E9" s="6">
        <f>IFERROR(__xludf.DUMMYFUNCTION("""COMPUTED_VALUE"""),44384.79886574074)</f>
        <v>44384.79887</v>
      </c>
      <c r="F9" s="4" t="str">
        <f>IFERROR(__xludf.DUMMYFUNCTION("""COMPUTED_VALUE""")," ---")</f>
        <v> ---</v>
      </c>
      <c r="G9" s="4" t="str">
        <f>IFERROR(__xludf.DUMMYFUNCTION("""COMPUTED_VALUE"""),"SUSE Linux Enterprise Server 15 SP2")</f>
        <v>SUSE Linux Enterprise Server 15 SP2</v>
      </c>
      <c r="H9" s="7" t="str">
        <f t="shared" si="2"/>
        <v>YES</v>
      </c>
      <c r="I9" s="7" t="str">
        <f t="shared" si="3"/>
        <v>NO</v>
      </c>
    </row>
    <row r="10">
      <c r="A10" s="4">
        <f>IFERROR(__xludf.DUMMYFUNCTION("""COMPUTED_VALUE"""),1160366.0)</f>
        <v>1160366</v>
      </c>
      <c r="B10" s="4" t="str">
        <f>IFERROR(__xludf.DUMMYFUNCTION("""COMPUTED_VALUE"""),"P1 - Urgent")</f>
        <v>P1 - Urgent</v>
      </c>
      <c r="C10" s="5">
        <f>IFERROR(__xludf.DUMMYFUNCTION("""COMPUTED_VALUE"""),43838.347974537035)</f>
        <v>43838.34797</v>
      </c>
      <c r="D10" s="4" t="str">
        <f>IFERROR(__xludf.DUMMYFUNCTION("""COMPUTED_VALUE"""),"RESOLVED")</f>
        <v>RESOLVED</v>
      </c>
      <c r="E10" s="6">
        <f>IFERROR(__xludf.DUMMYFUNCTION("""COMPUTED_VALUE"""),44384.80030092593)</f>
        <v>44384.8003</v>
      </c>
      <c r="F10" s="4" t="str">
        <f>IFERROR(__xludf.DUMMYFUNCTION("""COMPUTED_VALUE""")," ---")</f>
        <v> ---</v>
      </c>
      <c r="G10" s="4" t="str">
        <f>IFERROR(__xludf.DUMMYFUNCTION("""COMPUTED_VALUE"""),"SUSE Linux Enterprise Server 15 SP2")</f>
        <v>SUSE Linux Enterprise Server 15 SP2</v>
      </c>
      <c r="H10" s="7" t="str">
        <f t="shared" si="2"/>
        <v>NO</v>
      </c>
      <c r="I10" s="7" t="str">
        <f t="shared" si="3"/>
        <v>NO</v>
      </c>
    </row>
    <row r="11">
      <c r="A11" s="4">
        <f>IFERROR(__xludf.DUMMYFUNCTION("""COMPUTED_VALUE"""),1157156.0)</f>
        <v>1157156</v>
      </c>
      <c r="B11" s="4" t="str">
        <f>IFERROR(__xludf.DUMMYFUNCTION("""COMPUTED_VALUE"""),"P1 - Urgent")</f>
        <v>P1 - Urgent</v>
      </c>
      <c r="C11" s="5">
        <f>IFERROR(__xludf.DUMMYFUNCTION("""COMPUTED_VALUE"""),43788.46863425926)</f>
        <v>43788.46863</v>
      </c>
      <c r="D11" s="4" t="str">
        <f>IFERROR(__xludf.DUMMYFUNCTION("""COMPUTED_VALUE"""),"RESOLVED")</f>
        <v>RESOLVED</v>
      </c>
      <c r="E11" s="6">
        <f>IFERROR(__xludf.DUMMYFUNCTION("""COMPUTED_VALUE"""),43805.64482638889)</f>
        <v>43805.64483</v>
      </c>
      <c r="F11" s="4" t="str">
        <f>IFERROR(__xludf.DUMMYFUNCTION("""COMPUTED_VALUE""")," ---")</f>
        <v> ---</v>
      </c>
      <c r="G11" s="4" t="str">
        <f>IFERROR(__xludf.DUMMYFUNCTION("""COMPUTED_VALUE"""),"SUSE Linux Enterprise Server 15 SP2")</f>
        <v>SUSE Linux Enterprise Server 15 SP2</v>
      </c>
      <c r="H11" s="7" t="str">
        <f t="shared" si="2"/>
        <v>NO</v>
      </c>
      <c r="I11" s="7" t="str">
        <f t="shared" si="3"/>
        <v>NO</v>
      </c>
    </row>
    <row r="12">
      <c r="A12" s="4">
        <f>IFERROR(__xludf.DUMMYFUNCTION("""COMPUTED_VALUE"""),1161261.0)</f>
        <v>1161261</v>
      </c>
      <c r="B12" s="4" t="str">
        <f>IFERROR(__xludf.DUMMYFUNCTION("""COMPUTED_VALUE"""),"P1 - Urgent")</f>
        <v>P1 - Urgent</v>
      </c>
      <c r="C12" s="5">
        <f>IFERROR(__xludf.DUMMYFUNCTION("""COMPUTED_VALUE"""),43849.279340277775)</f>
        <v>43849.27934</v>
      </c>
      <c r="D12" s="4" t="str">
        <f>IFERROR(__xludf.DUMMYFUNCTION("""COMPUTED_VALUE"""),"RESOLVED")</f>
        <v>RESOLVED</v>
      </c>
      <c r="E12" s="6">
        <f>IFERROR(__xludf.DUMMYFUNCTION("""COMPUTED_VALUE"""),43893.651400462964)</f>
        <v>43893.6514</v>
      </c>
      <c r="F12" s="4" t="str">
        <f>IFERROR(__xludf.DUMMYFUNCTION("""COMPUTED_VALUE""")," ---")</f>
        <v> ---</v>
      </c>
      <c r="G12" s="4" t="str">
        <f>IFERROR(__xludf.DUMMYFUNCTION("""COMPUTED_VALUE"""),"SUSE Linux Enterprise Server 15 SP2")</f>
        <v>SUSE Linux Enterprise Server 15 SP2</v>
      </c>
      <c r="H12" s="7" t="str">
        <f t="shared" si="2"/>
        <v>NO</v>
      </c>
      <c r="I12" s="7" t="str">
        <f t="shared" si="3"/>
        <v>NO</v>
      </c>
    </row>
    <row r="13">
      <c r="A13" s="4">
        <f>IFERROR(__xludf.DUMMYFUNCTION("""COMPUTED_VALUE"""),1161428.0)</f>
        <v>1161428</v>
      </c>
      <c r="B13" s="4" t="str">
        <f>IFERROR(__xludf.DUMMYFUNCTION("""COMPUTED_VALUE"""),"P1 - Urgent")</f>
        <v>P1 - Urgent</v>
      </c>
      <c r="C13" s="5">
        <f>IFERROR(__xludf.DUMMYFUNCTION("""COMPUTED_VALUE"""),43851.57)</f>
        <v>43851.57</v>
      </c>
      <c r="D13" s="4" t="str">
        <f>IFERROR(__xludf.DUMMYFUNCTION("""COMPUTED_VALUE"""),"RESOLVED")</f>
        <v>RESOLVED</v>
      </c>
      <c r="E13" s="6">
        <f>IFERROR(__xludf.DUMMYFUNCTION("""COMPUTED_VALUE"""),44384.801875)</f>
        <v>44384.80188</v>
      </c>
      <c r="F13" s="4" t="str">
        <f>IFERROR(__xludf.DUMMYFUNCTION("""COMPUTED_VALUE"""),"Yes")</f>
        <v>Yes</v>
      </c>
      <c r="G13" s="4" t="str">
        <f>IFERROR(__xludf.DUMMYFUNCTION("""COMPUTED_VALUE"""),"SUSE Linux Enterprise Server 15 SP2")</f>
        <v>SUSE Linux Enterprise Server 15 SP2</v>
      </c>
      <c r="H13" s="7" t="str">
        <f t="shared" si="2"/>
        <v>NO</v>
      </c>
      <c r="I13" s="7" t="str">
        <f t="shared" si="3"/>
        <v>NO</v>
      </c>
    </row>
    <row r="14">
      <c r="A14" s="4">
        <f>IFERROR(__xludf.DUMMYFUNCTION("""COMPUTED_VALUE"""),1162943.0)</f>
        <v>1162943</v>
      </c>
      <c r="B14" s="4" t="str">
        <f>IFERROR(__xludf.DUMMYFUNCTION("""COMPUTED_VALUE"""),"P1 - Urgent")</f>
        <v>P1 - Urgent</v>
      </c>
      <c r="C14" s="5">
        <f>IFERROR(__xludf.DUMMYFUNCTION("""COMPUTED_VALUE"""),43867.409270833334)</f>
        <v>43867.40927</v>
      </c>
      <c r="D14" s="4" t="str">
        <f>IFERROR(__xludf.DUMMYFUNCTION("""COMPUTED_VALUE"""),"RESOLVED")</f>
        <v>RESOLVED</v>
      </c>
      <c r="E14" s="6">
        <f>IFERROR(__xludf.DUMMYFUNCTION("""COMPUTED_VALUE"""),44624.91715277778)</f>
        <v>44624.91715</v>
      </c>
      <c r="F14" s="4" t="str">
        <f>IFERROR(__xludf.DUMMYFUNCTION("""COMPUTED_VALUE""")," ---")</f>
        <v> ---</v>
      </c>
      <c r="G14" s="4" t="str">
        <f>IFERROR(__xludf.DUMMYFUNCTION("""COMPUTED_VALUE"""),"SUSE Linux Enterprise Server 15 SP2")</f>
        <v>SUSE Linux Enterprise Server 15 SP2</v>
      </c>
      <c r="H14" s="7" t="str">
        <f t="shared" si="2"/>
        <v>NO</v>
      </c>
      <c r="I14" s="7" t="str">
        <f t="shared" si="3"/>
        <v>NO</v>
      </c>
    </row>
    <row r="15">
      <c r="A15" s="4">
        <f>IFERROR(__xludf.DUMMYFUNCTION("""COMPUTED_VALUE"""),1168999.0)</f>
        <v>1168999</v>
      </c>
      <c r="B15" s="4" t="str">
        <f>IFERROR(__xludf.DUMMYFUNCTION("""COMPUTED_VALUE"""),"P1 - Urgent")</f>
        <v>P1 - Urgent</v>
      </c>
      <c r="C15" s="5">
        <f>IFERROR(__xludf.DUMMYFUNCTION("""COMPUTED_VALUE"""),43929.62)</f>
        <v>43929.62</v>
      </c>
      <c r="D15" s="4" t="str">
        <f>IFERROR(__xludf.DUMMYFUNCTION("""COMPUTED_VALUE"""),"RESOLVED")</f>
        <v>RESOLVED</v>
      </c>
      <c r="E15" s="6">
        <f>IFERROR(__xludf.DUMMYFUNCTION("""COMPUTED_VALUE"""),44384.82443287037)</f>
        <v>44384.82443</v>
      </c>
      <c r="F15" s="4" t="str">
        <f>IFERROR(__xludf.DUMMYFUNCTION("""COMPUTED_VALUE""")," ---")</f>
        <v> ---</v>
      </c>
      <c r="G15" s="4" t="str">
        <f>IFERROR(__xludf.DUMMYFUNCTION("""COMPUTED_VALUE"""),"SUSE Linux Enterprise Server 15 SP2")</f>
        <v>SUSE Linux Enterprise Server 15 SP2</v>
      </c>
      <c r="H15" s="7" t="str">
        <f t="shared" si="2"/>
        <v>NO</v>
      </c>
      <c r="I15" s="7" t="str">
        <f t="shared" si="3"/>
        <v>NO</v>
      </c>
    </row>
    <row r="16">
      <c r="A16" s="4">
        <f>IFERROR(__xludf.DUMMYFUNCTION("""COMPUTED_VALUE"""),1165545.0)</f>
        <v>1165545</v>
      </c>
      <c r="B16" s="4" t="str">
        <f>IFERROR(__xludf.DUMMYFUNCTION("""COMPUTED_VALUE"""),"P1 - Urgent")</f>
        <v>P1 - Urgent</v>
      </c>
      <c r="C16" s="5">
        <f>IFERROR(__xludf.DUMMYFUNCTION("""COMPUTED_VALUE"""),43893.4865625)</f>
        <v>43893.48656</v>
      </c>
      <c r="D16" s="4" t="str">
        <f>IFERROR(__xludf.DUMMYFUNCTION("""COMPUTED_VALUE"""),"RESOLVED")</f>
        <v>RESOLVED</v>
      </c>
      <c r="E16" s="6">
        <f>IFERROR(__xludf.DUMMYFUNCTION("""COMPUTED_VALUE"""),44384.81737268518)</f>
        <v>44384.81737</v>
      </c>
      <c r="F16" s="4" t="str">
        <f>IFERROR(__xludf.DUMMYFUNCTION("""COMPUTED_VALUE""")," ---")</f>
        <v> ---</v>
      </c>
      <c r="G16" s="4" t="str">
        <f>IFERROR(__xludf.DUMMYFUNCTION("""COMPUTED_VALUE"""),"SUSE Linux Enterprise Server 15 SP2")</f>
        <v>SUSE Linux Enterprise Server 15 SP2</v>
      </c>
      <c r="H16" s="7" t="str">
        <f t="shared" si="2"/>
        <v>NO</v>
      </c>
      <c r="I16" s="7" t="str">
        <f t="shared" si="3"/>
        <v>NO</v>
      </c>
    </row>
    <row r="17">
      <c r="A17" s="4">
        <f>IFERROR(__xludf.DUMMYFUNCTION("""COMPUTED_VALUE"""),1167703.0)</f>
        <v>1167703</v>
      </c>
      <c r="B17" s="4" t="str">
        <f>IFERROR(__xludf.DUMMYFUNCTION("""COMPUTED_VALUE"""),"P1 - Urgent")</f>
        <v>P1 - Urgent</v>
      </c>
      <c r="C17" s="5">
        <f>IFERROR(__xludf.DUMMYFUNCTION("""COMPUTED_VALUE"""),43916.22704861111)</f>
        <v>43916.22705</v>
      </c>
      <c r="D17" s="4" t="str">
        <f>IFERROR(__xludf.DUMMYFUNCTION("""COMPUTED_VALUE"""),"RESOLVED")</f>
        <v>RESOLVED</v>
      </c>
      <c r="E17" s="6">
        <f>IFERROR(__xludf.DUMMYFUNCTION("""COMPUTED_VALUE"""),44349.41373842592)</f>
        <v>44349.41374</v>
      </c>
      <c r="F17" s="4" t="str">
        <f>IFERROR(__xludf.DUMMYFUNCTION("""COMPUTED_VALUE""")," ---")</f>
        <v> ---</v>
      </c>
      <c r="G17" s="4" t="str">
        <f>IFERROR(__xludf.DUMMYFUNCTION("""COMPUTED_VALUE"""),"SUSE Linux Enterprise Server 15 SP2")</f>
        <v>SUSE Linux Enterprise Server 15 SP2</v>
      </c>
      <c r="H17" s="7" t="str">
        <f t="shared" si="2"/>
        <v>NO</v>
      </c>
      <c r="I17" s="7" t="str">
        <f t="shared" si="3"/>
        <v>NO</v>
      </c>
    </row>
    <row r="18">
      <c r="A18" s="4">
        <f>IFERROR(__xludf.DUMMYFUNCTION("""COMPUTED_VALUE"""),1164436.0)</f>
        <v>1164436</v>
      </c>
      <c r="B18" s="4" t="str">
        <f>IFERROR(__xludf.DUMMYFUNCTION("""COMPUTED_VALUE"""),"P1 - Urgent")</f>
        <v>P1 - Urgent</v>
      </c>
      <c r="C18" s="5">
        <f>IFERROR(__xludf.DUMMYFUNCTION("""COMPUTED_VALUE"""),43881.3478125)</f>
        <v>43881.34781</v>
      </c>
      <c r="D18" s="4" t="str">
        <f>IFERROR(__xludf.DUMMYFUNCTION("""COMPUTED_VALUE"""),"RESOLVED")</f>
        <v>RESOLVED</v>
      </c>
      <c r="E18" s="6">
        <f>IFERROR(__xludf.DUMMYFUNCTION("""COMPUTED_VALUE"""),44384.81600694444)</f>
        <v>44384.81601</v>
      </c>
      <c r="F18" s="4" t="str">
        <f>IFERROR(__xludf.DUMMYFUNCTION("""COMPUTED_VALUE""")," ---")</f>
        <v> ---</v>
      </c>
      <c r="G18" s="4" t="str">
        <f>IFERROR(__xludf.DUMMYFUNCTION("""COMPUTED_VALUE"""),"SUSE Linux Enterprise Server 15 SP2")</f>
        <v>SUSE Linux Enterprise Server 15 SP2</v>
      </c>
      <c r="H18" s="7" t="str">
        <f t="shared" si="2"/>
        <v>NO</v>
      </c>
      <c r="I18" s="7" t="str">
        <f t="shared" si="3"/>
        <v>NO</v>
      </c>
    </row>
    <row r="19">
      <c r="A19" s="4">
        <f>IFERROR(__xludf.DUMMYFUNCTION("""COMPUTED_VALUE"""),1171440.0)</f>
        <v>1171440</v>
      </c>
      <c r="B19" s="4" t="str">
        <f>IFERROR(__xludf.DUMMYFUNCTION("""COMPUTED_VALUE"""),"P1 - Urgent")</f>
        <v>P1 - Urgent</v>
      </c>
      <c r="C19" s="5">
        <f>IFERROR(__xludf.DUMMYFUNCTION("""COMPUTED_VALUE"""),43962.394594907404)</f>
        <v>43962.39459</v>
      </c>
      <c r="D19" s="4" t="str">
        <f>IFERROR(__xludf.DUMMYFUNCTION("""COMPUTED_VALUE"""),"RESOLVED")</f>
        <v>RESOLVED</v>
      </c>
      <c r="E19" s="6">
        <f>IFERROR(__xludf.DUMMYFUNCTION("""COMPUTED_VALUE"""),43964.556550925925)</f>
        <v>43964.55655</v>
      </c>
      <c r="F19" s="4" t="str">
        <f>IFERROR(__xludf.DUMMYFUNCTION("""COMPUTED_VALUE""")," ---")</f>
        <v> ---</v>
      </c>
      <c r="G19" s="4" t="str">
        <f>IFERROR(__xludf.DUMMYFUNCTION("""COMPUTED_VALUE"""),"SUSE Linux Enterprise Server 15 SP2")</f>
        <v>SUSE Linux Enterprise Server 15 SP2</v>
      </c>
      <c r="H19" s="7" t="str">
        <f t="shared" si="2"/>
        <v>NO</v>
      </c>
      <c r="I19" s="7" t="str">
        <f t="shared" si="3"/>
        <v>NO</v>
      </c>
    </row>
    <row r="20">
      <c r="A20" s="4">
        <f>IFERROR(__xludf.DUMMYFUNCTION("""COMPUTED_VALUE"""),1171644.0)</f>
        <v>1171644</v>
      </c>
      <c r="B20" s="4" t="str">
        <f>IFERROR(__xludf.DUMMYFUNCTION("""COMPUTED_VALUE"""),"P1 - Urgent")</f>
        <v>P1 - Urgent</v>
      </c>
      <c r="C20" s="5">
        <f>IFERROR(__xludf.DUMMYFUNCTION("""COMPUTED_VALUE"""),43965.2843287037)</f>
        <v>43965.28433</v>
      </c>
      <c r="D20" s="4" t="str">
        <f>IFERROR(__xludf.DUMMYFUNCTION("""COMPUTED_VALUE"""),"VERIFIED")</f>
        <v>VERIFIED</v>
      </c>
      <c r="E20" s="6">
        <f>IFERROR(__xludf.DUMMYFUNCTION("""COMPUTED_VALUE"""),44384.82886574074)</f>
        <v>44384.82887</v>
      </c>
      <c r="F20" s="4" t="str">
        <f>IFERROR(__xludf.DUMMYFUNCTION("""COMPUTED_VALUE""")," ---")</f>
        <v> ---</v>
      </c>
      <c r="G20" s="4" t="str">
        <f>IFERROR(__xludf.DUMMYFUNCTION("""COMPUTED_VALUE"""),"SUSE Linux Enterprise Server 15 SP2")</f>
        <v>SUSE Linux Enterprise Server 15 SP2</v>
      </c>
      <c r="H20" s="7" t="str">
        <f t="shared" si="2"/>
        <v>NO</v>
      </c>
      <c r="I20" s="7" t="str">
        <f t="shared" si="3"/>
        <v>NO</v>
      </c>
    </row>
    <row r="21">
      <c r="A21" s="4">
        <f>IFERROR(__xludf.DUMMYFUNCTION("""COMPUTED_VALUE"""),1171647.0)</f>
        <v>1171647</v>
      </c>
      <c r="B21" s="4" t="str">
        <f>IFERROR(__xludf.DUMMYFUNCTION("""COMPUTED_VALUE"""),"P1 - Urgent")</f>
        <v>P1 - Urgent</v>
      </c>
      <c r="C21" s="5">
        <f>IFERROR(__xludf.DUMMYFUNCTION("""COMPUTED_VALUE"""),43965.332766203705)</f>
        <v>43965.33277</v>
      </c>
      <c r="D21" s="4" t="str">
        <f>IFERROR(__xludf.DUMMYFUNCTION("""COMPUTED_VALUE"""),"VERIFIED")</f>
        <v>VERIFIED</v>
      </c>
      <c r="E21" s="6">
        <f>IFERROR(__xludf.DUMMYFUNCTION("""COMPUTED_VALUE"""),44010.34559027778)</f>
        <v>44010.34559</v>
      </c>
      <c r="F21" s="4" t="str">
        <f>IFERROR(__xludf.DUMMYFUNCTION("""COMPUTED_VALUE""")," ---")</f>
        <v> ---</v>
      </c>
      <c r="G21" s="4" t="str">
        <f>IFERROR(__xludf.DUMMYFUNCTION("""COMPUTED_VALUE"""),"SUSE Linux Enterprise Server 15 SP2")</f>
        <v>SUSE Linux Enterprise Server 15 SP2</v>
      </c>
      <c r="H21" s="7" t="str">
        <f t="shared" si="2"/>
        <v>NO</v>
      </c>
      <c r="I21" s="7" t="str">
        <f t="shared" si="3"/>
        <v>NO</v>
      </c>
    </row>
    <row r="22">
      <c r="A22" s="4">
        <f>IFERROR(__xludf.DUMMYFUNCTION("""COMPUTED_VALUE"""),1156954.0)</f>
        <v>1156954</v>
      </c>
      <c r="B22" s="4" t="str">
        <f>IFERROR(__xludf.DUMMYFUNCTION("""COMPUTED_VALUE"""),"P1 - Urgent")</f>
        <v>P1 - Urgent</v>
      </c>
      <c r="C22" s="5">
        <f>IFERROR(__xludf.DUMMYFUNCTION("""COMPUTED_VALUE"""),43787.13282407408)</f>
        <v>43787.13282</v>
      </c>
      <c r="D22" s="4" t="str">
        <f>IFERROR(__xludf.DUMMYFUNCTION("""COMPUTED_VALUE"""),"VERIFIED")</f>
        <v>VERIFIED</v>
      </c>
      <c r="E22" s="6">
        <f>IFERROR(__xludf.DUMMYFUNCTION("""COMPUTED_VALUE"""),44384.79298611111)</f>
        <v>44384.79299</v>
      </c>
      <c r="F22" s="4" t="str">
        <f>IFERROR(__xludf.DUMMYFUNCTION("""COMPUTED_VALUE""")," ---")</f>
        <v> ---</v>
      </c>
      <c r="G22" s="4" t="str">
        <f>IFERROR(__xludf.DUMMYFUNCTION("""COMPUTED_VALUE"""),"SUSE Linux Enterprise Server 15 SP2")</f>
        <v>SUSE Linux Enterprise Server 15 SP2</v>
      </c>
      <c r="H22" s="7" t="str">
        <f t="shared" si="2"/>
        <v>NO</v>
      </c>
      <c r="I22" s="7" t="str">
        <f t="shared" si="3"/>
        <v>NO</v>
      </c>
    </row>
    <row r="23">
      <c r="A23" s="4">
        <f>IFERROR(__xludf.DUMMYFUNCTION("""COMPUTED_VALUE"""),1167338.0)</f>
        <v>1167338</v>
      </c>
      <c r="B23" s="4" t="str">
        <f>IFERROR(__xludf.DUMMYFUNCTION("""COMPUTED_VALUE"""),"P1 - Urgent")</f>
        <v>P1 - Urgent</v>
      </c>
      <c r="C23" s="5">
        <f>IFERROR(__xludf.DUMMYFUNCTION("""COMPUTED_VALUE"""),43912.667337962965)</f>
        <v>43912.66734</v>
      </c>
      <c r="D23" s="4" t="str">
        <f>IFERROR(__xludf.DUMMYFUNCTION("""COMPUTED_VALUE"""),"VERIFIED")</f>
        <v>VERIFIED</v>
      </c>
      <c r="E23" s="6">
        <f>IFERROR(__xludf.DUMMYFUNCTION("""COMPUTED_VALUE"""),44384.82200231482)</f>
        <v>44384.822</v>
      </c>
      <c r="F23" s="4" t="str">
        <f>IFERROR(__xludf.DUMMYFUNCTION("""COMPUTED_VALUE""")," ---")</f>
        <v> ---</v>
      </c>
      <c r="G23" s="4" t="str">
        <f>IFERROR(__xludf.DUMMYFUNCTION("""COMPUTED_VALUE"""),"SUSE Linux Enterprise Server 15 SP2")</f>
        <v>SUSE Linux Enterprise Server 15 SP2</v>
      </c>
      <c r="H23" s="7" t="str">
        <f t="shared" si="2"/>
        <v>NO</v>
      </c>
      <c r="I23" s="7" t="str">
        <f t="shared" si="3"/>
        <v>NO</v>
      </c>
    </row>
    <row r="24">
      <c r="A24" s="4">
        <f>IFERROR(__xludf.DUMMYFUNCTION("""COMPUTED_VALUE"""),1169152.0)</f>
        <v>1169152</v>
      </c>
      <c r="B24" s="4" t="str">
        <f>IFERROR(__xludf.DUMMYFUNCTION("""COMPUTED_VALUE"""),"P1 - Urgent")</f>
        <v>P1 - Urgent</v>
      </c>
      <c r="C24" s="5">
        <f>IFERROR(__xludf.DUMMYFUNCTION("""COMPUTED_VALUE"""),43930.9278125)</f>
        <v>43930.92781</v>
      </c>
      <c r="D24" s="4" t="str">
        <f>IFERROR(__xludf.DUMMYFUNCTION("""COMPUTED_VALUE"""),"VERIFIED")</f>
        <v>VERIFIED</v>
      </c>
      <c r="E24" s="6">
        <f>IFERROR(__xludf.DUMMYFUNCTION("""COMPUTED_VALUE"""),43937.762650462966)</f>
        <v>43937.76265</v>
      </c>
      <c r="F24" s="4" t="str">
        <f>IFERROR(__xludf.DUMMYFUNCTION("""COMPUTED_VALUE""")," ---")</f>
        <v> ---</v>
      </c>
      <c r="G24" s="4" t="str">
        <f>IFERROR(__xludf.DUMMYFUNCTION("""COMPUTED_VALUE"""),"SUSE Linux Enterprise Server 15 SP2")</f>
        <v>SUSE Linux Enterprise Server 15 SP2</v>
      </c>
      <c r="H24" s="7" t="str">
        <f t="shared" si="2"/>
        <v>NO</v>
      </c>
      <c r="I24" s="7" t="str">
        <f t="shared" si="3"/>
        <v>NO</v>
      </c>
    </row>
    <row r="25">
      <c r="A25" s="4">
        <f>IFERROR(__xludf.DUMMYFUNCTION("""COMPUTED_VALUE"""),1158627.0)</f>
        <v>1158627</v>
      </c>
      <c r="B25" s="4" t="str">
        <f>IFERROR(__xludf.DUMMYFUNCTION("""COMPUTED_VALUE"""),"P1 - Urgent")</f>
        <v>P1 - Urgent</v>
      </c>
      <c r="C25" s="5">
        <f>IFERROR(__xludf.DUMMYFUNCTION("""COMPUTED_VALUE"""),43805.36035879629)</f>
        <v>43805.36036</v>
      </c>
      <c r="D25" s="4" t="str">
        <f>IFERROR(__xludf.DUMMYFUNCTION("""COMPUTED_VALUE"""),"VERIFIED")</f>
        <v>VERIFIED</v>
      </c>
      <c r="E25" s="6">
        <f>IFERROR(__xludf.DUMMYFUNCTION("""COMPUTED_VALUE"""),44006.16303240741)</f>
        <v>44006.16303</v>
      </c>
      <c r="F25" s="4" t="str">
        <f>IFERROR(__xludf.DUMMYFUNCTION("""COMPUTED_VALUE""")," ---")</f>
        <v> ---</v>
      </c>
      <c r="G25" s="4" t="str">
        <f>IFERROR(__xludf.DUMMYFUNCTION("""COMPUTED_VALUE"""),"SUSE Linux Enterprise Server 15 SP2")</f>
        <v>SUSE Linux Enterprise Server 15 SP2</v>
      </c>
      <c r="H25" s="7" t="str">
        <f t="shared" si="2"/>
        <v>NO</v>
      </c>
      <c r="I25" s="7" t="str">
        <f t="shared" si="3"/>
        <v>NO</v>
      </c>
    </row>
    <row r="26">
      <c r="A26" s="4">
        <f>IFERROR(__xludf.DUMMYFUNCTION("""COMPUTED_VALUE"""),1165527.0)</f>
        <v>1165527</v>
      </c>
      <c r="B26" s="4" t="str">
        <f>IFERROR(__xludf.DUMMYFUNCTION("""COMPUTED_VALUE"""),"P1 - Urgent")</f>
        <v>P1 - Urgent</v>
      </c>
      <c r="C26" s="5">
        <f>IFERROR(__xludf.DUMMYFUNCTION("""COMPUTED_VALUE"""),43893.41023148148)</f>
        <v>43893.41023</v>
      </c>
      <c r="D26" s="4" t="str">
        <f>IFERROR(__xludf.DUMMYFUNCTION("""COMPUTED_VALUE"""),"VERIFIED")</f>
        <v>VERIFIED</v>
      </c>
      <c r="E26" s="6">
        <f>IFERROR(__xludf.DUMMYFUNCTION("""COMPUTED_VALUE"""),44624.9196875)</f>
        <v>44624.91969</v>
      </c>
      <c r="F26" s="4" t="str">
        <f>IFERROR(__xludf.DUMMYFUNCTION("""COMPUTED_VALUE""")," ---")</f>
        <v> ---</v>
      </c>
      <c r="G26" s="4" t="str">
        <f>IFERROR(__xludf.DUMMYFUNCTION("""COMPUTED_VALUE"""),"SUSE Linux Enterprise Server 15 SP2")</f>
        <v>SUSE Linux Enterprise Server 15 SP2</v>
      </c>
      <c r="H26" s="7" t="str">
        <f t="shared" si="2"/>
        <v>NO</v>
      </c>
      <c r="I26" s="7" t="str">
        <f t="shared" si="3"/>
        <v>NO</v>
      </c>
    </row>
    <row r="27">
      <c r="A27" s="4">
        <f>IFERROR(__xludf.DUMMYFUNCTION("""COMPUTED_VALUE"""),1171507.0)</f>
        <v>1171507</v>
      </c>
      <c r="B27" s="4" t="str">
        <f>IFERROR(__xludf.DUMMYFUNCTION("""COMPUTED_VALUE"""),"P1 - Urgent")</f>
        <v>P1 - Urgent</v>
      </c>
      <c r="C27" s="5">
        <f>IFERROR(__xludf.DUMMYFUNCTION("""COMPUTED_VALUE"""),43963.40796296296)</f>
        <v>43963.40796</v>
      </c>
      <c r="D27" s="4" t="str">
        <f>IFERROR(__xludf.DUMMYFUNCTION("""COMPUTED_VALUE"""),"VERIFIED")</f>
        <v>VERIFIED</v>
      </c>
      <c r="E27" s="6">
        <f>IFERROR(__xludf.DUMMYFUNCTION("""COMPUTED_VALUE"""),44384.82854166667)</f>
        <v>44384.82854</v>
      </c>
      <c r="F27" s="4" t="str">
        <f>IFERROR(__xludf.DUMMYFUNCTION("""COMPUTED_VALUE""")," ---")</f>
        <v> ---</v>
      </c>
      <c r="G27" s="4" t="str">
        <f>IFERROR(__xludf.DUMMYFUNCTION("""COMPUTED_VALUE"""),"SUSE Linux Enterprise Server 15 SP2")</f>
        <v>SUSE Linux Enterprise Server 15 SP2</v>
      </c>
      <c r="H27" s="7" t="str">
        <f t="shared" si="2"/>
        <v>NO</v>
      </c>
      <c r="I27" s="7" t="str">
        <f t="shared" si="3"/>
        <v>NO</v>
      </c>
    </row>
    <row r="28">
      <c r="A28" s="4">
        <f>IFERROR(__xludf.DUMMYFUNCTION("""COMPUTED_VALUE"""),1167201.0)</f>
        <v>1167201</v>
      </c>
      <c r="B28" s="4" t="str">
        <f>IFERROR(__xludf.DUMMYFUNCTION("""COMPUTED_VALUE"""),"P1 - Urgent")</f>
        <v>P1 - Urgent</v>
      </c>
      <c r="C28" s="5">
        <f>IFERROR(__xludf.DUMMYFUNCTION("""COMPUTED_VALUE"""),43910.30662037037)</f>
        <v>43910.30662</v>
      </c>
      <c r="D28" s="4" t="str">
        <f>IFERROR(__xludf.DUMMYFUNCTION("""COMPUTED_VALUE"""),"VERIFIED")</f>
        <v>VERIFIED</v>
      </c>
      <c r="E28" s="6">
        <f>IFERROR(__xludf.DUMMYFUNCTION("""COMPUTED_VALUE"""),44384.82177083333)</f>
        <v>44384.82177</v>
      </c>
      <c r="F28" s="4" t="str">
        <f>IFERROR(__xludf.DUMMYFUNCTION("""COMPUTED_VALUE""")," ---")</f>
        <v> ---</v>
      </c>
      <c r="G28" s="4" t="str">
        <f>IFERROR(__xludf.DUMMYFUNCTION("""COMPUTED_VALUE"""),"SUSE Linux Enterprise Server 15 SP2")</f>
        <v>SUSE Linux Enterprise Server 15 SP2</v>
      </c>
      <c r="H28" s="7" t="str">
        <f t="shared" si="2"/>
        <v>NO</v>
      </c>
      <c r="I28" s="7" t="str">
        <f t="shared" si="3"/>
        <v>NO</v>
      </c>
    </row>
    <row r="29">
      <c r="A29" s="4">
        <f>IFERROR(__xludf.DUMMYFUNCTION("""COMPUTED_VALUE"""),1168081.0)</f>
        <v>1168081</v>
      </c>
      <c r="B29" s="4" t="str">
        <f>IFERROR(__xludf.DUMMYFUNCTION("""COMPUTED_VALUE"""),"P1 - Urgent")</f>
        <v>P1 - Urgent</v>
      </c>
      <c r="C29" s="5">
        <f>IFERROR(__xludf.DUMMYFUNCTION("""COMPUTED_VALUE"""),43920.58924768519)</f>
        <v>43920.58925</v>
      </c>
      <c r="D29" s="4" t="str">
        <f>IFERROR(__xludf.DUMMYFUNCTION("""COMPUTED_VALUE"""),"VERIFIED")</f>
        <v>VERIFIED</v>
      </c>
      <c r="E29" s="6">
        <f>IFERROR(__xludf.DUMMYFUNCTION("""COMPUTED_VALUE"""),44624.921122685184)</f>
        <v>44624.92112</v>
      </c>
      <c r="F29" s="4" t="str">
        <f>IFERROR(__xludf.DUMMYFUNCTION("""COMPUTED_VALUE"""),"Yes")</f>
        <v>Yes</v>
      </c>
      <c r="G29" s="4" t="str">
        <f>IFERROR(__xludf.DUMMYFUNCTION("""COMPUTED_VALUE"""),"SUSE Linux Enterprise Server 15 SP2")</f>
        <v>SUSE Linux Enterprise Server 15 SP2</v>
      </c>
      <c r="H29" s="7" t="str">
        <f t="shared" si="2"/>
        <v>NO</v>
      </c>
      <c r="I29" s="7" t="str">
        <f t="shared" si="3"/>
        <v>NO</v>
      </c>
    </row>
    <row r="30">
      <c r="A30" s="4">
        <f>IFERROR(__xludf.DUMMYFUNCTION("""COMPUTED_VALUE"""),1151943.0)</f>
        <v>1151943</v>
      </c>
      <c r="B30" s="4" t="str">
        <f>IFERROR(__xludf.DUMMYFUNCTION("""COMPUTED_VALUE"""),"P1 - Urgent")</f>
        <v>P1 - Urgent</v>
      </c>
      <c r="C30" s="5">
        <f>IFERROR(__xludf.DUMMYFUNCTION("""COMPUTED_VALUE"""),43733.31407407407)</f>
        <v>43733.31407</v>
      </c>
      <c r="D30" s="4" t="str">
        <f>IFERROR(__xludf.DUMMYFUNCTION("""COMPUTED_VALUE"""),"VERIFIED")</f>
        <v>VERIFIED</v>
      </c>
      <c r="E30" s="6">
        <f>IFERROR(__xludf.DUMMYFUNCTION("""COMPUTED_VALUE"""),43888.648460648146)</f>
        <v>43888.64846</v>
      </c>
      <c r="F30" s="4" t="str">
        <f>IFERROR(__xludf.DUMMYFUNCTION("""COMPUTED_VALUE""")," ---")</f>
        <v> ---</v>
      </c>
      <c r="G30" s="4" t="str">
        <f>IFERROR(__xludf.DUMMYFUNCTION("""COMPUTED_VALUE"""),"SUSE Linux Enterprise Server 15 SP2")</f>
        <v>SUSE Linux Enterprise Server 15 SP2</v>
      </c>
      <c r="H30" s="7" t="str">
        <f t="shared" si="2"/>
        <v>NO</v>
      </c>
      <c r="I30" s="7" t="str">
        <f t="shared" si="3"/>
        <v>NO</v>
      </c>
    </row>
    <row r="31">
      <c r="A31" s="4">
        <f>IFERROR(__xludf.DUMMYFUNCTION("""COMPUTED_VALUE"""),1166353.0)</f>
        <v>1166353</v>
      </c>
      <c r="B31" s="4" t="str">
        <f>IFERROR(__xludf.DUMMYFUNCTION("""COMPUTED_VALUE"""),"P2 - High")</f>
        <v>P2 - High</v>
      </c>
      <c r="C31" s="5">
        <f>IFERROR(__xludf.DUMMYFUNCTION("""COMPUTED_VALUE"""),43901.424780092595)</f>
        <v>43901.42478</v>
      </c>
      <c r="D31" s="4" t="str">
        <f>IFERROR(__xludf.DUMMYFUNCTION("""COMPUTED_VALUE"""),"NEW")</f>
        <v>NEW</v>
      </c>
      <c r="E31" s="6">
        <f>IFERROR(__xludf.DUMMYFUNCTION("""COMPUTED_VALUE"""),44356.47640046296)</f>
        <v>44356.4764</v>
      </c>
      <c r="F31" s="4" t="str">
        <f>IFERROR(__xludf.DUMMYFUNCTION("""COMPUTED_VALUE""")," ---")</f>
        <v> ---</v>
      </c>
      <c r="G31" s="4" t="str">
        <f>IFERROR(__xludf.DUMMYFUNCTION("""COMPUTED_VALUE"""),"SUSE Linux Enterprise Server 15 SP2")</f>
        <v>SUSE Linux Enterprise Server 15 SP2</v>
      </c>
      <c r="H31" s="7" t="str">
        <f t="shared" si="2"/>
        <v>NO</v>
      </c>
      <c r="I31" s="7" t="str">
        <f t="shared" si="3"/>
        <v>NO</v>
      </c>
    </row>
    <row r="32">
      <c r="A32" s="4">
        <f>IFERROR(__xludf.DUMMYFUNCTION("""COMPUTED_VALUE"""),1161515.0)</f>
        <v>1161515</v>
      </c>
      <c r="B32" s="4" t="str">
        <f>IFERROR(__xludf.DUMMYFUNCTION("""COMPUTED_VALUE"""),"P2 - High")</f>
        <v>P2 - High</v>
      </c>
      <c r="C32" s="5">
        <f>IFERROR(__xludf.DUMMYFUNCTION("""COMPUTED_VALUE"""),43852.414513888885)</f>
        <v>43852.41451</v>
      </c>
      <c r="D32" s="4" t="str">
        <f>IFERROR(__xludf.DUMMYFUNCTION("""COMPUTED_VALUE"""),"NEW")</f>
        <v>NEW</v>
      </c>
      <c r="E32" s="6">
        <f>IFERROR(__xludf.DUMMYFUNCTION("""COMPUTED_VALUE"""),43983.41670138889)</f>
        <v>43983.4167</v>
      </c>
      <c r="F32" s="4" t="str">
        <f>IFERROR(__xludf.DUMMYFUNCTION("""COMPUTED_VALUE""")," ---")</f>
        <v> ---</v>
      </c>
      <c r="G32" s="4" t="str">
        <f>IFERROR(__xludf.DUMMYFUNCTION("""COMPUTED_VALUE"""),"SUSE Linux Enterprise Server 15 SP2")</f>
        <v>SUSE Linux Enterprise Server 15 SP2</v>
      </c>
      <c r="H32" s="7" t="str">
        <f t="shared" si="2"/>
        <v>NO</v>
      </c>
      <c r="I32" s="7" t="str">
        <f t="shared" si="3"/>
        <v>NO</v>
      </c>
    </row>
    <row r="33">
      <c r="A33" s="4">
        <f>IFERROR(__xludf.DUMMYFUNCTION("""COMPUTED_VALUE"""),1159346.0)</f>
        <v>1159346</v>
      </c>
      <c r="B33" s="4" t="str">
        <f>IFERROR(__xludf.DUMMYFUNCTION("""COMPUTED_VALUE"""),"P2 - High")</f>
        <v>P2 - High</v>
      </c>
      <c r="C33" s="5">
        <f>IFERROR(__xludf.DUMMYFUNCTION("""COMPUTED_VALUE"""),43816.40982638889)</f>
        <v>43816.40983</v>
      </c>
      <c r="D33" s="4" t="str">
        <f>IFERROR(__xludf.DUMMYFUNCTION("""COMPUTED_VALUE"""),"NEW")</f>
        <v>NEW</v>
      </c>
      <c r="E33" s="6">
        <f>IFERROR(__xludf.DUMMYFUNCTION("""COMPUTED_VALUE"""),44495.60362268519)</f>
        <v>44495.60362</v>
      </c>
      <c r="F33" s="4" t="str">
        <f>IFERROR(__xludf.DUMMYFUNCTION("""COMPUTED_VALUE""")," ---")</f>
        <v> ---</v>
      </c>
      <c r="G33" s="4" t="str">
        <f>IFERROR(__xludf.DUMMYFUNCTION("""COMPUTED_VALUE"""),"SUSE Linux Enterprise Server 15 SP2")</f>
        <v>SUSE Linux Enterprise Server 15 SP2</v>
      </c>
      <c r="H33" s="7" t="str">
        <f t="shared" si="2"/>
        <v>NO</v>
      </c>
      <c r="I33" s="7" t="str">
        <f t="shared" si="3"/>
        <v>NO</v>
      </c>
    </row>
    <row r="34">
      <c r="A34" s="4">
        <f>IFERROR(__xludf.DUMMYFUNCTION("""COMPUTED_VALUE"""),1151436.0)</f>
        <v>1151436</v>
      </c>
      <c r="B34" s="4" t="str">
        <f>IFERROR(__xludf.DUMMYFUNCTION("""COMPUTED_VALUE"""),"P2 - High")</f>
        <v>P2 - High</v>
      </c>
      <c r="C34" s="5">
        <f>IFERROR(__xludf.DUMMYFUNCTION("""COMPUTED_VALUE"""),43728.32494212963)</f>
        <v>43728.32494</v>
      </c>
      <c r="D34" s="4" t="str">
        <f>IFERROR(__xludf.DUMMYFUNCTION("""COMPUTED_VALUE"""),"NEW")</f>
        <v>NEW</v>
      </c>
      <c r="E34" s="6">
        <f>IFERROR(__xludf.DUMMYFUNCTION("""COMPUTED_VALUE"""),44365.2977662037)</f>
        <v>44365.29777</v>
      </c>
      <c r="F34" s="4" t="str">
        <f>IFERROR(__xludf.DUMMYFUNCTION("""COMPUTED_VALUE"""),"Yes")</f>
        <v>Yes</v>
      </c>
      <c r="G34" s="4" t="str">
        <f>IFERROR(__xludf.DUMMYFUNCTION("""COMPUTED_VALUE"""),"SUSE Linux Enterprise Server 15 SP2")</f>
        <v>SUSE Linux Enterprise Server 15 SP2</v>
      </c>
      <c r="H34" s="7" t="str">
        <f t="shared" si="2"/>
        <v>NO</v>
      </c>
      <c r="I34" s="7" t="str">
        <f t="shared" si="3"/>
        <v>NO</v>
      </c>
    </row>
    <row r="35">
      <c r="A35" s="4">
        <f>IFERROR(__xludf.DUMMYFUNCTION("""COMPUTED_VALUE"""),1171874.0)</f>
        <v>1171874</v>
      </c>
      <c r="B35" s="4" t="str">
        <f>IFERROR(__xludf.DUMMYFUNCTION("""COMPUTED_VALUE"""),"P2 - High")</f>
        <v>P2 - High</v>
      </c>
      <c r="C35" s="5">
        <f>IFERROR(__xludf.DUMMYFUNCTION("""COMPUTED_VALUE"""),43970.38953703704)</f>
        <v>43970.38954</v>
      </c>
      <c r="D35" s="4" t="str">
        <f>IFERROR(__xludf.DUMMYFUNCTION("""COMPUTED_VALUE"""),"NEW")</f>
        <v>NEW</v>
      </c>
      <c r="E35" s="6">
        <f>IFERROR(__xludf.DUMMYFUNCTION("""COMPUTED_VALUE"""),43972.27321759259)</f>
        <v>43972.27322</v>
      </c>
      <c r="F35" s="4" t="str">
        <f>IFERROR(__xludf.DUMMYFUNCTION("""COMPUTED_VALUE""")," ---")</f>
        <v> ---</v>
      </c>
      <c r="G35" s="4" t="str">
        <f>IFERROR(__xludf.DUMMYFUNCTION("""COMPUTED_VALUE"""),"SUSE Linux Enterprise Server 15 SP2")</f>
        <v>SUSE Linux Enterprise Server 15 SP2</v>
      </c>
      <c r="H35" s="7" t="str">
        <f t="shared" si="2"/>
        <v>NO</v>
      </c>
      <c r="I35" s="7" t="str">
        <f t="shared" si="3"/>
        <v>NO</v>
      </c>
    </row>
    <row r="36">
      <c r="A36" s="4">
        <f>IFERROR(__xludf.DUMMYFUNCTION("""COMPUTED_VALUE"""),1161499.0)</f>
        <v>1161499</v>
      </c>
      <c r="B36" s="4" t="str">
        <f>IFERROR(__xludf.DUMMYFUNCTION("""COMPUTED_VALUE"""),"P2 - High")</f>
        <v>P2 - High</v>
      </c>
      <c r="C36" s="5">
        <f>IFERROR(__xludf.DUMMYFUNCTION("""COMPUTED_VALUE"""),43852.37326388889)</f>
        <v>43852.37326</v>
      </c>
      <c r="D36" s="4" t="str">
        <f>IFERROR(__xludf.DUMMYFUNCTION("""COMPUTED_VALUE"""),"NEW")</f>
        <v>NEW</v>
      </c>
      <c r="E36" s="6">
        <f>IFERROR(__xludf.DUMMYFUNCTION("""COMPUTED_VALUE"""),44365.29738425926)</f>
        <v>44365.29738</v>
      </c>
      <c r="F36" s="4" t="str">
        <f>IFERROR(__xludf.DUMMYFUNCTION("""COMPUTED_VALUE""")," ---")</f>
        <v> ---</v>
      </c>
      <c r="G36" s="4" t="str">
        <f>IFERROR(__xludf.DUMMYFUNCTION("""COMPUTED_VALUE"""),"SUSE Linux Enterprise Server 15 SP2")</f>
        <v>SUSE Linux Enterprise Server 15 SP2</v>
      </c>
      <c r="H36" s="7" t="str">
        <f t="shared" si="2"/>
        <v>NO</v>
      </c>
      <c r="I36" s="7" t="str">
        <f t="shared" si="3"/>
        <v>NO</v>
      </c>
    </row>
    <row r="37">
      <c r="A37" s="4">
        <f>IFERROR(__xludf.DUMMYFUNCTION("""COMPUTED_VALUE"""),1161611.0)</f>
        <v>1161611</v>
      </c>
      <c r="B37" s="4" t="str">
        <f>IFERROR(__xludf.DUMMYFUNCTION("""COMPUTED_VALUE"""),"P2 - High")</f>
        <v>P2 - High</v>
      </c>
      <c r="C37" s="5">
        <f>IFERROR(__xludf.DUMMYFUNCTION("""COMPUTED_VALUE"""),43853.16960648148)</f>
        <v>43853.16961</v>
      </c>
      <c r="D37" s="4" t="str">
        <f>IFERROR(__xludf.DUMMYFUNCTION("""COMPUTED_VALUE"""),"CONFIRMED")</f>
        <v>CONFIRMED</v>
      </c>
      <c r="E37" s="6">
        <f>IFERROR(__xludf.DUMMYFUNCTION("""COMPUTED_VALUE"""),43970.25609953704)</f>
        <v>43970.2561</v>
      </c>
      <c r="F37" s="4" t="str">
        <f>IFERROR(__xludf.DUMMYFUNCTION("""COMPUTED_VALUE""")," ---")</f>
        <v> ---</v>
      </c>
      <c r="G37" s="4" t="str">
        <f>IFERROR(__xludf.DUMMYFUNCTION("""COMPUTED_VALUE"""),"SUSE Linux Enterprise Server 15 SP2")</f>
        <v>SUSE Linux Enterprise Server 15 SP2</v>
      </c>
      <c r="H37" s="7" t="str">
        <f t="shared" si="2"/>
        <v>NO</v>
      </c>
      <c r="I37" s="7" t="str">
        <f t="shared" si="3"/>
        <v>NO</v>
      </c>
    </row>
    <row r="38">
      <c r="A38" s="4">
        <f>IFERROR(__xludf.DUMMYFUNCTION("""COMPUTED_VALUE"""),1165467.0)</f>
        <v>1165467</v>
      </c>
      <c r="B38" s="4" t="str">
        <f>IFERROR(__xludf.DUMMYFUNCTION("""COMPUTED_VALUE"""),"P2 - High")</f>
        <v>P2 - High</v>
      </c>
      <c r="C38" s="5">
        <f>IFERROR(__xludf.DUMMYFUNCTION("""COMPUTED_VALUE"""),43892.69118055556)</f>
        <v>43892.69118</v>
      </c>
      <c r="D38" s="4" t="str">
        <f>IFERROR(__xludf.DUMMYFUNCTION("""COMPUTED_VALUE"""),"CONFIRMED")</f>
        <v>CONFIRMED</v>
      </c>
      <c r="E38" s="6">
        <f>IFERROR(__xludf.DUMMYFUNCTION("""COMPUTED_VALUE"""),44573.43494212963)</f>
        <v>44573.43494</v>
      </c>
      <c r="F38" s="4" t="str">
        <f>IFERROR(__xludf.DUMMYFUNCTION("""COMPUTED_VALUE""")," ---")</f>
        <v> ---</v>
      </c>
      <c r="G38" s="4" t="str">
        <f>IFERROR(__xludf.DUMMYFUNCTION("""COMPUTED_VALUE"""),"SUSE Linux Enterprise Server 15 SP2")</f>
        <v>SUSE Linux Enterprise Server 15 SP2</v>
      </c>
      <c r="H38" s="7" t="str">
        <f t="shared" si="2"/>
        <v>NO</v>
      </c>
      <c r="I38" s="7" t="str">
        <f t="shared" si="3"/>
        <v>NO</v>
      </c>
    </row>
    <row r="39">
      <c r="A39" s="4">
        <f>IFERROR(__xludf.DUMMYFUNCTION("""COMPUTED_VALUE"""),1158747.0)</f>
        <v>1158747</v>
      </c>
      <c r="B39" s="4" t="str">
        <f>IFERROR(__xludf.DUMMYFUNCTION("""COMPUTED_VALUE"""),"P2 - High")</f>
        <v>P2 - High</v>
      </c>
      <c r="C39" s="5">
        <f>IFERROR(__xludf.DUMMYFUNCTION("""COMPUTED_VALUE"""),43808.31287037037)</f>
        <v>43808.31287</v>
      </c>
      <c r="D39" s="4" t="str">
        <f>IFERROR(__xludf.DUMMYFUNCTION("""COMPUTED_VALUE"""),"IN_PROGRESS")</f>
        <v>IN_PROGRESS</v>
      </c>
      <c r="E39" s="6">
        <f>IFERROR(__xludf.DUMMYFUNCTION("""COMPUTED_VALUE"""),44688.01136574074)</f>
        <v>44688.01137</v>
      </c>
      <c r="F39" s="4" t="str">
        <f>IFERROR(__xludf.DUMMYFUNCTION("""COMPUTED_VALUE""")," ---")</f>
        <v> ---</v>
      </c>
      <c r="G39" s="4" t="str">
        <f>IFERROR(__xludf.DUMMYFUNCTION("""COMPUTED_VALUE"""),"SUSE Linux Enterprise Server 15 SP2")</f>
        <v>SUSE Linux Enterprise Server 15 SP2</v>
      </c>
      <c r="H39" s="7" t="str">
        <f t="shared" si="2"/>
        <v>NO</v>
      </c>
      <c r="I39" s="7" t="str">
        <f t="shared" si="3"/>
        <v>NO</v>
      </c>
    </row>
    <row r="40">
      <c r="A40" s="4">
        <f>IFERROR(__xludf.DUMMYFUNCTION("""COMPUTED_VALUE"""),1171675.0)</f>
        <v>1171675</v>
      </c>
      <c r="B40" s="4" t="str">
        <f>IFERROR(__xludf.DUMMYFUNCTION("""COMPUTED_VALUE"""),"P2 - High")</f>
        <v>P2 - High</v>
      </c>
      <c r="C40" s="5">
        <f>IFERROR(__xludf.DUMMYFUNCTION("""COMPUTED_VALUE"""),43965.56925925926)</f>
        <v>43965.56926</v>
      </c>
      <c r="D40" s="4" t="str">
        <f>IFERROR(__xludf.DUMMYFUNCTION("""COMPUTED_VALUE"""),"IN_PROGRESS")</f>
        <v>IN_PROGRESS</v>
      </c>
      <c r="E40" s="6">
        <f>IFERROR(__xludf.DUMMYFUNCTION("""COMPUTED_VALUE"""),44624.92396990741)</f>
        <v>44624.92397</v>
      </c>
      <c r="F40" s="4" t="str">
        <f>IFERROR(__xludf.DUMMYFUNCTION("""COMPUTED_VALUE""")," ---")</f>
        <v> ---</v>
      </c>
      <c r="G40" s="4" t="str">
        <f>IFERROR(__xludf.DUMMYFUNCTION("""COMPUTED_VALUE"""),"SUSE Linux Enterprise Server 15 SP2")</f>
        <v>SUSE Linux Enterprise Server 15 SP2</v>
      </c>
      <c r="H40" s="7" t="str">
        <f t="shared" si="2"/>
        <v>NO</v>
      </c>
      <c r="I40" s="7" t="str">
        <f t="shared" si="3"/>
        <v>NO</v>
      </c>
    </row>
    <row r="41">
      <c r="A41" s="4">
        <f>IFERROR(__xludf.DUMMYFUNCTION("""COMPUTED_VALUE"""),1165404.0)</f>
        <v>1165404</v>
      </c>
      <c r="B41" s="4" t="str">
        <f>IFERROR(__xludf.DUMMYFUNCTION("""COMPUTED_VALUE"""),"P2 - High")</f>
        <v>P2 - High</v>
      </c>
      <c r="C41" s="5">
        <f>IFERROR(__xludf.DUMMYFUNCTION("""COMPUTED_VALUE"""),43892.38990740741)</f>
        <v>43892.38991</v>
      </c>
      <c r="D41" s="4" t="str">
        <f>IFERROR(__xludf.DUMMYFUNCTION("""COMPUTED_VALUE"""),"REOPENED")</f>
        <v>REOPENED</v>
      </c>
      <c r="E41" s="6">
        <f>IFERROR(__xludf.DUMMYFUNCTION("""COMPUTED_VALUE"""),44668.49002314815)</f>
        <v>44668.49002</v>
      </c>
      <c r="F41" s="4" t="str">
        <f>IFERROR(__xludf.DUMMYFUNCTION("""COMPUTED_VALUE""")," ---")</f>
        <v> ---</v>
      </c>
      <c r="G41" s="4" t="str">
        <f>IFERROR(__xludf.DUMMYFUNCTION("""COMPUTED_VALUE"""),"SUSE Linux Enterprise Server 15 SP2")</f>
        <v>SUSE Linux Enterprise Server 15 SP2</v>
      </c>
      <c r="H41" s="7" t="str">
        <f t="shared" si="2"/>
        <v>NO</v>
      </c>
      <c r="I41" s="7" t="str">
        <f t="shared" si="3"/>
        <v>NO</v>
      </c>
    </row>
    <row r="42">
      <c r="A42" s="4">
        <f>IFERROR(__xludf.DUMMYFUNCTION("""COMPUTED_VALUE"""),1158540.0)</f>
        <v>1158540</v>
      </c>
      <c r="B42" s="4" t="str">
        <f>IFERROR(__xludf.DUMMYFUNCTION("""COMPUTED_VALUE"""),"P2 - High")</f>
        <v>P2 - High</v>
      </c>
      <c r="C42" s="5">
        <f>IFERROR(__xludf.DUMMYFUNCTION("""COMPUTED_VALUE"""),43804.53108796296)</f>
        <v>43804.53109</v>
      </c>
      <c r="D42" s="4" t="str">
        <f>IFERROR(__xludf.DUMMYFUNCTION("""COMPUTED_VALUE"""),"REOPENED")</f>
        <v>REOPENED</v>
      </c>
      <c r="E42" s="6">
        <f>IFERROR(__xludf.DUMMYFUNCTION("""COMPUTED_VALUE"""),43942.57168981482)</f>
        <v>43942.57169</v>
      </c>
      <c r="F42" s="4" t="str">
        <f>IFERROR(__xludf.DUMMYFUNCTION("""COMPUTED_VALUE""")," ---")</f>
        <v> ---</v>
      </c>
      <c r="G42" s="4" t="str">
        <f>IFERROR(__xludf.DUMMYFUNCTION("""COMPUTED_VALUE"""),"SUSE Linux Enterprise Server 15 SP2")</f>
        <v>SUSE Linux Enterprise Server 15 SP2</v>
      </c>
      <c r="H42" s="7" t="str">
        <f t="shared" si="2"/>
        <v>NO</v>
      </c>
      <c r="I42" s="7" t="str">
        <f t="shared" si="3"/>
        <v>NO</v>
      </c>
    </row>
    <row r="43">
      <c r="A43" s="4">
        <f>IFERROR(__xludf.DUMMYFUNCTION("""COMPUTED_VALUE"""),1154349.0)</f>
        <v>1154349</v>
      </c>
      <c r="B43" s="4" t="str">
        <f>IFERROR(__xludf.DUMMYFUNCTION("""COMPUTED_VALUE"""),"P2 - High")</f>
        <v>P2 - High</v>
      </c>
      <c r="C43" s="5">
        <f>IFERROR(__xludf.DUMMYFUNCTION("""COMPUTED_VALUE"""),43755.55810185185)</f>
        <v>43755.5581</v>
      </c>
      <c r="D43" s="4" t="str">
        <f>IFERROR(__xludf.DUMMYFUNCTION("""COMPUTED_VALUE"""),"RESOLVED")</f>
        <v>RESOLVED</v>
      </c>
      <c r="E43" s="6">
        <f>IFERROR(__xludf.DUMMYFUNCTION("""COMPUTED_VALUE"""),44165.575150462966)</f>
        <v>44165.57515</v>
      </c>
      <c r="F43" s="4" t="str">
        <f>IFERROR(__xludf.DUMMYFUNCTION("""COMPUTED_VALUE""")," ---")</f>
        <v> ---</v>
      </c>
      <c r="G43" s="4" t="str">
        <f>IFERROR(__xludf.DUMMYFUNCTION("""COMPUTED_VALUE"""),"SUSE Linux Enterprise Server 15 SP2")</f>
        <v>SUSE Linux Enterprise Server 15 SP2</v>
      </c>
      <c r="H43" s="7" t="str">
        <f t="shared" si="2"/>
        <v>NO</v>
      </c>
      <c r="I43" s="7" t="str">
        <f t="shared" si="3"/>
        <v>NO</v>
      </c>
    </row>
    <row r="44">
      <c r="A44" s="4">
        <f>IFERROR(__xludf.DUMMYFUNCTION("""COMPUTED_VALUE"""),1159774.0)</f>
        <v>1159774</v>
      </c>
      <c r="B44" s="4" t="str">
        <f>IFERROR(__xludf.DUMMYFUNCTION("""COMPUTED_VALUE"""),"P2 - High")</f>
        <v>P2 - High</v>
      </c>
      <c r="C44" s="5">
        <f>IFERROR(__xludf.DUMMYFUNCTION("""COMPUTED_VALUE"""),43824.38369212963)</f>
        <v>43824.38369</v>
      </c>
      <c r="D44" s="4" t="str">
        <f>IFERROR(__xludf.DUMMYFUNCTION("""COMPUTED_VALUE"""),"RESOLVED")</f>
        <v>RESOLVED</v>
      </c>
      <c r="E44" s="6">
        <f>IFERROR(__xludf.DUMMYFUNCTION("""COMPUTED_VALUE"""),43834.534837962965)</f>
        <v>43834.53484</v>
      </c>
      <c r="F44" s="4" t="str">
        <f>IFERROR(__xludf.DUMMYFUNCTION("""COMPUTED_VALUE""")," ---")</f>
        <v> ---</v>
      </c>
      <c r="G44" s="4" t="str">
        <f>IFERROR(__xludf.DUMMYFUNCTION("""COMPUTED_VALUE"""),"SUSE Linux Enterprise Server 15 SP2")</f>
        <v>SUSE Linux Enterprise Server 15 SP2</v>
      </c>
      <c r="H44" s="7" t="str">
        <f t="shared" si="2"/>
        <v>YES</v>
      </c>
      <c r="I44" s="7" t="str">
        <f t="shared" si="3"/>
        <v>NO</v>
      </c>
    </row>
    <row r="45">
      <c r="A45" s="4">
        <f>IFERROR(__xludf.DUMMYFUNCTION("""COMPUTED_VALUE"""),1169005.0)</f>
        <v>1169005</v>
      </c>
      <c r="B45" s="4" t="str">
        <f>IFERROR(__xludf.DUMMYFUNCTION("""COMPUTED_VALUE"""),"P2 - High")</f>
        <v>P2 - High</v>
      </c>
      <c r="C45" s="5">
        <f>IFERROR(__xludf.DUMMYFUNCTION("""COMPUTED_VALUE"""),43929.658634259256)</f>
        <v>43929.65863</v>
      </c>
      <c r="D45" s="4" t="str">
        <f>IFERROR(__xludf.DUMMYFUNCTION("""COMPUTED_VALUE"""),"RESOLVED")</f>
        <v>RESOLVED</v>
      </c>
      <c r="E45" s="6">
        <f>IFERROR(__xludf.DUMMYFUNCTION("""COMPUTED_VALUE"""),44384.824594907404)</f>
        <v>44384.82459</v>
      </c>
      <c r="F45" s="4" t="str">
        <f>IFERROR(__xludf.DUMMYFUNCTION("""COMPUTED_VALUE""")," ---")</f>
        <v> ---</v>
      </c>
      <c r="G45" s="4" t="str">
        <f>IFERROR(__xludf.DUMMYFUNCTION("""COMPUTED_VALUE"""),"SUSE Linux Enterprise Server 15 SP2")</f>
        <v>SUSE Linux Enterprise Server 15 SP2</v>
      </c>
      <c r="H45" s="7" t="str">
        <f t="shared" si="2"/>
        <v>NO</v>
      </c>
      <c r="I45" s="7" t="str">
        <f t="shared" si="3"/>
        <v>NO</v>
      </c>
    </row>
    <row r="46">
      <c r="A46" s="4">
        <f>IFERROR(__xludf.DUMMYFUNCTION("""COMPUTED_VALUE"""),1170129.0)</f>
        <v>1170129</v>
      </c>
      <c r="B46" s="4" t="str">
        <f>IFERROR(__xludf.DUMMYFUNCTION("""COMPUTED_VALUE"""),"P2 - High")</f>
        <v>P2 - High</v>
      </c>
      <c r="C46" s="5">
        <f>IFERROR(__xludf.DUMMYFUNCTION("""COMPUTED_VALUE"""),43943.16521990741)</f>
        <v>43943.16522</v>
      </c>
      <c r="D46" s="4" t="str">
        <f>IFERROR(__xludf.DUMMYFUNCTION("""COMPUTED_VALUE"""),"RESOLVED")</f>
        <v>RESOLVED</v>
      </c>
      <c r="E46" s="6">
        <f>IFERROR(__xludf.DUMMYFUNCTION("""COMPUTED_VALUE"""),43988.25288194444)</f>
        <v>43988.25288</v>
      </c>
      <c r="F46" s="4" t="str">
        <f>IFERROR(__xludf.DUMMYFUNCTION("""COMPUTED_VALUE""")," ---")</f>
        <v> ---</v>
      </c>
      <c r="G46" s="4" t="str">
        <f>IFERROR(__xludf.DUMMYFUNCTION("""COMPUTED_VALUE"""),"SUSE Linux Enterprise Server 15 SP2")</f>
        <v>SUSE Linux Enterprise Server 15 SP2</v>
      </c>
      <c r="H46" s="7" t="str">
        <f t="shared" si="2"/>
        <v>NO</v>
      </c>
      <c r="I46" s="7" t="str">
        <f t="shared" si="3"/>
        <v>NO</v>
      </c>
    </row>
    <row r="47">
      <c r="A47" s="4">
        <f>IFERROR(__xludf.DUMMYFUNCTION("""COMPUTED_VALUE"""),1171542.0)</f>
        <v>1171542</v>
      </c>
      <c r="B47" s="4" t="str">
        <f>IFERROR(__xludf.DUMMYFUNCTION("""COMPUTED_VALUE"""),"P2 - High")</f>
        <v>P2 - High</v>
      </c>
      <c r="C47" s="5">
        <f>IFERROR(__xludf.DUMMYFUNCTION("""COMPUTED_VALUE"""),43964.197430555556)</f>
        <v>43964.19743</v>
      </c>
      <c r="D47" s="4" t="str">
        <f>IFERROR(__xludf.DUMMYFUNCTION("""COMPUTED_VALUE"""),"RESOLVED")</f>
        <v>RESOLVED</v>
      </c>
      <c r="E47" s="6">
        <f>IFERROR(__xludf.DUMMYFUNCTION("""COMPUTED_VALUE"""),44097.18665509259)</f>
        <v>44097.18666</v>
      </c>
      <c r="F47" s="4" t="str">
        <f>IFERROR(__xludf.DUMMYFUNCTION("""COMPUTED_VALUE""")," ---")</f>
        <v> ---</v>
      </c>
      <c r="G47" s="4" t="str">
        <f>IFERROR(__xludf.DUMMYFUNCTION("""COMPUTED_VALUE"""),"SUSE Linux Enterprise Server 15 SP2")</f>
        <v>SUSE Linux Enterprise Server 15 SP2</v>
      </c>
      <c r="H47" s="7" t="str">
        <f t="shared" si="2"/>
        <v>NO</v>
      </c>
      <c r="I47" s="7" t="str">
        <f t="shared" si="3"/>
        <v>NO</v>
      </c>
    </row>
    <row r="48">
      <c r="A48" s="4">
        <f>IFERROR(__xludf.DUMMYFUNCTION("""COMPUTED_VALUE"""),1164469.0)</f>
        <v>1164469</v>
      </c>
      <c r="B48" s="4" t="str">
        <f>IFERROR(__xludf.DUMMYFUNCTION("""COMPUTED_VALUE"""),"P2 - High")</f>
        <v>P2 - High</v>
      </c>
      <c r="C48" s="5">
        <f>IFERROR(__xludf.DUMMYFUNCTION("""COMPUTED_VALUE"""),43881.480787037035)</f>
        <v>43881.48079</v>
      </c>
      <c r="D48" s="4" t="str">
        <f>IFERROR(__xludf.DUMMYFUNCTION("""COMPUTED_VALUE"""),"RESOLVED")</f>
        <v>RESOLVED</v>
      </c>
      <c r="E48" s="6">
        <f>IFERROR(__xludf.DUMMYFUNCTION("""COMPUTED_VALUE"""),43930.28605324074)</f>
        <v>43930.28605</v>
      </c>
      <c r="F48" s="4" t="str">
        <f>IFERROR(__xludf.DUMMYFUNCTION("""COMPUTED_VALUE""")," ---")</f>
        <v> ---</v>
      </c>
      <c r="G48" s="4" t="str">
        <f>IFERROR(__xludf.DUMMYFUNCTION("""COMPUTED_VALUE"""),"SUSE Linux Enterprise Server 15 SP2")</f>
        <v>SUSE Linux Enterprise Server 15 SP2</v>
      </c>
      <c r="H48" s="7" t="str">
        <f t="shared" si="2"/>
        <v>NO</v>
      </c>
      <c r="I48" s="7" t="str">
        <f t="shared" si="3"/>
        <v>NO</v>
      </c>
    </row>
    <row r="49">
      <c r="A49" s="4">
        <f>IFERROR(__xludf.DUMMYFUNCTION("""COMPUTED_VALUE"""),1170442.0)</f>
        <v>1170442</v>
      </c>
      <c r="B49" s="4" t="str">
        <f>IFERROR(__xludf.DUMMYFUNCTION("""COMPUTED_VALUE"""),"P2 - High")</f>
        <v>P2 - High</v>
      </c>
      <c r="C49" s="5">
        <f>IFERROR(__xludf.DUMMYFUNCTION("""COMPUTED_VALUE"""),43945.49234953704)</f>
        <v>43945.49235</v>
      </c>
      <c r="D49" s="4" t="str">
        <f>IFERROR(__xludf.DUMMYFUNCTION("""COMPUTED_VALUE"""),"RESOLVED")</f>
        <v>RESOLVED</v>
      </c>
      <c r="E49" s="6">
        <f>IFERROR(__xludf.DUMMYFUNCTION("""COMPUTED_VALUE"""),44362.57179398148)</f>
        <v>44362.57179</v>
      </c>
      <c r="F49" s="4" t="str">
        <f>IFERROR(__xludf.DUMMYFUNCTION("""COMPUTED_VALUE""")," ---")</f>
        <v> ---</v>
      </c>
      <c r="G49" s="4" t="str">
        <f>IFERROR(__xludf.DUMMYFUNCTION("""COMPUTED_VALUE"""),"SUSE Linux Enterprise Server 15 SP2")</f>
        <v>SUSE Linux Enterprise Server 15 SP2</v>
      </c>
      <c r="H49" s="7" t="str">
        <f t="shared" si="2"/>
        <v>NO</v>
      </c>
      <c r="I49" s="7" t="str">
        <f t="shared" si="3"/>
        <v>NO</v>
      </c>
    </row>
    <row r="50">
      <c r="A50" s="4">
        <f>IFERROR(__xludf.DUMMYFUNCTION("""COMPUTED_VALUE"""),1170841.0)</f>
        <v>1170841</v>
      </c>
      <c r="B50" s="4" t="str">
        <f>IFERROR(__xludf.DUMMYFUNCTION("""COMPUTED_VALUE"""),"P2 - High")</f>
        <v>P2 - High</v>
      </c>
      <c r="C50" s="5">
        <f>IFERROR(__xludf.DUMMYFUNCTION("""COMPUTED_VALUE"""),43950.60857638889)</f>
        <v>43950.60858</v>
      </c>
      <c r="D50" s="4" t="str">
        <f>IFERROR(__xludf.DUMMYFUNCTION("""COMPUTED_VALUE"""),"RESOLVED")</f>
        <v>RESOLVED</v>
      </c>
      <c r="E50" s="6">
        <f>IFERROR(__xludf.DUMMYFUNCTION("""COMPUTED_VALUE"""),44019.44733796296)</f>
        <v>44019.44734</v>
      </c>
      <c r="F50" s="4" t="str">
        <f>IFERROR(__xludf.DUMMYFUNCTION("""COMPUTED_VALUE""")," ---")</f>
        <v> ---</v>
      </c>
      <c r="G50" s="4" t="str">
        <f>IFERROR(__xludf.DUMMYFUNCTION("""COMPUTED_VALUE"""),"SUSE Linux Enterprise Server 15 SP2")</f>
        <v>SUSE Linux Enterprise Server 15 SP2</v>
      </c>
      <c r="H50" s="7" t="str">
        <f t="shared" si="2"/>
        <v>NO</v>
      </c>
      <c r="I50" s="7" t="str">
        <f t="shared" si="3"/>
        <v>NO</v>
      </c>
    </row>
    <row r="51">
      <c r="A51" s="4">
        <f>IFERROR(__xludf.DUMMYFUNCTION("""COMPUTED_VALUE"""),1146857.0)</f>
        <v>1146857</v>
      </c>
      <c r="B51" s="4" t="str">
        <f>IFERROR(__xludf.DUMMYFUNCTION("""COMPUTED_VALUE"""),"P2 - High")</f>
        <v>P2 - High</v>
      </c>
      <c r="C51" s="5">
        <f>IFERROR(__xludf.DUMMYFUNCTION("""COMPUTED_VALUE"""),43699.49208333333)</f>
        <v>43699.49208</v>
      </c>
      <c r="D51" s="4" t="str">
        <f>IFERROR(__xludf.DUMMYFUNCTION("""COMPUTED_VALUE"""),"RESOLVED")</f>
        <v>RESOLVED</v>
      </c>
      <c r="E51" s="6">
        <f>IFERROR(__xludf.DUMMYFUNCTION("""COMPUTED_VALUE"""),43767.553935185184)</f>
        <v>43767.55394</v>
      </c>
      <c r="F51" s="4" t="str">
        <f>IFERROR(__xludf.DUMMYFUNCTION("""COMPUTED_VALUE""")," ---")</f>
        <v> ---</v>
      </c>
      <c r="G51" s="4" t="str">
        <f>IFERROR(__xludf.DUMMYFUNCTION("""COMPUTED_VALUE"""),"SUSE Linux Enterprise Server 15 SP2")</f>
        <v>SUSE Linux Enterprise Server 15 SP2</v>
      </c>
      <c r="H51" s="7" t="str">
        <f t="shared" si="2"/>
        <v>NO</v>
      </c>
      <c r="I51" s="7" t="str">
        <f t="shared" si="3"/>
        <v>NO</v>
      </c>
    </row>
    <row r="52">
      <c r="A52" s="4">
        <f>IFERROR(__xludf.DUMMYFUNCTION("""COMPUTED_VALUE"""),1163738.0)</f>
        <v>1163738</v>
      </c>
      <c r="B52" s="4" t="str">
        <f>IFERROR(__xludf.DUMMYFUNCTION("""COMPUTED_VALUE"""),"P2 - High")</f>
        <v>P2 - High</v>
      </c>
      <c r="C52" s="5">
        <f>IFERROR(__xludf.DUMMYFUNCTION("""COMPUTED_VALUE"""),43875.83814814815)</f>
        <v>43875.83815</v>
      </c>
      <c r="D52" s="4" t="str">
        <f>IFERROR(__xludf.DUMMYFUNCTION("""COMPUTED_VALUE"""),"RESOLVED")</f>
        <v>RESOLVED</v>
      </c>
      <c r="E52" s="6">
        <f>IFERROR(__xludf.DUMMYFUNCTION("""COMPUTED_VALUE"""),43878.61572916667)</f>
        <v>43878.61573</v>
      </c>
      <c r="F52" s="4" t="str">
        <f>IFERROR(__xludf.DUMMYFUNCTION("""COMPUTED_VALUE""")," ---")</f>
        <v> ---</v>
      </c>
      <c r="G52" s="4" t="str">
        <f>IFERROR(__xludf.DUMMYFUNCTION("""COMPUTED_VALUE"""),"SUSE Linux Enterprise Server 15 SP2")</f>
        <v>SUSE Linux Enterprise Server 15 SP2</v>
      </c>
      <c r="H52" s="7" t="str">
        <f t="shared" si="2"/>
        <v>NO</v>
      </c>
      <c r="I52" s="7" t="str">
        <f t="shared" si="3"/>
        <v>NO</v>
      </c>
    </row>
    <row r="53">
      <c r="A53" s="4">
        <f>IFERROR(__xludf.DUMMYFUNCTION("""COMPUTED_VALUE"""),1170511.0)</f>
        <v>1170511</v>
      </c>
      <c r="B53" s="4" t="str">
        <f>IFERROR(__xludf.DUMMYFUNCTION("""COMPUTED_VALUE"""),"P2 - High")</f>
        <v>P2 - High</v>
      </c>
      <c r="C53" s="5">
        <f>IFERROR(__xludf.DUMMYFUNCTION("""COMPUTED_VALUE"""),43946.63893518518)</f>
        <v>43946.63894</v>
      </c>
      <c r="D53" s="4" t="str">
        <f>IFERROR(__xludf.DUMMYFUNCTION("""COMPUTED_VALUE"""),"RESOLVED")</f>
        <v>RESOLVED</v>
      </c>
      <c r="E53" s="6">
        <f>IFERROR(__xludf.DUMMYFUNCTION("""COMPUTED_VALUE"""),44422.564108796294)</f>
        <v>44422.56411</v>
      </c>
      <c r="F53" s="4" t="str">
        <f>IFERROR(__xludf.DUMMYFUNCTION("""COMPUTED_VALUE""")," ---")</f>
        <v> ---</v>
      </c>
      <c r="G53" s="4" t="str">
        <f>IFERROR(__xludf.DUMMYFUNCTION("""COMPUTED_VALUE"""),"SUSE Linux Enterprise Server 15 SP2")</f>
        <v>SUSE Linux Enterprise Server 15 SP2</v>
      </c>
      <c r="H53" s="7" t="str">
        <f t="shared" si="2"/>
        <v>NO</v>
      </c>
      <c r="I53" s="7" t="str">
        <f t="shared" si="3"/>
        <v>NO</v>
      </c>
    </row>
    <row r="54">
      <c r="A54" s="4">
        <f>IFERROR(__xludf.DUMMYFUNCTION("""COMPUTED_VALUE"""),1171105.0)</f>
        <v>1171105</v>
      </c>
      <c r="B54" s="4" t="str">
        <f>IFERROR(__xludf.DUMMYFUNCTION("""COMPUTED_VALUE"""),"P2 - High")</f>
        <v>P2 - High</v>
      </c>
      <c r="C54" s="5">
        <f>IFERROR(__xludf.DUMMYFUNCTION("""COMPUTED_VALUE"""),43955.65002314815)</f>
        <v>43955.65002</v>
      </c>
      <c r="D54" s="4" t="str">
        <f>IFERROR(__xludf.DUMMYFUNCTION("""COMPUTED_VALUE"""),"RESOLVED")</f>
        <v>RESOLVED</v>
      </c>
      <c r="E54" s="6">
        <f>IFERROR(__xludf.DUMMYFUNCTION("""COMPUTED_VALUE"""),44467.32313657407)</f>
        <v>44467.32314</v>
      </c>
      <c r="F54" s="4" t="str">
        <f>IFERROR(__xludf.DUMMYFUNCTION("""COMPUTED_VALUE""")," ---")</f>
        <v> ---</v>
      </c>
      <c r="G54" s="4" t="str">
        <f>IFERROR(__xludf.DUMMYFUNCTION("""COMPUTED_VALUE"""),"SUSE Linux Enterprise Server 15 SP2")</f>
        <v>SUSE Linux Enterprise Server 15 SP2</v>
      </c>
      <c r="H54" s="7" t="str">
        <f t="shared" si="2"/>
        <v>NO</v>
      </c>
      <c r="I54" s="7" t="str">
        <f t="shared" si="3"/>
        <v>NO</v>
      </c>
    </row>
    <row r="55">
      <c r="A55" s="4">
        <f>IFERROR(__xludf.DUMMYFUNCTION("""COMPUTED_VALUE"""),1171530.0)</f>
        <v>1171530</v>
      </c>
      <c r="B55" s="4" t="str">
        <f>IFERROR(__xludf.DUMMYFUNCTION("""COMPUTED_VALUE"""),"P2 - High")</f>
        <v>P2 - High</v>
      </c>
      <c r="C55" s="5">
        <f>IFERROR(__xludf.DUMMYFUNCTION("""COMPUTED_VALUE"""),43963.70701388889)</f>
        <v>43963.70701</v>
      </c>
      <c r="D55" s="4" t="str">
        <f>IFERROR(__xludf.DUMMYFUNCTION("""COMPUTED_VALUE"""),"RESOLVED")</f>
        <v>RESOLVED</v>
      </c>
      <c r="E55" s="6">
        <f>IFERROR(__xludf.DUMMYFUNCTION("""COMPUTED_VALUE"""),44362.57618055555)</f>
        <v>44362.57618</v>
      </c>
      <c r="F55" s="4" t="str">
        <f>IFERROR(__xludf.DUMMYFUNCTION("""COMPUTED_VALUE""")," ---")</f>
        <v> ---</v>
      </c>
      <c r="G55" s="4" t="str">
        <f>IFERROR(__xludf.DUMMYFUNCTION("""COMPUTED_VALUE"""),"SUSE Linux Enterprise Server 15 SP2")</f>
        <v>SUSE Linux Enterprise Server 15 SP2</v>
      </c>
      <c r="H55" s="7" t="str">
        <f t="shared" si="2"/>
        <v>NO</v>
      </c>
      <c r="I55" s="7" t="str">
        <f t="shared" si="3"/>
        <v>NO</v>
      </c>
    </row>
    <row r="56">
      <c r="A56" s="4">
        <f>IFERROR(__xludf.DUMMYFUNCTION("""COMPUTED_VALUE"""),1172216.0)</f>
        <v>1172216</v>
      </c>
      <c r="B56" s="4" t="str">
        <f>IFERROR(__xludf.DUMMYFUNCTION("""COMPUTED_VALUE"""),"P2 - High")</f>
        <v>P2 - High</v>
      </c>
      <c r="C56" s="5">
        <f>IFERROR(__xludf.DUMMYFUNCTION("""COMPUTED_VALUE"""),43978.87252314815)</f>
        <v>43978.87252</v>
      </c>
      <c r="D56" s="4" t="str">
        <f>IFERROR(__xludf.DUMMYFUNCTION("""COMPUTED_VALUE"""),"RESOLVED")</f>
        <v>RESOLVED</v>
      </c>
      <c r="E56" s="6">
        <f>IFERROR(__xludf.DUMMYFUNCTION("""COMPUTED_VALUE"""),44033.920219907406)</f>
        <v>44033.92022</v>
      </c>
      <c r="F56" s="4" t="str">
        <f>IFERROR(__xludf.DUMMYFUNCTION("""COMPUTED_VALUE""")," ---")</f>
        <v> ---</v>
      </c>
      <c r="G56" s="4" t="str">
        <f>IFERROR(__xludf.DUMMYFUNCTION("""COMPUTED_VALUE"""),"SUSE Linux Enterprise Server 15 SP2")</f>
        <v>SUSE Linux Enterprise Server 15 SP2</v>
      </c>
      <c r="H56" s="7" t="str">
        <f t="shared" si="2"/>
        <v>NO</v>
      </c>
      <c r="I56" s="7" t="str">
        <f t="shared" si="3"/>
        <v>NO</v>
      </c>
    </row>
    <row r="57">
      <c r="A57" s="4">
        <f>IFERROR(__xludf.DUMMYFUNCTION("""COMPUTED_VALUE"""),1172687.0)</f>
        <v>1172687</v>
      </c>
      <c r="B57" s="4" t="str">
        <f>IFERROR(__xludf.DUMMYFUNCTION("""COMPUTED_VALUE"""),"P2 - High")</f>
        <v>P2 - High</v>
      </c>
      <c r="C57" s="5">
        <f>IFERROR(__xludf.DUMMYFUNCTION("""COMPUTED_VALUE"""),43990.70991898148)</f>
        <v>43990.70992</v>
      </c>
      <c r="D57" s="4" t="str">
        <f>IFERROR(__xludf.DUMMYFUNCTION("""COMPUTED_VALUE"""),"RESOLVED")</f>
        <v>RESOLVED</v>
      </c>
      <c r="E57" s="6">
        <f>IFERROR(__xludf.DUMMYFUNCTION("""COMPUTED_VALUE"""),44362.58488425926)</f>
        <v>44362.58488</v>
      </c>
      <c r="F57" s="4" t="str">
        <f>IFERROR(__xludf.DUMMYFUNCTION("""COMPUTED_VALUE""")," ---")</f>
        <v> ---</v>
      </c>
      <c r="G57" s="4" t="str">
        <f>IFERROR(__xludf.DUMMYFUNCTION("""COMPUTED_VALUE"""),"SUSE Linux Enterprise Server 15 SP2")</f>
        <v>SUSE Linux Enterprise Server 15 SP2</v>
      </c>
      <c r="H57" s="7" t="str">
        <f t="shared" si="2"/>
        <v>NO</v>
      </c>
      <c r="I57" s="7" t="str">
        <f t="shared" si="3"/>
        <v>NO</v>
      </c>
    </row>
    <row r="58">
      <c r="A58" s="4">
        <f>IFERROR(__xludf.DUMMYFUNCTION("""COMPUTED_VALUE"""),1172733.0)</f>
        <v>1172733</v>
      </c>
      <c r="B58" s="4" t="str">
        <f>IFERROR(__xludf.DUMMYFUNCTION("""COMPUTED_VALUE"""),"P2 - High")</f>
        <v>P2 - High</v>
      </c>
      <c r="C58" s="5">
        <f>IFERROR(__xludf.DUMMYFUNCTION("""COMPUTED_VALUE"""),43991.53184027778)</f>
        <v>43991.53184</v>
      </c>
      <c r="D58" s="4" t="str">
        <f>IFERROR(__xludf.DUMMYFUNCTION("""COMPUTED_VALUE"""),"RESOLVED")</f>
        <v>RESOLVED</v>
      </c>
      <c r="E58" s="6">
        <f>IFERROR(__xludf.DUMMYFUNCTION("""COMPUTED_VALUE"""),44384.83405092593)</f>
        <v>44384.83405</v>
      </c>
      <c r="F58" s="4" t="str">
        <f>IFERROR(__xludf.DUMMYFUNCTION("""COMPUTED_VALUE""")," ---")</f>
        <v> ---</v>
      </c>
      <c r="G58" s="4" t="str">
        <f>IFERROR(__xludf.DUMMYFUNCTION("""COMPUTED_VALUE"""),"SUSE Linux Enterprise Server 15 SP2")</f>
        <v>SUSE Linux Enterprise Server 15 SP2</v>
      </c>
      <c r="H58" s="7" t="str">
        <f t="shared" si="2"/>
        <v>NO</v>
      </c>
      <c r="I58" s="7" t="str">
        <f t="shared" si="3"/>
        <v>NO</v>
      </c>
    </row>
    <row r="59">
      <c r="A59" s="4">
        <f>IFERROR(__xludf.DUMMYFUNCTION("""COMPUTED_VALUE"""),1172823.0)</f>
        <v>1172823</v>
      </c>
      <c r="B59" s="4" t="str">
        <f>IFERROR(__xludf.DUMMYFUNCTION("""COMPUTED_VALUE"""),"P2 - High")</f>
        <v>P2 - High</v>
      </c>
      <c r="C59" s="5">
        <f>IFERROR(__xludf.DUMMYFUNCTION("""COMPUTED_VALUE"""),43993.3650462963)</f>
        <v>43993.36505</v>
      </c>
      <c r="D59" s="4" t="str">
        <f>IFERROR(__xludf.DUMMYFUNCTION("""COMPUTED_VALUE"""),"RESOLVED")</f>
        <v>RESOLVED</v>
      </c>
      <c r="E59" s="6">
        <f>IFERROR(__xludf.DUMMYFUNCTION("""COMPUTED_VALUE"""),44384.83445601852)</f>
        <v>44384.83446</v>
      </c>
      <c r="F59" s="4" t="str">
        <f>IFERROR(__xludf.DUMMYFUNCTION("""COMPUTED_VALUE""")," ---")</f>
        <v> ---</v>
      </c>
      <c r="G59" s="4" t="str">
        <f>IFERROR(__xludf.DUMMYFUNCTION("""COMPUTED_VALUE"""),"SUSE Linux Enterprise Server 15 SP2")</f>
        <v>SUSE Linux Enterprise Server 15 SP2</v>
      </c>
      <c r="H59" s="7" t="str">
        <f t="shared" si="2"/>
        <v>NO</v>
      </c>
      <c r="I59" s="7" t="str">
        <f t="shared" si="3"/>
        <v>NO</v>
      </c>
    </row>
    <row r="60">
      <c r="A60" s="4">
        <f>IFERROR(__xludf.DUMMYFUNCTION("""COMPUTED_VALUE"""),1173342.0)</f>
        <v>1173342</v>
      </c>
      <c r="B60" s="4" t="str">
        <f>IFERROR(__xludf.DUMMYFUNCTION("""COMPUTED_VALUE"""),"P2 - High")</f>
        <v>P2 - High</v>
      </c>
      <c r="C60" s="5">
        <f>IFERROR(__xludf.DUMMYFUNCTION("""COMPUTED_VALUE"""),44007.37150462963)</f>
        <v>44007.3715</v>
      </c>
      <c r="D60" s="4" t="str">
        <f>IFERROR(__xludf.DUMMYFUNCTION("""COMPUTED_VALUE"""),"RESOLVED")</f>
        <v>RESOLVED</v>
      </c>
      <c r="E60" s="6">
        <f>IFERROR(__xludf.DUMMYFUNCTION("""COMPUTED_VALUE"""),44195.47697916667)</f>
        <v>44195.47698</v>
      </c>
      <c r="F60" s="4" t="str">
        <f>IFERROR(__xludf.DUMMYFUNCTION("""COMPUTED_VALUE""")," ---")</f>
        <v> ---</v>
      </c>
      <c r="G60" s="4" t="str">
        <f>IFERROR(__xludf.DUMMYFUNCTION("""COMPUTED_VALUE"""),"SUSE Linux Enterprise Real Time 15 SP2")</f>
        <v>SUSE Linux Enterprise Real Time 15 SP2</v>
      </c>
      <c r="H60" s="7" t="str">
        <f t="shared" si="2"/>
        <v>NO</v>
      </c>
      <c r="I60" s="7" t="str">
        <f t="shared" si="3"/>
        <v>NO</v>
      </c>
    </row>
    <row r="61">
      <c r="A61" s="4">
        <f>IFERROR(__xludf.DUMMYFUNCTION("""COMPUTED_VALUE"""),1166955.0)</f>
        <v>1166955</v>
      </c>
      <c r="B61" s="4" t="str">
        <f>IFERROR(__xludf.DUMMYFUNCTION("""COMPUTED_VALUE"""),"P2 - High")</f>
        <v>P2 - High</v>
      </c>
      <c r="C61" s="5">
        <f>IFERROR(__xludf.DUMMYFUNCTION("""COMPUTED_VALUE"""),43908.46402777778)</f>
        <v>43908.46403</v>
      </c>
      <c r="D61" s="4" t="str">
        <f>IFERROR(__xludf.DUMMYFUNCTION("""COMPUTED_VALUE"""),"RESOLVED")</f>
        <v>RESOLVED</v>
      </c>
      <c r="E61" s="6">
        <f>IFERROR(__xludf.DUMMYFUNCTION("""COMPUTED_VALUE"""),44238.2975)</f>
        <v>44238.2975</v>
      </c>
      <c r="F61" s="4" t="str">
        <f>IFERROR(__xludf.DUMMYFUNCTION("""COMPUTED_VALUE""")," ---")</f>
        <v> ---</v>
      </c>
      <c r="G61" s="4" t="str">
        <f>IFERROR(__xludf.DUMMYFUNCTION("""COMPUTED_VALUE"""),"SUSE Linux Enterprise Server 15 SP2")</f>
        <v>SUSE Linux Enterprise Server 15 SP2</v>
      </c>
      <c r="H61" s="7" t="str">
        <f t="shared" si="2"/>
        <v>NO</v>
      </c>
      <c r="I61" s="7" t="str">
        <f t="shared" si="3"/>
        <v>NO</v>
      </c>
    </row>
    <row r="62">
      <c r="A62" s="4">
        <f>IFERROR(__xludf.DUMMYFUNCTION("""COMPUTED_VALUE"""),1169477.0)</f>
        <v>1169477</v>
      </c>
      <c r="B62" s="4" t="str">
        <f>IFERROR(__xludf.DUMMYFUNCTION("""COMPUTED_VALUE"""),"P2 - High")</f>
        <v>P2 - High</v>
      </c>
      <c r="C62" s="5">
        <f>IFERROR(__xludf.DUMMYFUNCTION("""COMPUTED_VALUE"""),43935.85265046296)</f>
        <v>43935.85265</v>
      </c>
      <c r="D62" s="4" t="str">
        <f>IFERROR(__xludf.DUMMYFUNCTION("""COMPUTED_VALUE"""),"RESOLVED")</f>
        <v>RESOLVED</v>
      </c>
      <c r="E62" s="6">
        <f>IFERROR(__xludf.DUMMYFUNCTION("""COMPUTED_VALUE"""),44019.56818287037)</f>
        <v>44019.56818</v>
      </c>
      <c r="F62" s="4" t="str">
        <f>IFERROR(__xludf.DUMMYFUNCTION("""COMPUTED_VALUE""")," ---")</f>
        <v> ---</v>
      </c>
      <c r="G62" s="4" t="str">
        <f>IFERROR(__xludf.DUMMYFUNCTION("""COMPUTED_VALUE"""),"SUSE Linux Enterprise Server 15 SP2")</f>
        <v>SUSE Linux Enterprise Server 15 SP2</v>
      </c>
      <c r="H62" s="7" t="str">
        <f t="shared" si="2"/>
        <v>NO</v>
      </c>
      <c r="I62" s="7" t="str">
        <f t="shared" si="3"/>
        <v>NO</v>
      </c>
    </row>
    <row r="63">
      <c r="A63" s="4">
        <f>IFERROR(__xludf.DUMMYFUNCTION("""COMPUTED_VALUE"""),1162064.0)</f>
        <v>1162064</v>
      </c>
      <c r="B63" s="4" t="str">
        <f>IFERROR(__xludf.DUMMYFUNCTION("""COMPUTED_VALUE"""),"P2 - High")</f>
        <v>P2 - High</v>
      </c>
      <c r="C63" s="5">
        <f>IFERROR(__xludf.DUMMYFUNCTION("""COMPUTED_VALUE"""),43859.03737268518)</f>
        <v>43859.03737</v>
      </c>
      <c r="D63" s="4" t="str">
        <f>IFERROR(__xludf.DUMMYFUNCTION("""COMPUTED_VALUE"""),"RESOLVED")</f>
        <v>RESOLVED</v>
      </c>
      <c r="E63" s="6">
        <f>IFERROR(__xludf.DUMMYFUNCTION("""COMPUTED_VALUE"""),44370.699791666666)</f>
        <v>44370.69979</v>
      </c>
      <c r="F63" s="4" t="str">
        <f>IFERROR(__xludf.DUMMYFUNCTION("""COMPUTED_VALUE""")," ---")</f>
        <v> ---</v>
      </c>
      <c r="G63" s="4" t="str">
        <f>IFERROR(__xludf.DUMMYFUNCTION("""COMPUTED_VALUE"""),"SUSE Linux Enterprise Server 15 SP2")</f>
        <v>SUSE Linux Enterprise Server 15 SP2</v>
      </c>
      <c r="H63" s="7" t="str">
        <f t="shared" si="2"/>
        <v>NO</v>
      </c>
      <c r="I63" s="7" t="str">
        <f t="shared" si="3"/>
        <v>YES</v>
      </c>
    </row>
    <row r="64">
      <c r="A64" s="4">
        <f>IFERROR(__xludf.DUMMYFUNCTION("""COMPUTED_VALUE"""),1162297.0)</f>
        <v>1162297</v>
      </c>
      <c r="B64" s="4" t="str">
        <f>IFERROR(__xludf.DUMMYFUNCTION("""COMPUTED_VALUE"""),"P2 - High")</f>
        <v>P2 - High</v>
      </c>
      <c r="C64" s="5">
        <f>IFERROR(__xludf.DUMMYFUNCTION("""COMPUTED_VALUE"""),43860.90159722222)</f>
        <v>43860.9016</v>
      </c>
      <c r="D64" s="4" t="str">
        <f>IFERROR(__xludf.DUMMYFUNCTION("""COMPUTED_VALUE"""),"RESOLVED")</f>
        <v>RESOLVED</v>
      </c>
      <c r="E64" s="6">
        <f>IFERROR(__xludf.DUMMYFUNCTION("""COMPUTED_VALUE"""),44418.05556712963)</f>
        <v>44418.05557</v>
      </c>
      <c r="F64" s="4" t="str">
        <f>IFERROR(__xludf.DUMMYFUNCTION("""COMPUTED_VALUE""")," ---")</f>
        <v> ---</v>
      </c>
      <c r="G64" s="4" t="str">
        <f>IFERROR(__xludf.DUMMYFUNCTION("""COMPUTED_VALUE"""),"SUSE Linux Enterprise Server 15 SP2")</f>
        <v>SUSE Linux Enterprise Server 15 SP2</v>
      </c>
      <c r="H64" s="7" t="str">
        <f t="shared" si="2"/>
        <v>NO</v>
      </c>
      <c r="I64" s="7" t="str">
        <f t="shared" si="3"/>
        <v>YES</v>
      </c>
    </row>
    <row r="65">
      <c r="A65" s="4">
        <f>IFERROR(__xludf.DUMMYFUNCTION("""COMPUTED_VALUE"""),1163537.0)</f>
        <v>1163537</v>
      </c>
      <c r="B65" s="4" t="str">
        <f>IFERROR(__xludf.DUMMYFUNCTION("""COMPUTED_VALUE"""),"P2 - High")</f>
        <v>P2 - High</v>
      </c>
      <c r="C65" s="5">
        <f>IFERROR(__xludf.DUMMYFUNCTION("""COMPUTED_VALUE"""),43874.05961805556)</f>
        <v>43874.05962</v>
      </c>
      <c r="D65" s="4" t="str">
        <f>IFERROR(__xludf.DUMMYFUNCTION("""COMPUTED_VALUE"""),"RESOLVED")</f>
        <v>RESOLVED</v>
      </c>
      <c r="E65" s="6">
        <f>IFERROR(__xludf.DUMMYFUNCTION("""COMPUTED_VALUE"""),44092.57910879629)</f>
        <v>44092.57911</v>
      </c>
      <c r="F65" s="4" t="str">
        <f>IFERROR(__xludf.DUMMYFUNCTION("""COMPUTED_VALUE""")," ---")</f>
        <v> ---</v>
      </c>
      <c r="G65" s="4" t="str">
        <f>IFERROR(__xludf.DUMMYFUNCTION("""COMPUTED_VALUE"""),"SUSE Linux Enterprise Server 15 SP2")</f>
        <v>SUSE Linux Enterprise Server 15 SP2</v>
      </c>
      <c r="H65" s="7" t="str">
        <f t="shared" si="2"/>
        <v>NO</v>
      </c>
      <c r="I65" s="7" t="str">
        <f t="shared" si="3"/>
        <v>NO</v>
      </c>
    </row>
    <row r="66">
      <c r="A66" s="4">
        <f>IFERROR(__xludf.DUMMYFUNCTION("""COMPUTED_VALUE"""),1172955.0)</f>
        <v>1172955</v>
      </c>
      <c r="B66" s="4" t="str">
        <f>IFERROR(__xludf.DUMMYFUNCTION("""COMPUTED_VALUE"""),"P2 - High")</f>
        <v>P2 - High</v>
      </c>
      <c r="C66" s="5">
        <f>IFERROR(__xludf.DUMMYFUNCTION("""COMPUTED_VALUE"""),43998.27637731482)</f>
        <v>43998.27638</v>
      </c>
      <c r="D66" s="4" t="str">
        <f>IFERROR(__xludf.DUMMYFUNCTION("""COMPUTED_VALUE"""),"RESOLVED")</f>
        <v>RESOLVED</v>
      </c>
      <c r="E66" s="6">
        <f>IFERROR(__xludf.DUMMYFUNCTION("""COMPUTED_VALUE"""),44000.2553125)</f>
        <v>44000.25531</v>
      </c>
      <c r="F66" s="4" t="str">
        <f>IFERROR(__xludf.DUMMYFUNCTION("""COMPUTED_VALUE""")," ---")</f>
        <v> ---</v>
      </c>
      <c r="G66" s="4" t="str">
        <f>IFERROR(__xludf.DUMMYFUNCTION("""COMPUTED_VALUE"""),"SUSE Linux Enterprise Server 15 SP2")</f>
        <v>SUSE Linux Enterprise Server 15 SP2</v>
      </c>
      <c r="H66" s="7" t="str">
        <f t="shared" si="2"/>
        <v>NO</v>
      </c>
      <c r="I66" s="7" t="str">
        <f t="shared" si="3"/>
        <v>NO</v>
      </c>
    </row>
    <row r="67">
      <c r="A67" s="4">
        <f>IFERROR(__xludf.DUMMYFUNCTION("""COMPUTED_VALUE"""),1172956.0)</f>
        <v>1172956</v>
      </c>
      <c r="B67" s="4" t="str">
        <f>IFERROR(__xludf.DUMMYFUNCTION("""COMPUTED_VALUE"""),"P2 - High")</f>
        <v>P2 - High</v>
      </c>
      <c r="C67" s="5">
        <f>IFERROR(__xludf.DUMMYFUNCTION("""COMPUTED_VALUE"""),43998.27800925926)</f>
        <v>43998.27801</v>
      </c>
      <c r="D67" s="4" t="str">
        <f>IFERROR(__xludf.DUMMYFUNCTION("""COMPUTED_VALUE"""),"RESOLVED")</f>
        <v>RESOLVED</v>
      </c>
      <c r="E67" s="6">
        <f>IFERROR(__xludf.DUMMYFUNCTION("""COMPUTED_VALUE"""),44384.83483796296)</f>
        <v>44384.83484</v>
      </c>
      <c r="F67" s="4" t="str">
        <f>IFERROR(__xludf.DUMMYFUNCTION("""COMPUTED_VALUE""")," ---")</f>
        <v> ---</v>
      </c>
      <c r="G67" s="4" t="str">
        <f>IFERROR(__xludf.DUMMYFUNCTION("""COMPUTED_VALUE"""),"SUSE Linux Enterprise Server 15 SP2")</f>
        <v>SUSE Linux Enterprise Server 15 SP2</v>
      </c>
      <c r="H67" s="7" t="str">
        <f t="shared" si="2"/>
        <v>NO</v>
      </c>
      <c r="I67" s="7" t="str">
        <f t="shared" si="3"/>
        <v>NO</v>
      </c>
    </row>
    <row r="68">
      <c r="A68" s="4">
        <f>IFERROR(__xludf.DUMMYFUNCTION("""COMPUTED_VALUE"""),1173030.0)</f>
        <v>1173030</v>
      </c>
      <c r="B68" s="4" t="str">
        <f>IFERROR(__xludf.DUMMYFUNCTION("""COMPUTED_VALUE"""),"P2 - High")</f>
        <v>P2 - High</v>
      </c>
      <c r="C68" s="5">
        <f>IFERROR(__xludf.DUMMYFUNCTION("""COMPUTED_VALUE"""),43999.348125)</f>
        <v>43999.34813</v>
      </c>
      <c r="D68" s="4" t="str">
        <f>IFERROR(__xludf.DUMMYFUNCTION("""COMPUTED_VALUE"""),"RESOLVED")</f>
        <v>RESOLVED</v>
      </c>
      <c r="E68" s="6">
        <f>IFERROR(__xludf.DUMMYFUNCTION("""COMPUTED_VALUE"""),43999.58629629629)</f>
        <v>43999.5863</v>
      </c>
      <c r="F68" s="4" t="str">
        <f>IFERROR(__xludf.DUMMYFUNCTION("""COMPUTED_VALUE""")," ---")</f>
        <v> ---</v>
      </c>
      <c r="G68" s="4" t="str">
        <f>IFERROR(__xludf.DUMMYFUNCTION("""COMPUTED_VALUE"""),"SUSE Linux Enterprise Server 15 SP2")</f>
        <v>SUSE Linux Enterprise Server 15 SP2</v>
      </c>
      <c r="H68" s="7" t="str">
        <f t="shared" si="2"/>
        <v>NO</v>
      </c>
      <c r="I68" s="7" t="str">
        <f t="shared" si="3"/>
        <v>NO</v>
      </c>
    </row>
    <row r="69">
      <c r="A69" s="4">
        <f>IFERROR(__xludf.DUMMYFUNCTION("""COMPUTED_VALUE"""),1156782.0)</f>
        <v>1156782</v>
      </c>
      <c r="B69" s="4" t="str">
        <f>IFERROR(__xludf.DUMMYFUNCTION("""COMPUTED_VALUE"""),"P2 - High")</f>
        <v>P2 - High</v>
      </c>
      <c r="C69" s="5">
        <f>IFERROR(__xludf.DUMMYFUNCTION("""COMPUTED_VALUE"""),43783.62688657407)</f>
        <v>43783.62689</v>
      </c>
      <c r="D69" s="4" t="str">
        <f>IFERROR(__xludf.DUMMYFUNCTION("""COMPUTED_VALUE"""),"RESOLVED")</f>
        <v>RESOLVED</v>
      </c>
      <c r="E69" s="6">
        <f>IFERROR(__xludf.DUMMYFUNCTION("""COMPUTED_VALUE"""),44384.79275462963)</f>
        <v>44384.79275</v>
      </c>
      <c r="F69" s="4" t="str">
        <f>IFERROR(__xludf.DUMMYFUNCTION("""COMPUTED_VALUE""")," ---")</f>
        <v> ---</v>
      </c>
      <c r="G69" s="4" t="str">
        <f>IFERROR(__xludf.DUMMYFUNCTION("""COMPUTED_VALUE"""),"SUSE Linux Enterprise Server 15 SP2")</f>
        <v>SUSE Linux Enterprise Server 15 SP2</v>
      </c>
      <c r="H69" s="7" t="str">
        <f t="shared" si="2"/>
        <v>NO</v>
      </c>
      <c r="I69" s="7" t="str">
        <f t="shared" si="3"/>
        <v>NO</v>
      </c>
    </row>
    <row r="70">
      <c r="A70" s="4">
        <f>IFERROR(__xludf.DUMMYFUNCTION("""COMPUTED_VALUE"""),1158746.0)</f>
        <v>1158746</v>
      </c>
      <c r="B70" s="4" t="str">
        <f>IFERROR(__xludf.DUMMYFUNCTION("""COMPUTED_VALUE"""),"P2 - High")</f>
        <v>P2 - High</v>
      </c>
      <c r="C70" s="5">
        <f>IFERROR(__xludf.DUMMYFUNCTION("""COMPUTED_VALUE"""),43808.2965625)</f>
        <v>43808.29656</v>
      </c>
      <c r="D70" s="4" t="str">
        <f>IFERROR(__xludf.DUMMYFUNCTION("""COMPUTED_VALUE"""),"RESOLVED")</f>
        <v>RESOLVED</v>
      </c>
      <c r="E70" s="6">
        <f>IFERROR(__xludf.DUMMYFUNCTION("""COMPUTED_VALUE"""),44384.79591435185)</f>
        <v>44384.79591</v>
      </c>
      <c r="F70" s="4" t="str">
        <f>IFERROR(__xludf.DUMMYFUNCTION("""COMPUTED_VALUE""")," ---")</f>
        <v> ---</v>
      </c>
      <c r="G70" s="4" t="str">
        <f>IFERROR(__xludf.DUMMYFUNCTION("""COMPUTED_VALUE"""),"SUSE Linux Enterprise Server 15 SP2")</f>
        <v>SUSE Linux Enterprise Server 15 SP2</v>
      </c>
      <c r="H70" s="7" t="str">
        <f t="shared" si="2"/>
        <v>NO</v>
      </c>
      <c r="I70" s="7" t="str">
        <f t="shared" si="3"/>
        <v>NO</v>
      </c>
    </row>
    <row r="71">
      <c r="A71" s="4">
        <f>IFERROR(__xludf.DUMMYFUNCTION("""COMPUTED_VALUE"""),1158749.0)</f>
        <v>1158749</v>
      </c>
      <c r="B71" s="4" t="str">
        <f>IFERROR(__xludf.DUMMYFUNCTION("""COMPUTED_VALUE"""),"P2 - High")</f>
        <v>P2 - High</v>
      </c>
      <c r="C71" s="5">
        <f>IFERROR(__xludf.DUMMYFUNCTION("""COMPUTED_VALUE"""),43808.322118055556)</f>
        <v>43808.32212</v>
      </c>
      <c r="D71" s="4" t="str">
        <f>IFERROR(__xludf.DUMMYFUNCTION("""COMPUTED_VALUE"""),"RESOLVED")</f>
        <v>RESOLVED</v>
      </c>
      <c r="E71" s="6">
        <f>IFERROR(__xludf.DUMMYFUNCTION("""COMPUTED_VALUE"""),44384.79607638889)</f>
        <v>44384.79608</v>
      </c>
      <c r="F71" s="4" t="str">
        <f>IFERROR(__xludf.DUMMYFUNCTION("""COMPUTED_VALUE""")," ---")</f>
        <v> ---</v>
      </c>
      <c r="G71" s="4" t="str">
        <f>IFERROR(__xludf.DUMMYFUNCTION("""COMPUTED_VALUE"""),"SUSE Linux Enterprise Server 15 SP2")</f>
        <v>SUSE Linux Enterprise Server 15 SP2</v>
      </c>
      <c r="H71" s="7" t="str">
        <f t="shared" si="2"/>
        <v>NO</v>
      </c>
      <c r="I71" s="7" t="str">
        <f t="shared" si="3"/>
        <v>NO</v>
      </c>
    </row>
    <row r="72">
      <c r="A72" s="4">
        <f>IFERROR(__xludf.DUMMYFUNCTION("""COMPUTED_VALUE"""),1163493.0)</f>
        <v>1163493</v>
      </c>
      <c r="B72" s="4" t="str">
        <f>IFERROR(__xludf.DUMMYFUNCTION("""COMPUTED_VALUE"""),"P2 - High")</f>
        <v>P2 - High</v>
      </c>
      <c r="C72" s="5">
        <f>IFERROR(__xludf.DUMMYFUNCTION("""COMPUTED_VALUE"""),43873.53979166667)</f>
        <v>43873.53979</v>
      </c>
      <c r="D72" s="4" t="str">
        <f>IFERROR(__xludf.DUMMYFUNCTION("""COMPUTED_VALUE"""),"RESOLVED")</f>
        <v>RESOLVED</v>
      </c>
      <c r="E72" s="6">
        <f>IFERROR(__xludf.DUMMYFUNCTION("""COMPUTED_VALUE"""),44384.80420138889)</f>
        <v>44384.8042</v>
      </c>
      <c r="F72" s="4" t="str">
        <f>IFERROR(__xludf.DUMMYFUNCTION("""COMPUTED_VALUE""")," ---")</f>
        <v> ---</v>
      </c>
      <c r="G72" s="4" t="str">
        <f>IFERROR(__xludf.DUMMYFUNCTION("""COMPUTED_VALUE"""),"SUSE Linux Enterprise Server 15 SP2")</f>
        <v>SUSE Linux Enterprise Server 15 SP2</v>
      </c>
      <c r="H72" s="7" t="str">
        <f t="shared" si="2"/>
        <v>NO</v>
      </c>
      <c r="I72" s="7" t="str">
        <f t="shared" si="3"/>
        <v>NO</v>
      </c>
    </row>
    <row r="73">
      <c r="A73" s="4">
        <f>IFERROR(__xludf.DUMMYFUNCTION("""COMPUTED_VALUE"""),1166762.0)</f>
        <v>1166762</v>
      </c>
      <c r="B73" s="4" t="str">
        <f>IFERROR(__xludf.DUMMYFUNCTION("""COMPUTED_VALUE"""),"P2 - High")</f>
        <v>P2 - High</v>
      </c>
      <c r="C73" s="5">
        <f>IFERROR(__xludf.DUMMYFUNCTION("""COMPUTED_VALUE"""),43906.46776620371)</f>
        <v>43906.46777</v>
      </c>
      <c r="D73" s="4" t="str">
        <f>IFERROR(__xludf.DUMMYFUNCTION("""COMPUTED_VALUE"""),"RESOLVED")</f>
        <v>RESOLVED</v>
      </c>
      <c r="E73" s="6">
        <f>IFERROR(__xludf.DUMMYFUNCTION("""COMPUTED_VALUE"""),44365.26090277778)</f>
        <v>44365.2609</v>
      </c>
      <c r="F73" s="4" t="str">
        <f>IFERROR(__xludf.DUMMYFUNCTION("""COMPUTED_VALUE""")," ---")</f>
        <v> ---</v>
      </c>
      <c r="G73" s="4" t="str">
        <f>IFERROR(__xludf.DUMMYFUNCTION("""COMPUTED_VALUE"""),"SUSE Linux Enterprise Server 15 SP2")</f>
        <v>SUSE Linux Enterprise Server 15 SP2</v>
      </c>
      <c r="H73" s="7" t="str">
        <f t="shared" si="2"/>
        <v>NO</v>
      </c>
      <c r="I73" s="7" t="str">
        <f t="shared" si="3"/>
        <v>NO</v>
      </c>
    </row>
    <row r="74">
      <c r="A74" s="4">
        <f>IFERROR(__xludf.DUMMYFUNCTION("""COMPUTED_VALUE"""),1158650.0)</f>
        <v>1158650</v>
      </c>
      <c r="B74" s="4" t="str">
        <f>IFERROR(__xludf.DUMMYFUNCTION("""COMPUTED_VALUE"""),"P2 - High")</f>
        <v>P2 - High</v>
      </c>
      <c r="C74" s="5">
        <f>IFERROR(__xludf.DUMMYFUNCTION("""COMPUTED_VALUE"""),43805.41416666667)</f>
        <v>43805.41417</v>
      </c>
      <c r="D74" s="4" t="str">
        <f>IFERROR(__xludf.DUMMYFUNCTION("""COMPUTED_VALUE"""),"RESOLVED")</f>
        <v>RESOLVED</v>
      </c>
      <c r="E74" s="6">
        <f>IFERROR(__xludf.DUMMYFUNCTION("""COMPUTED_VALUE"""),43895.406006944446)</f>
        <v>43895.40601</v>
      </c>
      <c r="F74" s="4" t="str">
        <f>IFERROR(__xludf.DUMMYFUNCTION("""COMPUTED_VALUE""")," ---")</f>
        <v> ---</v>
      </c>
      <c r="G74" s="4" t="str">
        <f>IFERROR(__xludf.DUMMYFUNCTION("""COMPUTED_VALUE"""),"SUSE Linux Enterprise Server 15 SP2")</f>
        <v>SUSE Linux Enterprise Server 15 SP2</v>
      </c>
      <c r="H74" s="7" t="str">
        <f t="shared" si="2"/>
        <v>NO</v>
      </c>
      <c r="I74" s="7" t="str">
        <f t="shared" si="3"/>
        <v>NO</v>
      </c>
    </row>
    <row r="75">
      <c r="A75" s="4">
        <f>IFERROR(__xludf.DUMMYFUNCTION("""COMPUTED_VALUE"""),1156419.0)</f>
        <v>1156419</v>
      </c>
      <c r="B75" s="4" t="str">
        <f>IFERROR(__xludf.DUMMYFUNCTION("""COMPUTED_VALUE"""),"P2 - High")</f>
        <v>P2 - High</v>
      </c>
      <c r="C75" s="5">
        <f>IFERROR(__xludf.DUMMYFUNCTION("""COMPUTED_VALUE"""),43780.46954861111)</f>
        <v>43780.46955</v>
      </c>
      <c r="D75" s="4" t="str">
        <f>IFERROR(__xludf.DUMMYFUNCTION("""COMPUTED_VALUE"""),"RESOLVED")</f>
        <v>RESOLVED</v>
      </c>
      <c r="E75" s="6">
        <f>IFERROR(__xludf.DUMMYFUNCTION("""COMPUTED_VALUE"""),44384.79230324074)</f>
        <v>44384.7923</v>
      </c>
      <c r="F75" s="4" t="str">
        <f>IFERROR(__xludf.DUMMYFUNCTION("""COMPUTED_VALUE""")," ---")</f>
        <v> ---</v>
      </c>
      <c r="G75" s="4" t="str">
        <f>IFERROR(__xludf.DUMMYFUNCTION("""COMPUTED_VALUE"""),"SUSE Linux Enterprise Server 15 SP2")</f>
        <v>SUSE Linux Enterprise Server 15 SP2</v>
      </c>
      <c r="H75" s="7" t="str">
        <f t="shared" si="2"/>
        <v>NO</v>
      </c>
      <c r="I75" s="7" t="str">
        <f t="shared" si="3"/>
        <v>NO</v>
      </c>
    </row>
    <row r="76">
      <c r="A76" s="4">
        <f>IFERROR(__xludf.DUMMYFUNCTION("""COMPUTED_VALUE"""),1161440.0)</f>
        <v>1161440</v>
      </c>
      <c r="B76" s="4" t="str">
        <f>IFERROR(__xludf.DUMMYFUNCTION("""COMPUTED_VALUE"""),"P2 - High")</f>
        <v>P2 - High</v>
      </c>
      <c r="C76" s="5">
        <f>IFERROR(__xludf.DUMMYFUNCTION("""COMPUTED_VALUE"""),43851.6375)</f>
        <v>43851.6375</v>
      </c>
      <c r="D76" s="4" t="str">
        <f>IFERROR(__xludf.DUMMYFUNCTION("""COMPUTED_VALUE"""),"RESOLVED")</f>
        <v>RESOLVED</v>
      </c>
      <c r="E76" s="6">
        <f>IFERROR(__xludf.DUMMYFUNCTION("""COMPUTED_VALUE"""),43943.574421296296)</f>
        <v>43943.57442</v>
      </c>
      <c r="F76" s="4" t="str">
        <f>IFERROR(__xludf.DUMMYFUNCTION("""COMPUTED_VALUE""")," ---")</f>
        <v> ---</v>
      </c>
      <c r="G76" s="4" t="str">
        <f>IFERROR(__xludf.DUMMYFUNCTION("""COMPUTED_VALUE"""),"SUSE Linux Enterprise Server 15 SP2")</f>
        <v>SUSE Linux Enterprise Server 15 SP2</v>
      </c>
      <c r="H76" s="7" t="str">
        <f t="shared" si="2"/>
        <v>NO</v>
      </c>
      <c r="I76" s="7" t="str">
        <f t="shared" si="3"/>
        <v>NO</v>
      </c>
    </row>
    <row r="77">
      <c r="A77" s="4">
        <f>IFERROR(__xludf.DUMMYFUNCTION("""COMPUTED_VALUE"""),1164024.0)</f>
        <v>1164024</v>
      </c>
      <c r="B77" s="4" t="str">
        <f>IFERROR(__xludf.DUMMYFUNCTION("""COMPUTED_VALUE"""),"P2 - High")</f>
        <v>P2 - High</v>
      </c>
      <c r="C77" s="5">
        <f>IFERROR(__xludf.DUMMYFUNCTION("""COMPUTED_VALUE"""),43879.1921875)</f>
        <v>43879.19219</v>
      </c>
      <c r="D77" s="4" t="str">
        <f>IFERROR(__xludf.DUMMYFUNCTION("""COMPUTED_VALUE"""),"RESOLVED")</f>
        <v>RESOLVED</v>
      </c>
      <c r="E77" s="6">
        <f>IFERROR(__xludf.DUMMYFUNCTION("""COMPUTED_VALUE"""),43880.55298611111)</f>
        <v>43880.55299</v>
      </c>
      <c r="F77" s="4" t="str">
        <f>IFERROR(__xludf.DUMMYFUNCTION("""COMPUTED_VALUE""")," ---")</f>
        <v> ---</v>
      </c>
      <c r="G77" s="4" t="str">
        <f>IFERROR(__xludf.DUMMYFUNCTION("""COMPUTED_VALUE"""),"SUSE Linux Enterprise Server 15 SP2")</f>
        <v>SUSE Linux Enterprise Server 15 SP2</v>
      </c>
      <c r="H77" s="7" t="str">
        <f t="shared" si="2"/>
        <v>NO</v>
      </c>
      <c r="I77" s="7" t="str">
        <f t="shared" si="3"/>
        <v>NO</v>
      </c>
    </row>
    <row r="78">
      <c r="A78" s="4">
        <f>IFERROR(__xludf.DUMMYFUNCTION("""COMPUTED_VALUE"""),1164612.0)</f>
        <v>1164612</v>
      </c>
      <c r="B78" s="4" t="str">
        <f>IFERROR(__xludf.DUMMYFUNCTION("""COMPUTED_VALUE"""),"P2 - High")</f>
        <v>P2 - High</v>
      </c>
      <c r="C78" s="5">
        <f>IFERROR(__xludf.DUMMYFUNCTION("""COMPUTED_VALUE"""),43882.978738425925)</f>
        <v>43882.97874</v>
      </c>
      <c r="D78" s="4" t="str">
        <f>IFERROR(__xludf.DUMMYFUNCTION("""COMPUTED_VALUE"""),"RESOLVED")</f>
        <v>RESOLVED</v>
      </c>
      <c r="E78" s="6">
        <f>IFERROR(__xludf.DUMMYFUNCTION("""COMPUTED_VALUE"""),43904.068020833336)</f>
        <v>43904.06802</v>
      </c>
      <c r="F78" s="4" t="str">
        <f>IFERROR(__xludf.DUMMYFUNCTION("""COMPUTED_VALUE""")," ---")</f>
        <v> ---</v>
      </c>
      <c r="G78" s="4" t="str">
        <f>IFERROR(__xludf.DUMMYFUNCTION("""COMPUTED_VALUE"""),"SUSE Linux Enterprise Server 15 SP2")</f>
        <v>SUSE Linux Enterprise Server 15 SP2</v>
      </c>
      <c r="H78" s="7" t="str">
        <f t="shared" si="2"/>
        <v>NO</v>
      </c>
      <c r="I78" s="7" t="str">
        <f t="shared" si="3"/>
        <v>NO</v>
      </c>
    </row>
    <row r="79">
      <c r="A79" s="4">
        <f>IFERROR(__xludf.DUMMYFUNCTION("""COMPUTED_VALUE"""),1169045.0)</f>
        <v>1169045</v>
      </c>
      <c r="B79" s="4" t="str">
        <f>IFERROR(__xludf.DUMMYFUNCTION("""COMPUTED_VALUE"""),"P2 - High")</f>
        <v>P2 - High</v>
      </c>
      <c r="C79" s="5">
        <f>IFERROR(__xludf.DUMMYFUNCTION("""COMPUTED_VALUE"""),43930.32703703704)</f>
        <v>43930.32704</v>
      </c>
      <c r="D79" s="4" t="str">
        <f>IFERROR(__xludf.DUMMYFUNCTION("""COMPUTED_VALUE"""),"RESOLVED")</f>
        <v>RESOLVED</v>
      </c>
      <c r="E79" s="6">
        <f>IFERROR(__xludf.DUMMYFUNCTION("""COMPUTED_VALUE"""),44384.82474537037)</f>
        <v>44384.82475</v>
      </c>
      <c r="F79" s="4" t="str">
        <f>IFERROR(__xludf.DUMMYFUNCTION("""COMPUTED_VALUE""")," ---")</f>
        <v> ---</v>
      </c>
      <c r="G79" s="4" t="str">
        <f>IFERROR(__xludf.DUMMYFUNCTION("""COMPUTED_VALUE"""),"SUSE Linux Enterprise Server 15 SP2")</f>
        <v>SUSE Linux Enterprise Server 15 SP2</v>
      </c>
      <c r="H79" s="7" t="str">
        <f t="shared" si="2"/>
        <v>NO</v>
      </c>
      <c r="I79" s="7" t="str">
        <f t="shared" si="3"/>
        <v>NO</v>
      </c>
    </row>
    <row r="80">
      <c r="A80" s="4">
        <f>IFERROR(__xludf.DUMMYFUNCTION("""COMPUTED_VALUE"""),1161073.0)</f>
        <v>1161073</v>
      </c>
      <c r="B80" s="4" t="str">
        <f>IFERROR(__xludf.DUMMYFUNCTION("""COMPUTED_VALUE"""),"P2 - High")</f>
        <v>P2 - High</v>
      </c>
      <c r="C80" s="5">
        <f>IFERROR(__xludf.DUMMYFUNCTION("""COMPUTED_VALUE"""),43846.46055555555)</f>
        <v>43846.46056</v>
      </c>
      <c r="D80" s="4" t="str">
        <f>IFERROR(__xludf.DUMMYFUNCTION("""COMPUTED_VALUE"""),"RESOLVED")</f>
        <v>RESOLVED</v>
      </c>
      <c r="E80" s="6">
        <f>IFERROR(__xludf.DUMMYFUNCTION("""COMPUTED_VALUE"""),44384.801400462966)</f>
        <v>44384.8014</v>
      </c>
      <c r="F80" s="4" t="str">
        <f>IFERROR(__xludf.DUMMYFUNCTION("""COMPUTED_VALUE""")," ---")</f>
        <v> ---</v>
      </c>
      <c r="G80" s="4" t="str">
        <f>IFERROR(__xludf.DUMMYFUNCTION("""COMPUTED_VALUE"""),"SUSE Linux Enterprise Server 15 SP2")</f>
        <v>SUSE Linux Enterprise Server 15 SP2</v>
      </c>
      <c r="H80" s="7" t="str">
        <f t="shared" si="2"/>
        <v>NO</v>
      </c>
      <c r="I80" s="7" t="str">
        <f t="shared" si="3"/>
        <v>NO</v>
      </c>
    </row>
    <row r="81">
      <c r="A81" s="4">
        <f>IFERROR(__xludf.DUMMYFUNCTION("""COMPUTED_VALUE"""),1156469.0)</f>
        <v>1156469</v>
      </c>
      <c r="B81" s="4" t="str">
        <f>IFERROR(__xludf.DUMMYFUNCTION("""COMPUTED_VALUE"""),"P2 - High")</f>
        <v>P2 - High</v>
      </c>
      <c r="C81" s="5">
        <f>IFERROR(__xludf.DUMMYFUNCTION("""COMPUTED_VALUE"""),43780.704618055555)</f>
        <v>43780.70462</v>
      </c>
      <c r="D81" s="4" t="str">
        <f>IFERROR(__xludf.DUMMYFUNCTION("""COMPUTED_VALUE"""),"RESOLVED")</f>
        <v>RESOLVED</v>
      </c>
      <c r="E81" s="6">
        <f>IFERROR(__xludf.DUMMYFUNCTION("""COMPUTED_VALUE"""),43781.6484375)</f>
        <v>43781.64844</v>
      </c>
      <c r="F81" s="4" t="str">
        <f>IFERROR(__xludf.DUMMYFUNCTION("""COMPUTED_VALUE""")," ---")</f>
        <v> ---</v>
      </c>
      <c r="G81" s="4" t="str">
        <f>IFERROR(__xludf.DUMMYFUNCTION("""COMPUTED_VALUE"""),"SUSE Linux Enterprise Server 15 SP2")</f>
        <v>SUSE Linux Enterprise Server 15 SP2</v>
      </c>
      <c r="H81" s="7" t="str">
        <f t="shared" si="2"/>
        <v>NO</v>
      </c>
      <c r="I81" s="7" t="str">
        <f t="shared" si="3"/>
        <v>NO</v>
      </c>
    </row>
    <row r="82">
      <c r="A82" s="4">
        <f>IFERROR(__xludf.DUMMYFUNCTION("""COMPUTED_VALUE"""),1156781.0)</f>
        <v>1156781</v>
      </c>
      <c r="B82" s="4" t="str">
        <f>IFERROR(__xludf.DUMMYFUNCTION("""COMPUTED_VALUE"""),"P2 - High")</f>
        <v>P2 - High</v>
      </c>
      <c r="C82" s="5">
        <f>IFERROR(__xludf.DUMMYFUNCTION("""COMPUTED_VALUE"""),43783.61671296296)</f>
        <v>43783.61671</v>
      </c>
      <c r="D82" s="4" t="str">
        <f>IFERROR(__xludf.DUMMYFUNCTION("""COMPUTED_VALUE"""),"RESOLVED")</f>
        <v>RESOLVED</v>
      </c>
      <c r="E82" s="6">
        <f>IFERROR(__xludf.DUMMYFUNCTION("""COMPUTED_VALUE"""),43958.41532407407)</f>
        <v>43958.41532</v>
      </c>
      <c r="F82" s="4" t="str">
        <f>IFERROR(__xludf.DUMMYFUNCTION("""COMPUTED_VALUE""")," ---")</f>
        <v> ---</v>
      </c>
      <c r="G82" s="4" t="str">
        <f>IFERROR(__xludf.DUMMYFUNCTION("""COMPUTED_VALUE"""),"SUSE Linux Enterprise Server 15 SP2")</f>
        <v>SUSE Linux Enterprise Server 15 SP2</v>
      </c>
      <c r="H82" s="7" t="str">
        <f t="shared" si="2"/>
        <v>NO</v>
      </c>
      <c r="I82" s="7" t="str">
        <f t="shared" si="3"/>
        <v>NO</v>
      </c>
    </row>
    <row r="83">
      <c r="A83" s="4">
        <f>IFERROR(__xludf.DUMMYFUNCTION("""COMPUTED_VALUE"""),1161421.0)</f>
        <v>1161421</v>
      </c>
      <c r="B83" s="4" t="str">
        <f>IFERROR(__xludf.DUMMYFUNCTION("""COMPUTED_VALUE"""),"P2 - High")</f>
        <v>P2 - High</v>
      </c>
      <c r="C83" s="5">
        <f>IFERROR(__xludf.DUMMYFUNCTION("""COMPUTED_VALUE"""),43851.528715277775)</f>
        <v>43851.52872</v>
      </c>
      <c r="D83" s="4" t="str">
        <f>IFERROR(__xludf.DUMMYFUNCTION("""COMPUTED_VALUE"""),"RESOLVED")</f>
        <v>RESOLVED</v>
      </c>
      <c r="E83" s="6">
        <f>IFERROR(__xludf.DUMMYFUNCTION("""COMPUTED_VALUE"""),44728.004108796296)</f>
        <v>44728.00411</v>
      </c>
      <c r="F83" s="4" t="str">
        <f>IFERROR(__xludf.DUMMYFUNCTION("""COMPUTED_VALUE""")," ---")</f>
        <v> ---</v>
      </c>
      <c r="G83" s="4" t="str">
        <f>IFERROR(__xludf.DUMMYFUNCTION("""COMPUTED_VALUE"""),"SUSE Linux Enterprise Server 15 SP2")</f>
        <v>SUSE Linux Enterprise Server 15 SP2</v>
      </c>
      <c r="H83" s="7" t="str">
        <f t="shared" si="2"/>
        <v>NO</v>
      </c>
      <c r="I83" s="7" t="str">
        <f t="shared" si="3"/>
        <v>NO</v>
      </c>
    </row>
    <row r="84">
      <c r="A84" s="4">
        <f>IFERROR(__xludf.DUMMYFUNCTION("""COMPUTED_VALUE"""),1153780.0)</f>
        <v>1153780</v>
      </c>
      <c r="B84" s="4" t="str">
        <f>IFERROR(__xludf.DUMMYFUNCTION("""COMPUTED_VALUE"""),"P2 - High")</f>
        <v>P2 - High</v>
      </c>
      <c r="C84" s="5">
        <f>IFERROR(__xludf.DUMMYFUNCTION("""COMPUTED_VALUE"""),43749.663125)</f>
        <v>43749.66313</v>
      </c>
      <c r="D84" s="4" t="str">
        <f>IFERROR(__xludf.DUMMYFUNCTION("""COMPUTED_VALUE"""),"RESOLVED")</f>
        <v>RESOLVED</v>
      </c>
      <c r="E84" s="6">
        <f>IFERROR(__xludf.DUMMYFUNCTION("""COMPUTED_VALUE"""),44046.38517361111)</f>
        <v>44046.38517</v>
      </c>
      <c r="F84" s="4" t="str">
        <f>IFERROR(__xludf.DUMMYFUNCTION("""COMPUTED_VALUE""")," ---")</f>
        <v> ---</v>
      </c>
      <c r="G84" s="4" t="str">
        <f>IFERROR(__xludf.DUMMYFUNCTION("""COMPUTED_VALUE"""),"SUSE Linux Enterprise Real Time 15 SP2")</f>
        <v>SUSE Linux Enterprise Real Time 15 SP2</v>
      </c>
      <c r="H84" s="7" t="str">
        <f t="shared" si="2"/>
        <v>NO</v>
      </c>
      <c r="I84" s="7" t="str">
        <f t="shared" si="3"/>
        <v>NO</v>
      </c>
    </row>
    <row r="85">
      <c r="A85" s="4">
        <f>IFERROR(__xludf.DUMMYFUNCTION("""COMPUTED_VALUE"""),1171892.0)</f>
        <v>1171892</v>
      </c>
      <c r="B85" s="4" t="str">
        <f>IFERROR(__xludf.DUMMYFUNCTION("""COMPUTED_VALUE"""),"P2 - High")</f>
        <v>P2 - High</v>
      </c>
      <c r="C85" s="5">
        <f>IFERROR(__xludf.DUMMYFUNCTION("""COMPUTED_VALUE"""),43970.827939814815)</f>
        <v>43970.82794</v>
      </c>
      <c r="D85" s="4" t="str">
        <f>IFERROR(__xludf.DUMMYFUNCTION("""COMPUTED_VALUE"""),"RESOLVED")</f>
        <v>RESOLVED</v>
      </c>
      <c r="E85" s="6">
        <f>IFERROR(__xludf.DUMMYFUNCTION("""COMPUTED_VALUE"""),44026.80321759259)</f>
        <v>44026.80322</v>
      </c>
      <c r="F85" s="4" t="str">
        <f>IFERROR(__xludf.DUMMYFUNCTION("""COMPUTED_VALUE""")," ---")</f>
        <v> ---</v>
      </c>
      <c r="G85" s="4" t="str">
        <f>IFERROR(__xludf.DUMMYFUNCTION("""COMPUTED_VALUE"""),"SUSE Linux Enterprise Server 15 SP2")</f>
        <v>SUSE Linux Enterprise Server 15 SP2</v>
      </c>
      <c r="H85" s="7" t="str">
        <f t="shared" si="2"/>
        <v>NO</v>
      </c>
      <c r="I85" s="7" t="str">
        <f t="shared" si="3"/>
        <v>NO</v>
      </c>
    </row>
    <row r="86">
      <c r="A86" s="4">
        <f>IFERROR(__xludf.DUMMYFUNCTION("""COMPUTED_VALUE"""),1159594.0)</f>
        <v>1159594</v>
      </c>
      <c r="B86" s="4" t="str">
        <f>IFERROR(__xludf.DUMMYFUNCTION("""COMPUTED_VALUE"""),"P2 - High")</f>
        <v>P2 - High</v>
      </c>
      <c r="C86" s="5">
        <f>IFERROR(__xludf.DUMMYFUNCTION("""COMPUTED_VALUE"""),43818.98747685185)</f>
        <v>43818.98748</v>
      </c>
      <c r="D86" s="4" t="str">
        <f>IFERROR(__xludf.DUMMYFUNCTION("""COMPUTED_VALUE"""),"RESOLVED")</f>
        <v>RESOLVED</v>
      </c>
      <c r="E86" s="6">
        <f>IFERROR(__xludf.DUMMYFUNCTION("""COMPUTED_VALUE"""),44384.7977662037)</f>
        <v>44384.79777</v>
      </c>
      <c r="F86" s="4" t="str">
        <f>IFERROR(__xludf.DUMMYFUNCTION("""COMPUTED_VALUE""")," ---")</f>
        <v> ---</v>
      </c>
      <c r="G86" s="4" t="str">
        <f>IFERROR(__xludf.DUMMYFUNCTION("""COMPUTED_VALUE"""),"SUSE Linux Enterprise Server 15 SP2")</f>
        <v>SUSE Linux Enterprise Server 15 SP2</v>
      </c>
      <c r="H86" s="7" t="str">
        <f t="shared" si="2"/>
        <v>NO</v>
      </c>
      <c r="I86" s="7" t="str">
        <f t="shared" si="3"/>
        <v>NO</v>
      </c>
    </row>
    <row r="87">
      <c r="A87" s="4">
        <f>IFERROR(__xludf.DUMMYFUNCTION("""COMPUTED_VALUE"""),1162414.0)</f>
        <v>1162414</v>
      </c>
      <c r="B87" s="4" t="str">
        <f>IFERROR(__xludf.DUMMYFUNCTION("""COMPUTED_VALUE"""),"P2 - High")</f>
        <v>P2 - High</v>
      </c>
      <c r="C87" s="5">
        <f>IFERROR(__xludf.DUMMYFUNCTION("""COMPUTED_VALUE"""),43861.98190972222)</f>
        <v>43861.98191</v>
      </c>
      <c r="D87" s="4" t="str">
        <f>IFERROR(__xludf.DUMMYFUNCTION("""COMPUTED_VALUE"""),"RESOLVED")</f>
        <v>RESOLVED</v>
      </c>
      <c r="E87" s="6">
        <f>IFERROR(__xludf.DUMMYFUNCTION("""COMPUTED_VALUE"""),44384.803090277775)</f>
        <v>44384.80309</v>
      </c>
      <c r="F87" s="4" t="str">
        <f>IFERROR(__xludf.DUMMYFUNCTION("""COMPUTED_VALUE""")," ---")</f>
        <v> ---</v>
      </c>
      <c r="G87" s="4" t="str">
        <f>IFERROR(__xludf.DUMMYFUNCTION("""COMPUTED_VALUE"""),"SUSE Linux Enterprise Server 15 SP2")</f>
        <v>SUSE Linux Enterprise Server 15 SP2</v>
      </c>
      <c r="H87" s="7" t="str">
        <f t="shared" si="2"/>
        <v>NO</v>
      </c>
      <c r="I87" s="7" t="str">
        <f t="shared" si="3"/>
        <v>YES</v>
      </c>
    </row>
    <row r="88">
      <c r="A88" s="4">
        <f>IFERROR(__xludf.DUMMYFUNCTION("""COMPUTED_VALUE"""),1169263.0)</f>
        <v>1169263</v>
      </c>
      <c r="B88" s="4" t="str">
        <f>IFERROR(__xludf.DUMMYFUNCTION("""COMPUTED_VALUE"""),"P2 - High")</f>
        <v>P2 - High</v>
      </c>
      <c r="C88" s="5">
        <f>IFERROR(__xludf.DUMMYFUNCTION("""COMPUTED_VALUE"""),43934.29414351852)</f>
        <v>43934.29414</v>
      </c>
      <c r="D88" s="4" t="str">
        <f>IFERROR(__xludf.DUMMYFUNCTION("""COMPUTED_VALUE"""),"RESOLVED")</f>
        <v>RESOLVED</v>
      </c>
      <c r="E88" s="6">
        <f>IFERROR(__xludf.DUMMYFUNCTION("""COMPUTED_VALUE"""),44539.85011574074)</f>
        <v>44539.85012</v>
      </c>
      <c r="F88" s="4" t="str">
        <f>IFERROR(__xludf.DUMMYFUNCTION("""COMPUTED_VALUE""")," ---")</f>
        <v> ---</v>
      </c>
      <c r="G88" s="4" t="str">
        <f>IFERROR(__xludf.DUMMYFUNCTION("""COMPUTED_VALUE"""),"SUSE Linux Enterprise Server 15 SP2")</f>
        <v>SUSE Linux Enterprise Server 15 SP2</v>
      </c>
      <c r="H88" s="7" t="str">
        <f t="shared" si="2"/>
        <v>NO</v>
      </c>
      <c r="I88" s="7" t="str">
        <f t="shared" si="3"/>
        <v>NO</v>
      </c>
    </row>
    <row r="89">
      <c r="A89" s="4">
        <f>IFERROR(__xludf.DUMMYFUNCTION("""COMPUTED_VALUE"""),1158748.0)</f>
        <v>1158748</v>
      </c>
      <c r="B89" s="4" t="str">
        <f>IFERROR(__xludf.DUMMYFUNCTION("""COMPUTED_VALUE"""),"P2 - High")</f>
        <v>P2 - High</v>
      </c>
      <c r="C89" s="5">
        <f>IFERROR(__xludf.DUMMYFUNCTION("""COMPUTED_VALUE"""),43808.318715277775)</f>
        <v>43808.31872</v>
      </c>
      <c r="D89" s="4" t="str">
        <f>IFERROR(__xludf.DUMMYFUNCTION("""COMPUTED_VALUE"""),"RESOLVED")</f>
        <v>RESOLVED</v>
      </c>
      <c r="E89" s="6">
        <f>IFERROR(__xludf.DUMMYFUNCTION("""COMPUTED_VALUE"""),44384.79599537037)</f>
        <v>44384.796</v>
      </c>
      <c r="F89" s="4" t="str">
        <f>IFERROR(__xludf.DUMMYFUNCTION("""COMPUTED_VALUE""")," ---")</f>
        <v> ---</v>
      </c>
      <c r="G89" s="4" t="str">
        <f>IFERROR(__xludf.DUMMYFUNCTION("""COMPUTED_VALUE"""),"SUSE Linux Enterprise Server 15 SP2")</f>
        <v>SUSE Linux Enterprise Server 15 SP2</v>
      </c>
      <c r="H89" s="7" t="str">
        <f t="shared" si="2"/>
        <v>NO</v>
      </c>
      <c r="I89" s="7" t="str">
        <f t="shared" si="3"/>
        <v>NO</v>
      </c>
    </row>
    <row r="90">
      <c r="A90" s="4">
        <f>IFERROR(__xludf.DUMMYFUNCTION("""COMPUTED_VALUE"""),1159754.0)</f>
        <v>1159754</v>
      </c>
      <c r="B90" s="4" t="str">
        <f>IFERROR(__xludf.DUMMYFUNCTION("""COMPUTED_VALUE"""),"P2 - High")</f>
        <v>P2 - High</v>
      </c>
      <c r="C90" s="5">
        <f>IFERROR(__xludf.DUMMYFUNCTION("""COMPUTED_VALUE"""),43823.3578125)</f>
        <v>43823.35781</v>
      </c>
      <c r="D90" s="4" t="str">
        <f>IFERROR(__xludf.DUMMYFUNCTION("""COMPUTED_VALUE"""),"RESOLVED")</f>
        <v>RESOLVED</v>
      </c>
      <c r="E90" s="6">
        <f>IFERROR(__xludf.DUMMYFUNCTION("""COMPUTED_VALUE"""),44165.45282407408)</f>
        <v>44165.45282</v>
      </c>
      <c r="F90" s="4" t="str">
        <f>IFERROR(__xludf.DUMMYFUNCTION("""COMPUTED_VALUE""")," ---")</f>
        <v> ---</v>
      </c>
      <c r="G90" s="4" t="str">
        <f>IFERROR(__xludf.DUMMYFUNCTION("""COMPUTED_VALUE"""),"SUSE Linux Enterprise Server 15 SP2")</f>
        <v>SUSE Linux Enterprise Server 15 SP2</v>
      </c>
      <c r="H90" s="7" t="str">
        <f t="shared" si="2"/>
        <v>YES</v>
      </c>
      <c r="I90" s="7" t="str">
        <f t="shared" si="3"/>
        <v>NO</v>
      </c>
    </row>
    <row r="91">
      <c r="A91" s="4">
        <f>IFERROR(__xludf.DUMMYFUNCTION("""COMPUTED_VALUE"""),1159781.0)</f>
        <v>1159781</v>
      </c>
      <c r="B91" s="4" t="str">
        <f>IFERROR(__xludf.DUMMYFUNCTION("""COMPUTED_VALUE"""),"P2 - High")</f>
        <v>P2 - High</v>
      </c>
      <c r="C91" s="5">
        <f>IFERROR(__xludf.DUMMYFUNCTION("""COMPUTED_VALUE"""),43825.299363425926)</f>
        <v>43825.29936</v>
      </c>
      <c r="D91" s="4" t="str">
        <f>IFERROR(__xludf.DUMMYFUNCTION("""COMPUTED_VALUE"""),"RESOLVED")</f>
        <v>RESOLVED</v>
      </c>
      <c r="E91" s="6">
        <f>IFERROR(__xludf.DUMMYFUNCTION("""COMPUTED_VALUE"""),44384.79798611111)</f>
        <v>44384.79799</v>
      </c>
      <c r="F91" s="4" t="str">
        <f>IFERROR(__xludf.DUMMYFUNCTION("""COMPUTED_VALUE""")," ---")</f>
        <v> ---</v>
      </c>
      <c r="G91" s="4" t="str">
        <f>IFERROR(__xludf.DUMMYFUNCTION("""COMPUTED_VALUE"""),"SUSE Linux Enterprise Server 15 SP2")</f>
        <v>SUSE Linux Enterprise Server 15 SP2</v>
      </c>
      <c r="H91" s="7" t="str">
        <f t="shared" si="2"/>
        <v>YES</v>
      </c>
      <c r="I91" s="7" t="str">
        <f t="shared" si="3"/>
        <v>NO</v>
      </c>
    </row>
    <row r="92">
      <c r="A92" s="4">
        <f>IFERROR(__xludf.DUMMYFUNCTION("""COMPUTED_VALUE"""),1166596.0)</f>
        <v>1166596</v>
      </c>
      <c r="B92" s="4" t="str">
        <f>IFERROR(__xludf.DUMMYFUNCTION("""COMPUTED_VALUE"""),"P2 - High")</f>
        <v>P2 - High</v>
      </c>
      <c r="C92" s="5">
        <f>IFERROR(__xludf.DUMMYFUNCTION("""COMPUTED_VALUE"""),43903.4834375)</f>
        <v>43903.48344</v>
      </c>
      <c r="D92" s="4" t="str">
        <f>IFERROR(__xludf.DUMMYFUNCTION("""COMPUTED_VALUE"""),"RESOLVED")</f>
        <v>RESOLVED</v>
      </c>
      <c r="E92" s="6">
        <f>IFERROR(__xludf.DUMMYFUNCTION("""COMPUTED_VALUE"""),44365.26667824074)</f>
        <v>44365.26668</v>
      </c>
      <c r="F92" s="4" t="str">
        <f>IFERROR(__xludf.DUMMYFUNCTION("""COMPUTED_VALUE""")," ---")</f>
        <v> ---</v>
      </c>
      <c r="G92" s="4" t="str">
        <f>IFERROR(__xludf.DUMMYFUNCTION("""COMPUTED_VALUE"""),"SUSE Linux Enterprise Server 15 SP2")</f>
        <v>SUSE Linux Enterprise Server 15 SP2</v>
      </c>
      <c r="H92" s="7" t="str">
        <f t="shared" si="2"/>
        <v>NO</v>
      </c>
      <c r="I92" s="7" t="str">
        <f t="shared" si="3"/>
        <v>NO</v>
      </c>
    </row>
    <row r="93">
      <c r="A93" s="4">
        <f>IFERROR(__xludf.DUMMYFUNCTION("""COMPUTED_VALUE"""),1170011.0)</f>
        <v>1170011</v>
      </c>
      <c r="B93" s="4" t="str">
        <f>IFERROR(__xludf.DUMMYFUNCTION("""COMPUTED_VALUE"""),"P2 - High")</f>
        <v>P2 - High</v>
      </c>
      <c r="C93" s="5">
        <f>IFERROR(__xludf.DUMMYFUNCTION("""COMPUTED_VALUE"""),43942.26457175926)</f>
        <v>43942.26457</v>
      </c>
      <c r="D93" s="4" t="str">
        <f>IFERROR(__xludf.DUMMYFUNCTION("""COMPUTED_VALUE"""),"RESOLVED")</f>
        <v>RESOLVED</v>
      </c>
      <c r="E93" s="6">
        <f>IFERROR(__xludf.DUMMYFUNCTION("""COMPUTED_VALUE"""),44362.571122685185)</f>
        <v>44362.57112</v>
      </c>
      <c r="F93" s="4" t="str">
        <f>IFERROR(__xludf.DUMMYFUNCTION("""COMPUTED_VALUE""")," ---")</f>
        <v> ---</v>
      </c>
      <c r="G93" s="4" t="str">
        <f>IFERROR(__xludf.DUMMYFUNCTION("""COMPUTED_VALUE"""),"SUSE Linux Enterprise Server 15 SP2")</f>
        <v>SUSE Linux Enterprise Server 15 SP2</v>
      </c>
      <c r="H93" s="7" t="str">
        <f t="shared" si="2"/>
        <v>NO</v>
      </c>
      <c r="I93" s="7" t="str">
        <f t="shared" si="3"/>
        <v>NO</v>
      </c>
    </row>
    <row r="94">
      <c r="A94" s="4">
        <f>IFERROR(__xludf.DUMMYFUNCTION("""COMPUTED_VALUE"""),1172336.0)</f>
        <v>1172336</v>
      </c>
      <c r="B94" s="4" t="str">
        <f>IFERROR(__xludf.DUMMYFUNCTION("""COMPUTED_VALUE"""),"P2 - High")</f>
        <v>P2 - High</v>
      </c>
      <c r="C94" s="5">
        <f>IFERROR(__xludf.DUMMYFUNCTION("""COMPUTED_VALUE"""),43983.15550925926)</f>
        <v>43983.15551</v>
      </c>
      <c r="D94" s="4" t="str">
        <f>IFERROR(__xludf.DUMMYFUNCTION("""COMPUTED_VALUE"""),"RESOLVED")</f>
        <v>RESOLVED</v>
      </c>
      <c r="E94" s="6">
        <f>IFERROR(__xludf.DUMMYFUNCTION("""COMPUTED_VALUE"""),44174.642233796294)</f>
        <v>44174.64223</v>
      </c>
      <c r="F94" s="4" t="str">
        <f>IFERROR(__xludf.DUMMYFUNCTION("""COMPUTED_VALUE""")," ---")</f>
        <v> ---</v>
      </c>
      <c r="G94" s="4" t="str">
        <f>IFERROR(__xludf.DUMMYFUNCTION("""COMPUTED_VALUE"""),"SUSE Linux Enterprise Server 15 SP2")</f>
        <v>SUSE Linux Enterprise Server 15 SP2</v>
      </c>
      <c r="H94" s="7" t="str">
        <f t="shared" si="2"/>
        <v>NO</v>
      </c>
      <c r="I94" s="7" t="str">
        <f t="shared" si="3"/>
        <v>NO</v>
      </c>
    </row>
    <row r="95">
      <c r="A95" s="4">
        <f>IFERROR(__xludf.DUMMYFUNCTION("""COMPUTED_VALUE"""),1172589.0)</f>
        <v>1172589</v>
      </c>
      <c r="B95" s="4" t="str">
        <f>IFERROR(__xludf.DUMMYFUNCTION("""COMPUTED_VALUE"""),"P2 - High")</f>
        <v>P2 - High</v>
      </c>
      <c r="C95" s="5">
        <f>IFERROR(__xludf.DUMMYFUNCTION("""COMPUTED_VALUE"""),43987.65289351852)</f>
        <v>43987.65289</v>
      </c>
      <c r="D95" s="4" t="str">
        <f>IFERROR(__xludf.DUMMYFUNCTION("""COMPUTED_VALUE"""),"RESOLVED")</f>
        <v>RESOLVED</v>
      </c>
      <c r="E95" s="6">
        <f>IFERROR(__xludf.DUMMYFUNCTION("""COMPUTED_VALUE"""),44701.37255787037)</f>
        <v>44701.37256</v>
      </c>
      <c r="F95" s="4" t="str">
        <f>IFERROR(__xludf.DUMMYFUNCTION("""COMPUTED_VALUE""")," ---")</f>
        <v> ---</v>
      </c>
      <c r="G95" s="4" t="str">
        <f>IFERROR(__xludf.DUMMYFUNCTION("""COMPUTED_VALUE"""),"SUSE Linux Enterprise Server for SAP Applications 15 SP2")</f>
        <v>SUSE Linux Enterprise Server for SAP Applications 15 SP2</v>
      </c>
      <c r="H95" s="7" t="str">
        <f t="shared" si="2"/>
        <v>NO</v>
      </c>
      <c r="I95" s="7" t="str">
        <f t="shared" si="3"/>
        <v>NO</v>
      </c>
    </row>
    <row r="96">
      <c r="A96" s="4">
        <f>IFERROR(__xludf.DUMMYFUNCTION("""COMPUTED_VALUE"""),1172883.0)</f>
        <v>1172883</v>
      </c>
      <c r="B96" s="4" t="str">
        <f>IFERROR(__xludf.DUMMYFUNCTION("""COMPUTED_VALUE"""),"P2 - High")</f>
        <v>P2 - High</v>
      </c>
      <c r="C96" s="5">
        <f>IFERROR(__xludf.DUMMYFUNCTION("""COMPUTED_VALUE"""),43994.85150462963)</f>
        <v>43994.8515</v>
      </c>
      <c r="D96" s="4" t="str">
        <f>IFERROR(__xludf.DUMMYFUNCTION("""COMPUTED_VALUE"""),"RESOLVED")</f>
        <v>RESOLVED</v>
      </c>
      <c r="E96" s="6">
        <f>IFERROR(__xludf.DUMMYFUNCTION("""COMPUTED_VALUE"""),44019.53670138889)</f>
        <v>44019.5367</v>
      </c>
      <c r="F96" s="4" t="str">
        <f>IFERROR(__xludf.DUMMYFUNCTION("""COMPUTED_VALUE""")," ---")</f>
        <v> ---</v>
      </c>
      <c r="G96" s="4" t="str">
        <f>IFERROR(__xludf.DUMMYFUNCTION("""COMPUTED_VALUE"""),"SUSE Linux Enterprise Server 15 SP2")</f>
        <v>SUSE Linux Enterprise Server 15 SP2</v>
      </c>
      <c r="H96" s="7" t="str">
        <f t="shared" si="2"/>
        <v>NO</v>
      </c>
      <c r="I96" s="7" t="str">
        <f t="shared" si="3"/>
        <v>NO</v>
      </c>
    </row>
    <row r="97">
      <c r="A97" s="4">
        <f>IFERROR(__xludf.DUMMYFUNCTION("""COMPUTED_VALUE"""),1144704.0)</f>
        <v>1144704</v>
      </c>
      <c r="B97" s="4" t="str">
        <f>IFERROR(__xludf.DUMMYFUNCTION("""COMPUTED_VALUE"""),"P2 - High")</f>
        <v>P2 - High</v>
      </c>
      <c r="C97" s="5">
        <f>IFERROR(__xludf.DUMMYFUNCTION("""COMPUTED_VALUE"""),43684.59501157407)</f>
        <v>43684.59501</v>
      </c>
      <c r="D97" s="4" t="str">
        <f>IFERROR(__xludf.DUMMYFUNCTION("""COMPUTED_VALUE"""),"RESOLVED")</f>
        <v>RESOLVED</v>
      </c>
      <c r="E97" s="6">
        <f>IFERROR(__xludf.DUMMYFUNCTION("""COMPUTED_VALUE"""),44452.69982638889)</f>
        <v>44452.69983</v>
      </c>
      <c r="F97" s="4" t="str">
        <f>IFERROR(__xludf.DUMMYFUNCTION("""COMPUTED_VALUE""")," ---")</f>
        <v> ---</v>
      </c>
      <c r="G97" s="4" t="str">
        <f>IFERROR(__xludf.DUMMYFUNCTION("""COMPUTED_VALUE"""),"SUSE Linux Enterprise Server 15 SP2")</f>
        <v>SUSE Linux Enterprise Server 15 SP2</v>
      </c>
      <c r="H97" s="7" t="str">
        <f t="shared" si="2"/>
        <v>NO</v>
      </c>
      <c r="I97" s="7" t="str">
        <f t="shared" si="3"/>
        <v>NO</v>
      </c>
    </row>
    <row r="98">
      <c r="A98" s="4">
        <f>IFERROR(__xludf.DUMMYFUNCTION("""COMPUTED_VALUE"""),1154354.0)</f>
        <v>1154354</v>
      </c>
      <c r="B98" s="4" t="str">
        <f>IFERROR(__xludf.DUMMYFUNCTION("""COMPUTED_VALUE"""),"P2 - High")</f>
        <v>P2 - High</v>
      </c>
      <c r="C98" s="5">
        <f>IFERROR(__xludf.DUMMYFUNCTION("""COMPUTED_VALUE"""),43755.583020833335)</f>
        <v>43755.58302</v>
      </c>
      <c r="D98" s="4" t="str">
        <f>IFERROR(__xludf.DUMMYFUNCTION("""COMPUTED_VALUE"""),"RESOLVED")</f>
        <v>RESOLVED</v>
      </c>
      <c r="E98" s="6">
        <f>IFERROR(__xludf.DUMMYFUNCTION("""COMPUTED_VALUE"""),44624.91048611111)</f>
        <v>44624.91049</v>
      </c>
      <c r="F98" s="4" t="str">
        <f>IFERROR(__xludf.DUMMYFUNCTION("""COMPUTED_VALUE""")," ---")</f>
        <v> ---</v>
      </c>
      <c r="G98" s="4" t="str">
        <f>IFERROR(__xludf.DUMMYFUNCTION("""COMPUTED_VALUE"""),"SUSE Linux Enterprise Server 15 SP2")</f>
        <v>SUSE Linux Enterprise Server 15 SP2</v>
      </c>
      <c r="H98" s="7" t="str">
        <f t="shared" si="2"/>
        <v>NO</v>
      </c>
      <c r="I98" s="7" t="str">
        <f t="shared" si="3"/>
        <v>NO</v>
      </c>
    </row>
    <row r="99">
      <c r="A99" s="4">
        <f>IFERROR(__xludf.DUMMYFUNCTION("""COMPUTED_VALUE"""),1158083.0)</f>
        <v>1158083</v>
      </c>
      <c r="B99" s="4" t="str">
        <f>IFERROR(__xludf.DUMMYFUNCTION("""COMPUTED_VALUE"""),"P2 - High")</f>
        <v>P2 - High</v>
      </c>
      <c r="C99" s="5">
        <f>IFERROR(__xludf.DUMMYFUNCTION("""COMPUTED_VALUE"""),43798.477002314816)</f>
        <v>43798.477</v>
      </c>
      <c r="D99" s="4" t="str">
        <f>IFERROR(__xludf.DUMMYFUNCTION("""COMPUTED_VALUE"""),"RESOLVED")</f>
        <v>RESOLVED</v>
      </c>
      <c r="E99" s="6">
        <f>IFERROR(__xludf.DUMMYFUNCTION("""COMPUTED_VALUE"""),43843.4637037037)</f>
        <v>43843.4637</v>
      </c>
      <c r="F99" s="4" t="str">
        <f>IFERROR(__xludf.DUMMYFUNCTION("""COMPUTED_VALUE""")," ---")</f>
        <v> ---</v>
      </c>
      <c r="G99" s="4" t="str">
        <f>IFERROR(__xludf.DUMMYFUNCTION("""COMPUTED_VALUE"""),"SUSE Linux Enterprise Server 15 SP2")</f>
        <v>SUSE Linux Enterprise Server 15 SP2</v>
      </c>
      <c r="H99" s="7" t="str">
        <f t="shared" si="2"/>
        <v>NO</v>
      </c>
      <c r="I99" s="7" t="str">
        <f t="shared" si="3"/>
        <v>NO</v>
      </c>
    </row>
    <row r="100">
      <c r="A100" s="4">
        <f>IFERROR(__xludf.DUMMYFUNCTION("""COMPUTED_VALUE"""),1158107.0)</f>
        <v>1158107</v>
      </c>
      <c r="B100" s="4" t="str">
        <f>IFERROR(__xludf.DUMMYFUNCTION("""COMPUTED_VALUE"""),"P2 - High")</f>
        <v>P2 - High</v>
      </c>
      <c r="C100" s="5">
        <f>IFERROR(__xludf.DUMMYFUNCTION("""COMPUTED_VALUE"""),43798.6721875)</f>
        <v>43798.67219</v>
      </c>
      <c r="D100" s="4" t="str">
        <f>IFERROR(__xludf.DUMMYFUNCTION("""COMPUTED_VALUE"""),"RESOLVED")</f>
        <v>RESOLVED</v>
      </c>
      <c r="E100" s="6">
        <f>IFERROR(__xludf.DUMMYFUNCTION("""COMPUTED_VALUE"""),44384.794224537036)</f>
        <v>44384.79422</v>
      </c>
      <c r="F100" s="4" t="str">
        <f>IFERROR(__xludf.DUMMYFUNCTION("""COMPUTED_VALUE""")," ---")</f>
        <v> ---</v>
      </c>
      <c r="G100" s="4" t="str">
        <f>IFERROR(__xludf.DUMMYFUNCTION("""COMPUTED_VALUE"""),"SUSE Linux Enterprise Server 15 SP2")</f>
        <v>SUSE Linux Enterprise Server 15 SP2</v>
      </c>
      <c r="H100" s="7" t="str">
        <f t="shared" si="2"/>
        <v>NO</v>
      </c>
      <c r="I100" s="7" t="str">
        <f t="shared" si="3"/>
        <v>NO</v>
      </c>
    </row>
    <row r="101">
      <c r="A101" s="4">
        <f>IFERROR(__xludf.DUMMYFUNCTION("""COMPUTED_VALUE"""),1158621.0)</f>
        <v>1158621</v>
      </c>
      <c r="B101" s="4" t="str">
        <f>IFERROR(__xludf.DUMMYFUNCTION("""COMPUTED_VALUE"""),"P2 - High")</f>
        <v>P2 - High</v>
      </c>
      <c r="C101" s="5">
        <f>IFERROR(__xludf.DUMMYFUNCTION("""COMPUTED_VALUE"""),43805.34028935185)</f>
        <v>43805.34029</v>
      </c>
      <c r="D101" s="4" t="str">
        <f>IFERROR(__xludf.DUMMYFUNCTION("""COMPUTED_VALUE"""),"RESOLVED")</f>
        <v>RESOLVED</v>
      </c>
      <c r="E101" s="6">
        <f>IFERROR(__xludf.DUMMYFUNCTION("""COMPUTED_VALUE"""),43809.82266203704)</f>
        <v>43809.82266</v>
      </c>
      <c r="F101" s="4" t="str">
        <f>IFERROR(__xludf.DUMMYFUNCTION("""COMPUTED_VALUE""")," ---")</f>
        <v> ---</v>
      </c>
      <c r="G101" s="4" t="str">
        <f>IFERROR(__xludf.DUMMYFUNCTION("""COMPUTED_VALUE"""),"SUSE Linux Enterprise Server 15 SP2")</f>
        <v>SUSE Linux Enterprise Server 15 SP2</v>
      </c>
      <c r="H101" s="7" t="str">
        <f t="shared" si="2"/>
        <v>NO</v>
      </c>
      <c r="I101" s="7" t="str">
        <f t="shared" si="3"/>
        <v>NO</v>
      </c>
    </row>
    <row r="102">
      <c r="A102" s="4">
        <f>IFERROR(__xludf.DUMMYFUNCTION("""COMPUTED_VALUE"""),1159085.0)</f>
        <v>1159085</v>
      </c>
      <c r="B102" s="4" t="str">
        <f>IFERROR(__xludf.DUMMYFUNCTION("""COMPUTED_VALUE"""),"P2 - High")</f>
        <v>P2 - High</v>
      </c>
      <c r="C102" s="5">
        <f>IFERROR(__xludf.DUMMYFUNCTION("""COMPUTED_VALUE"""),43811.40920138889)</f>
        <v>43811.4092</v>
      </c>
      <c r="D102" s="4" t="str">
        <f>IFERROR(__xludf.DUMMYFUNCTION("""COMPUTED_VALUE"""),"RESOLVED")</f>
        <v>RESOLVED</v>
      </c>
      <c r="E102" s="6">
        <f>IFERROR(__xludf.DUMMYFUNCTION("""COMPUTED_VALUE"""),43950.585231481484)</f>
        <v>43950.58523</v>
      </c>
      <c r="F102" s="4" t="str">
        <f>IFERROR(__xludf.DUMMYFUNCTION("""COMPUTED_VALUE""")," ---")</f>
        <v> ---</v>
      </c>
      <c r="G102" s="4" t="str">
        <f>IFERROR(__xludf.DUMMYFUNCTION("""COMPUTED_VALUE"""),"SUSE Linux Enterprise Server 15 SP2")</f>
        <v>SUSE Linux Enterprise Server 15 SP2</v>
      </c>
      <c r="H102" s="7" t="str">
        <f t="shared" si="2"/>
        <v>NO</v>
      </c>
      <c r="I102" s="7" t="str">
        <f t="shared" si="3"/>
        <v>NO</v>
      </c>
    </row>
    <row r="103">
      <c r="A103" s="4">
        <f>IFERROR(__xludf.DUMMYFUNCTION("""COMPUTED_VALUE"""),1159476.0)</f>
        <v>1159476</v>
      </c>
      <c r="B103" s="4" t="str">
        <f>IFERROR(__xludf.DUMMYFUNCTION("""COMPUTED_VALUE"""),"P2 - High")</f>
        <v>P2 - High</v>
      </c>
      <c r="C103" s="5">
        <f>IFERROR(__xludf.DUMMYFUNCTION("""COMPUTED_VALUE"""),43817.65491898148)</f>
        <v>43817.65492</v>
      </c>
      <c r="D103" s="4" t="str">
        <f>IFERROR(__xludf.DUMMYFUNCTION("""COMPUTED_VALUE"""),"RESOLVED")</f>
        <v>RESOLVED</v>
      </c>
      <c r="E103" s="6">
        <f>IFERROR(__xludf.DUMMYFUNCTION("""COMPUTED_VALUE"""),43852.395902777775)</f>
        <v>43852.3959</v>
      </c>
      <c r="F103" s="4" t="str">
        <f>IFERROR(__xludf.DUMMYFUNCTION("""COMPUTED_VALUE""")," ---")</f>
        <v> ---</v>
      </c>
      <c r="G103" s="4" t="str">
        <f>IFERROR(__xludf.DUMMYFUNCTION("""COMPUTED_VALUE"""),"SUSE Linux Enterprise Server 15 SP2")</f>
        <v>SUSE Linux Enterprise Server 15 SP2</v>
      </c>
      <c r="H103" s="7" t="str">
        <f t="shared" si="2"/>
        <v>NO</v>
      </c>
      <c r="I103" s="7" t="str">
        <f t="shared" si="3"/>
        <v>NO</v>
      </c>
    </row>
    <row r="104">
      <c r="A104" s="4">
        <f>IFERROR(__xludf.DUMMYFUNCTION("""COMPUTED_VALUE"""),1159519.0)</f>
        <v>1159519</v>
      </c>
      <c r="B104" s="4" t="str">
        <f>IFERROR(__xludf.DUMMYFUNCTION("""COMPUTED_VALUE"""),"P2 - High")</f>
        <v>P2 - High</v>
      </c>
      <c r="C104" s="5">
        <f>IFERROR(__xludf.DUMMYFUNCTION("""COMPUTED_VALUE"""),43818.23708333333)</f>
        <v>43818.23708</v>
      </c>
      <c r="D104" s="4" t="str">
        <f>IFERROR(__xludf.DUMMYFUNCTION("""COMPUTED_VALUE"""),"RESOLVED")</f>
        <v>RESOLVED</v>
      </c>
      <c r="E104" s="6">
        <f>IFERROR(__xludf.DUMMYFUNCTION("""COMPUTED_VALUE"""),44384.79725694445)</f>
        <v>44384.79726</v>
      </c>
      <c r="F104" s="4" t="str">
        <f>IFERROR(__xludf.DUMMYFUNCTION("""COMPUTED_VALUE""")," ---")</f>
        <v> ---</v>
      </c>
      <c r="G104" s="4" t="str">
        <f>IFERROR(__xludf.DUMMYFUNCTION("""COMPUTED_VALUE"""),"SUSE Linux Enterprise Server 15 SP2")</f>
        <v>SUSE Linux Enterprise Server 15 SP2</v>
      </c>
      <c r="H104" s="7" t="str">
        <f t="shared" si="2"/>
        <v>NO</v>
      </c>
      <c r="I104" s="7" t="str">
        <f t="shared" si="3"/>
        <v>NO</v>
      </c>
    </row>
    <row r="105">
      <c r="A105" s="4">
        <f>IFERROR(__xludf.DUMMYFUNCTION("""COMPUTED_VALUE"""),1160675.0)</f>
        <v>1160675</v>
      </c>
      <c r="B105" s="4" t="str">
        <f>IFERROR(__xludf.DUMMYFUNCTION("""COMPUTED_VALUE"""),"P2 - High")</f>
        <v>P2 - High</v>
      </c>
      <c r="C105" s="5">
        <f>IFERROR(__xludf.DUMMYFUNCTION("""COMPUTED_VALUE"""),43840.58818287037)</f>
        <v>43840.58818</v>
      </c>
      <c r="D105" s="4" t="str">
        <f>IFERROR(__xludf.DUMMYFUNCTION("""COMPUTED_VALUE"""),"RESOLVED")</f>
        <v>RESOLVED</v>
      </c>
      <c r="E105" s="6">
        <f>IFERROR(__xludf.DUMMYFUNCTION("""COMPUTED_VALUE"""),44365.26070601852)</f>
        <v>44365.26071</v>
      </c>
      <c r="F105" s="4" t="str">
        <f>IFERROR(__xludf.DUMMYFUNCTION("""COMPUTED_VALUE""")," ---")</f>
        <v> ---</v>
      </c>
      <c r="G105" s="4" t="str">
        <f>IFERROR(__xludf.DUMMYFUNCTION("""COMPUTED_VALUE"""),"SUSE Linux Enterprise Server 15 SP2")</f>
        <v>SUSE Linux Enterprise Server 15 SP2</v>
      </c>
      <c r="H105" s="7" t="str">
        <f t="shared" si="2"/>
        <v>NO</v>
      </c>
      <c r="I105" s="7" t="str">
        <f t="shared" si="3"/>
        <v>NO</v>
      </c>
    </row>
    <row r="106">
      <c r="A106" s="4">
        <f>IFERROR(__xludf.DUMMYFUNCTION("""COMPUTED_VALUE"""),1161120.0)</f>
        <v>1161120</v>
      </c>
      <c r="B106" s="4" t="str">
        <f>IFERROR(__xludf.DUMMYFUNCTION("""COMPUTED_VALUE"""),"P2 - High")</f>
        <v>P2 - High</v>
      </c>
      <c r="C106" s="5">
        <f>IFERROR(__xludf.DUMMYFUNCTION("""COMPUTED_VALUE"""),43846.74012731481)</f>
        <v>43846.74013</v>
      </c>
      <c r="D106" s="4" t="str">
        <f>IFERROR(__xludf.DUMMYFUNCTION("""COMPUTED_VALUE"""),"RESOLVED")</f>
        <v>RESOLVED</v>
      </c>
      <c r="E106" s="6">
        <f>IFERROR(__xludf.DUMMYFUNCTION("""COMPUTED_VALUE"""),43859.54195601852)</f>
        <v>43859.54196</v>
      </c>
      <c r="F106" s="4" t="str">
        <f>IFERROR(__xludf.DUMMYFUNCTION("""COMPUTED_VALUE""")," ---")</f>
        <v> ---</v>
      </c>
      <c r="G106" s="4" t="str">
        <f>IFERROR(__xludf.DUMMYFUNCTION("""COMPUTED_VALUE"""),"SUSE Linux Enterprise Server 15 SP2")</f>
        <v>SUSE Linux Enterprise Server 15 SP2</v>
      </c>
      <c r="H106" s="7" t="str">
        <f t="shared" si="2"/>
        <v>NO</v>
      </c>
      <c r="I106" s="7" t="str">
        <f t="shared" si="3"/>
        <v>NO</v>
      </c>
    </row>
    <row r="107">
      <c r="A107" s="4">
        <f>IFERROR(__xludf.DUMMYFUNCTION("""COMPUTED_VALUE"""),1161125.0)</f>
        <v>1161125</v>
      </c>
      <c r="B107" s="4" t="str">
        <f>IFERROR(__xludf.DUMMYFUNCTION("""COMPUTED_VALUE"""),"P2 - High")</f>
        <v>P2 - High</v>
      </c>
      <c r="C107" s="5">
        <f>IFERROR(__xludf.DUMMYFUNCTION("""COMPUTED_VALUE"""),43846.81725694444)</f>
        <v>43846.81726</v>
      </c>
      <c r="D107" s="4" t="str">
        <f>IFERROR(__xludf.DUMMYFUNCTION("""COMPUTED_VALUE"""),"RESOLVED")</f>
        <v>RESOLVED</v>
      </c>
      <c r="E107" s="6">
        <f>IFERROR(__xludf.DUMMYFUNCTION("""COMPUTED_VALUE"""),43850.61357638889)</f>
        <v>43850.61358</v>
      </c>
      <c r="F107" s="4" t="str">
        <f>IFERROR(__xludf.DUMMYFUNCTION("""COMPUTED_VALUE""")," ---")</f>
        <v> ---</v>
      </c>
      <c r="G107" s="4" t="str">
        <f>IFERROR(__xludf.DUMMYFUNCTION("""COMPUTED_VALUE"""),"SUSE Linux Enterprise Server 15 SP2")</f>
        <v>SUSE Linux Enterprise Server 15 SP2</v>
      </c>
      <c r="H107" s="7" t="str">
        <f t="shared" si="2"/>
        <v>NO</v>
      </c>
      <c r="I107" s="7" t="str">
        <f t="shared" si="3"/>
        <v>NO</v>
      </c>
    </row>
    <row r="108">
      <c r="A108" s="4">
        <f>IFERROR(__xludf.DUMMYFUNCTION("""COMPUTED_VALUE"""),1164049.0)</f>
        <v>1164049</v>
      </c>
      <c r="B108" s="4" t="str">
        <f>IFERROR(__xludf.DUMMYFUNCTION("""COMPUTED_VALUE"""),"P2 - High")</f>
        <v>P2 - High</v>
      </c>
      <c r="C108" s="5">
        <f>IFERROR(__xludf.DUMMYFUNCTION("""COMPUTED_VALUE"""),43879.31716435185)</f>
        <v>43879.31716</v>
      </c>
      <c r="D108" s="4" t="str">
        <f>IFERROR(__xludf.DUMMYFUNCTION("""COMPUTED_VALUE"""),"RESOLVED")</f>
        <v>RESOLVED</v>
      </c>
      <c r="E108" s="6">
        <f>IFERROR(__xludf.DUMMYFUNCTION("""COMPUTED_VALUE"""),43889.642164351855)</f>
        <v>43889.64216</v>
      </c>
      <c r="F108" s="4" t="str">
        <f>IFERROR(__xludf.DUMMYFUNCTION("""COMPUTED_VALUE""")," ---")</f>
        <v> ---</v>
      </c>
      <c r="G108" s="4" t="str">
        <f>IFERROR(__xludf.DUMMYFUNCTION("""COMPUTED_VALUE"""),"SUSE Linux Enterprise Server 15 SP2")</f>
        <v>SUSE Linux Enterprise Server 15 SP2</v>
      </c>
      <c r="H108" s="7" t="str">
        <f t="shared" si="2"/>
        <v>NO</v>
      </c>
      <c r="I108" s="7" t="str">
        <f t="shared" si="3"/>
        <v>NO</v>
      </c>
    </row>
    <row r="109">
      <c r="A109" s="4">
        <f>IFERROR(__xludf.DUMMYFUNCTION("""COMPUTED_VALUE"""),1166572.0)</f>
        <v>1166572</v>
      </c>
      <c r="B109" s="4" t="str">
        <f>IFERROR(__xludf.DUMMYFUNCTION("""COMPUTED_VALUE"""),"P2 - High")</f>
        <v>P2 - High</v>
      </c>
      <c r="C109" s="5">
        <f>IFERROR(__xludf.DUMMYFUNCTION("""COMPUTED_VALUE"""),43903.34142361111)</f>
        <v>43903.34142</v>
      </c>
      <c r="D109" s="4" t="str">
        <f>IFERROR(__xludf.DUMMYFUNCTION("""COMPUTED_VALUE"""),"RESOLVED")</f>
        <v>RESOLVED</v>
      </c>
      <c r="E109" s="6">
        <f>IFERROR(__xludf.DUMMYFUNCTION("""COMPUTED_VALUE"""),43957.234444444446)</f>
        <v>43957.23444</v>
      </c>
      <c r="F109" s="4" t="str">
        <f>IFERROR(__xludf.DUMMYFUNCTION("""COMPUTED_VALUE""")," ---")</f>
        <v> ---</v>
      </c>
      <c r="G109" s="4" t="str">
        <f>IFERROR(__xludf.DUMMYFUNCTION("""COMPUTED_VALUE"""),"SUSE Linux Enterprise Server 15 SP2")</f>
        <v>SUSE Linux Enterprise Server 15 SP2</v>
      </c>
      <c r="H109" s="7" t="str">
        <f t="shared" si="2"/>
        <v>NO</v>
      </c>
      <c r="I109" s="7" t="str">
        <f t="shared" si="3"/>
        <v>NO</v>
      </c>
    </row>
    <row r="110">
      <c r="A110" s="4">
        <f>IFERROR(__xludf.DUMMYFUNCTION("""COMPUTED_VALUE"""),1168035.0)</f>
        <v>1168035</v>
      </c>
      <c r="B110" s="4" t="str">
        <f>IFERROR(__xludf.DUMMYFUNCTION("""COMPUTED_VALUE"""),"P2 - High")</f>
        <v>P2 - High</v>
      </c>
      <c r="C110" s="5">
        <f>IFERROR(__xludf.DUMMYFUNCTION("""COMPUTED_VALUE"""),43920.33300925926)</f>
        <v>43920.33301</v>
      </c>
      <c r="D110" s="4" t="str">
        <f>IFERROR(__xludf.DUMMYFUNCTION("""COMPUTED_VALUE"""),"RESOLVED")</f>
        <v>RESOLVED</v>
      </c>
      <c r="E110" s="6">
        <f>IFERROR(__xludf.DUMMYFUNCTION("""COMPUTED_VALUE"""),43920.51660879629)</f>
        <v>43920.51661</v>
      </c>
      <c r="F110" s="4" t="str">
        <f>IFERROR(__xludf.DUMMYFUNCTION("""COMPUTED_VALUE""")," ---")</f>
        <v> ---</v>
      </c>
      <c r="G110" s="4" t="str">
        <f>IFERROR(__xludf.DUMMYFUNCTION("""COMPUTED_VALUE"""),"SUSE Linux Enterprise Server 15 SP2")</f>
        <v>SUSE Linux Enterprise Server 15 SP2</v>
      </c>
      <c r="H110" s="7" t="str">
        <f t="shared" si="2"/>
        <v>NO</v>
      </c>
      <c r="I110" s="7" t="str">
        <f t="shared" si="3"/>
        <v>NO</v>
      </c>
    </row>
    <row r="111">
      <c r="A111" s="4">
        <f>IFERROR(__xludf.DUMMYFUNCTION("""COMPUTED_VALUE"""),1168297.0)</f>
        <v>1168297</v>
      </c>
      <c r="B111" s="4" t="str">
        <f>IFERROR(__xludf.DUMMYFUNCTION("""COMPUTED_VALUE"""),"P2 - High")</f>
        <v>P2 - High</v>
      </c>
      <c r="C111" s="5">
        <f>IFERROR(__xludf.DUMMYFUNCTION("""COMPUTED_VALUE"""),43922.42230324074)</f>
        <v>43922.4223</v>
      </c>
      <c r="D111" s="4" t="str">
        <f>IFERROR(__xludf.DUMMYFUNCTION("""COMPUTED_VALUE"""),"RESOLVED")</f>
        <v>RESOLVED</v>
      </c>
      <c r="E111" s="6">
        <f>IFERROR(__xludf.DUMMYFUNCTION("""COMPUTED_VALUE"""),44384.82329861111)</f>
        <v>44384.8233</v>
      </c>
      <c r="F111" s="4" t="str">
        <f>IFERROR(__xludf.DUMMYFUNCTION("""COMPUTED_VALUE""")," ---")</f>
        <v> ---</v>
      </c>
      <c r="G111" s="4" t="str">
        <f>IFERROR(__xludf.DUMMYFUNCTION("""COMPUTED_VALUE"""),"SUSE Linux Enterprise Server 15 SP2")</f>
        <v>SUSE Linux Enterprise Server 15 SP2</v>
      </c>
      <c r="H111" s="7" t="str">
        <f t="shared" si="2"/>
        <v>NO</v>
      </c>
      <c r="I111" s="7" t="str">
        <f t="shared" si="3"/>
        <v>NO</v>
      </c>
    </row>
    <row r="112">
      <c r="A112" s="4">
        <f>IFERROR(__xludf.DUMMYFUNCTION("""COMPUTED_VALUE"""),1168847.0)</f>
        <v>1168847</v>
      </c>
      <c r="B112" s="4" t="str">
        <f>IFERROR(__xludf.DUMMYFUNCTION("""COMPUTED_VALUE"""),"P2 - High")</f>
        <v>P2 - High</v>
      </c>
      <c r="C112" s="5">
        <f>IFERROR(__xludf.DUMMYFUNCTION("""COMPUTED_VALUE"""),43928.44546296296)</f>
        <v>43928.44546</v>
      </c>
      <c r="D112" s="4" t="str">
        <f>IFERROR(__xludf.DUMMYFUNCTION("""COMPUTED_VALUE"""),"RESOLVED")</f>
        <v>RESOLVED</v>
      </c>
      <c r="E112" s="6">
        <f>IFERROR(__xludf.DUMMYFUNCTION("""COMPUTED_VALUE"""),44384.824282407404)</f>
        <v>44384.82428</v>
      </c>
      <c r="F112" s="4" t="str">
        <f>IFERROR(__xludf.DUMMYFUNCTION("""COMPUTED_VALUE""")," ---")</f>
        <v> ---</v>
      </c>
      <c r="G112" s="4" t="str">
        <f>IFERROR(__xludf.DUMMYFUNCTION("""COMPUTED_VALUE"""),"SUSE Linux Enterprise Server 15 SP2")</f>
        <v>SUSE Linux Enterprise Server 15 SP2</v>
      </c>
      <c r="H112" s="7" t="str">
        <f t="shared" si="2"/>
        <v>NO</v>
      </c>
      <c r="I112" s="7" t="str">
        <f t="shared" si="3"/>
        <v>NO</v>
      </c>
    </row>
    <row r="113">
      <c r="A113" s="4">
        <f>IFERROR(__xludf.DUMMYFUNCTION("""COMPUTED_VALUE"""),1169518.0)</f>
        <v>1169518</v>
      </c>
      <c r="B113" s="4" t="str">
        <f>IFERROR(__xludf.DUMMYFUNCTION("""COMPUTED_VALUE"""),"P2 - High")</f>
        <v>P2 - High</v>
      </c>
      <c r="C113" s="5">
        <f>IFERROR(__xludf.DUMMYFUNCTION("""COMPUTED_VALUE"""),43936.36715277778)</f>
        <v>43936.36715</v>
      </c>
      <c r="D113" s="4" t="str">
        <f>IFERROR(__xludf.DUMMYFUNCTION("""COMPUTED_VALUE"""),"RESOLVED")</f>
        <v>RESOLVED</v>
      </c>
      <c r="E113" s="6">
        <f>IFERROR(__xludf.DUMMYFUNCTION("""COMPUTED_VALUE"""),44384.825625)</f>
        <v>44384.82563</v>
      </c>
      <c r="F113" s="4" t="str">
        <f>IFERROR(__xludf.DUMMYFUNCTION("""COMPUTED_VALUE""")," ---")</f>
        <v> ---</v>
      </c>
      <c r="G113" s="4" t="str">
        <f>IFERROR(__xludf.DUMMYFUNCTION("""COMPUTED_VALUE"""),"SUSE Linux Enterprise Server 15 SP2")</f>
        <v>SUSE Linux Enterprise Server 15 SP2</v>
      </c>
      <c r="H113" s="7" t="str">
        <f t="shared" si="2"/>
        <v>NO</v>
      </c>
      <c r="I113" s="7" t="str">
        <f t="shared" si="3"/>
        <v>NO</v>
      </c>
    </row>
    <row r="114">
      <c r="A114" s="4">
        <f>IFERROR(__xludf.DUMMYFUNCTION("""COMPUTED_VALUE"""),1170147.0)</f>
        <v>1170147</v>
      </c>
      <c r="B114" s="4" t="str">
        <f>IFERROR(__xludf.DUMMYFUNCTION("""COMPUTED_VALUE"""),"P2 - High")</f>
        <v>P2 - High</v>
      </c>
      <c r="C114" s="5">
        <f>IFERROR(__xludf.DUMMYFUNCTION("""COMPUTED_VALUE"""),43943.32050925926)</f>
        <v>43943.32051</v>
      </c>
      <c r="D114" s="4" t="str">
        <f>IFERROR(__xludf.DUMMYFUNCTION("""COMPUTED_VALUE"""),"RESOLVED")</f>
        <v>RESOLVED</v>
      </c>
      <c r="E114" s="6">
        <f>IFERROR(__xludf.DUMMYFUNCTION("""COMPUTED_VALUE"""),43991.49162037037)</f>
        <v>43991.49162</v>
      </c>
      <c r="F114" s="4" t="str">
        <f>IFERROR(__xludf.DUMMYFUNCTION("""COMPUTED_VALUE""")," ---")</f>
        <v> ---</v>
      </c>
      <c r="G114" s="4" t="str">
        <f>IFERROR(__xludf.DUMMYFUNCTION("""COMPUTED_VALUE"""),"SUSE Linux Enterprise Server 15 SP2")</f>
        <v>SUSE Linux Enterprise Server 15 SP2</v>
      </c>
      <c r="H114" s="7" t="str">
        <f t="shared" si="2"/>
        <v>NO</v>
      </c>
      <c r="I114" s="7" t="str">
        <f t="shared" si="3"/>
        <v>NO</v>
      </c>
    </row>
    <row r="115">
      <c r="A115" s="4">
        <f>IFERROR(__xludf.DUMMYFUNCTION("""COMPUTED_VALUE"""),1159451.0)</f>
        <v>1159451</v>
      </c>
      <c r="B115" s="4" t="str">
        <f>IFERROR(__xludf.DUMMYFUNCTION("""COMPUTED_VALUE"""),"P2 - High")</f>
        <v>P2 - High</v>
      </c>
      <c r="C115" s="5">
        <f>IFERROR(__xludf.DUMMYFUNCTION("""COMPUTED_VALUE"""),43817.448379629626)</f>
        <v>43817.44838</v>
      </c>
      <c r="D115" s="4" t="str">
        <f>IFERROR(__xludf.DUMMYFUNCTION("""COMPUTED_VALUE"""),"RESOLVED")</f>
        <v>RESOLVED</v>
      </c>
      <c r="E115" s="6">
        <f>IFERROR(__xludf.DUMMYFUNCTION("""COMPUTED_VALUE"""),43976.594872685186)</f>
        <v>43976.59487</v>
      </c>
      <c r="F115" s="4" t="str">
        <f>IFERROR(__xludf.DUMMYFUNCTION("""COMPUTED_VALUE""")," ---")</f>
        <v> ---</v>
      </c>
      <c r="G115" s="4" t="str">
        <f>IFERROR(__xludf.DUMMYFUNCTION("""COMPUTED_VALUE"""),"SUSE Linux Enterprise Server 15 SP2")</f>
        <v>SUSE Linux Enterprise Server 15 SP2</v>
      </c>
      <c r="H115" s="7" t="str">
        <f t="shared" si="2"/>
        <v>NO</v>
      </c>
      <c r="I115" s="7" t="str">
        <f t="shared" si="3"/>
        <v>NO</v>
      </c>
    </row>
    <row r="116">
      <c r="A116" s="4">
        <f>IFERROR(__xludf.DUMMYFUNCTION("""COMPUTED_VALUE"""),1164225.0)</f>
        <v>1164225</v>
      </c>
      <c r="B116" s="4" t="str">
        <f>IFERROR(__xludf.DUMMYFUNCTION("""COMPUTED_VALUE"""),"P2 - High")</f>
        <v>P2 - High</v>
      </c>
      <c r="C116" s="5">
        <f>IFERROR(__xludf.DUMMYFUNCTION("""COMPUTED_VALUE"""),43879.76782407407)</f>
        <v>43879.76782</v>
      </c>
      <c r="D116" s="4" t="str">
        <f>IFERROR(__xludf.DUMMYFUNCTION("""COMPUTED_VALUE"""),"RESOLVED")</f>
        <v>RESOLVED</v>
      </c>
      <c r="E116" s="6">
        <f>IFERROR(__xludf.DUMMYFUNCTION("""COMPUTED_VALUE"""),43895.556921296295)</f>
        <v>43895.55692</v>
      </c>
      <c r="F116" s="4" t="str">
        <f>IFERROR(__xludf.DUMMYFUNCTION("""COMPUTED_VALUE""")," ---")</f>
        <v> ---</v>
      </c>
      <c r="G116" s="4" t="str">
        <f>IFERROR(__xludf.DUMMYFUNCTION("""COMPUTED_VALUE"""),"SUSE Linux Enterprise Server 15 SP2")</f>
        <v>SUSE Linux Enterprise Server 15 SP2</v>
      </c>
      <c r="H116" s="7" t="str">
        <f t="shared" si="2"/>
        <v>NO</v>
      </c>
      <c r="I116" s="7" t="str">
        <f t="shared" si="3"/>
        <v>NO</v>
      </c>
    </row>
    <row r="117">
      <c r="A117" s="4">
        <f>IFERROR(__xludf.DUMMYFUNCTION("""COMPUTED_VALUE"""),1165933.0)</f>
        <v>1165933</v>
      </c>
      <c r="B117" s="4" t="str">
        <f>IFERROR(__xludf.DUMMYFUNCTION("""COMPUTED_VALUE"""),"P2 - High")</f>
        <v>P2 - High</v>
      </c>
      <c r="C117" s="5">
        <f>IFERROR(__xludf.DUMMYFUNCTION("""COMPUTED_VALUE"""),43896.634618055556)</f>
        <v>43896.63462</v>
      </c>
      <c r="D117" s="4" t="str">
        <f>IFERROR(__xludf.DUMMYFUNCTION("""COMPUTED_VALUE"""),"RESOLVED")</f>
        <v>RESOLVED</v>
      </c>
      <c r="E117" s="6">
        <f>IFERROR(__xludf.DUMMYFUNCTION("""COMPUTED_VALUE"""),44384.81784722222)</f>
        <v>44384.81785</v>
      </c>
      <c r="F117" s="4" t="str">
        <f>IFERROR(__xludf.DUMMYFUNCTION("""COMPUTED_VALUE""")," ---")</f>
        <v> ---</v>
      </c>
      <c r="G117" s="4" t="str">
        <f>IFERROR(__xludf.DUMMYFUNCTION("""COMPUTED_VALUE"""),"SUSE Linux Enterprise Server 15 SP2")</f>
        <v>SUSE Linux Enterprise Server 15 SP2</v>
      </c>
      <c r="H117" s="7" t="str">
        <f t="shared" si="2"/>
        <v>NO</v>
      </c>
      <c r="I117" s="7" t="str">
        <f t="shared" si="3"/>
        <v>NO</v>
      </c>
    </row>
    <row r="118">
      <c r="A118" s="4">
        <f>IFERROR(__xludf.DUMMYFUNCTION("""COMPUTED_VALUE"""),1167494.0)</f>
        <v>1167494</v>
      </c>
      <c r="B118" s="4" t="str">
        <f>IFERROR(__xludf.DUMMYFUNCTION("""COMPUTED_VALUE"""),"P2 - High")</f>
        <v>P2 - High</v>
      </c>
      <c r="C118" s="5">
        <f>IFERROR(__xludf.DUMMYFUNCTION("""COMPUTED_VALUE"""),43914.27553240741)</f>
        <v>43914.27553</v>
      </c>
      <c r="D118" s="4" t="str">
        <f>IFERROR(__xludf.DUMMYFUNCTION("""COMPUTED_VALUE"""),"RESOLVED")</f>
        <v>RESOLVED</v>
      </c>
      <c r="E118" s="6">
        <f>IFERROR(__xludf.DUMMYFUNCTION("""COMPUTED_VALUE"""),44456.204780092594)</f>
        <v>44456.20478</v>
      </c>
      <c r="F118" s="4" t="str">
        <f>IFERROR(__xludf.DUMMYFUNCTION("""COMPUTED_VALUE""")," ---")</f>
        <v> ---</v>
      </c>
      <c r="G118" s="4" t="str">
        <f>IFERROR(__xludf.DUMMYFUNCTION("""COMPUTED_VALUE"""),"SUSE Linux Enterprise Server 15 SP2")</f>
        <v>SUSE Linux Enterprise Server 15 SP2</v>
      </c>
      <c r="H118" s="7" t="str">
        <f t="shared" si="2"/>
        <v>NO</v>
      </c>
      <c r="I118" s="7" t="str">
        <f t="shared" si="3"/>
        <v>NO</v>
      </c>
    </row>
    <row r="119">
      <c r="A119" s="4">
        <f>IFERROR(__xludf.DUMMYFUNCTION("""COMPUTED_VALUE"""),1172157.0)</f>
        <v>1172157</v>
      </c>
      <c r="B119" s="4" t="str">
        <f>IFERROR(__xludf.DUMMYFUNCTION("""COMPUTED_VALUE"""),"P2 - High")</f>
        <v>P2 - High</v>
      </c>
      <c r="C119" s="5">
        <f>IFERROR(__xludf.DUMMYFUNCTION("""COMPUTED_VALUE"""),43978.264699074076)</f>
        <v>43978.2647</v>
      </c>
      <c r="D119" s="4" t="str">
        <f>IFERROR(__xludf.DUMMYFUNCTION("""COMPUTED_VALUE"""),"RESOLVED")</f>
        <v>RESOLVED</v>
      </c>
      <c r="E119" s="6">
        <f>IFERROR(__xludf.DUMMYFUNCTION("""COMPUTED_VALUE"""),44530.68923611111)</f>
        <v>44530.68924</v>
      </c>
      <c r="F119" s="4" t="str">
        <f>IFERROR(__xludf.DUMMYFUNCTION("""COMPUTED_VALUE""")," ---")</f>
        <v> ---</v>
      </c>
      <c r="G119" s="4" t="str">
        <f>IFERROR(__xludf.DUMMYFUNCTION("""COMPUTED_VALUE"""),"SUSE Linux Enterprise Server 15 SP2")</f>
        <v>SUSE Linux Enterprise Server 15 SP2</v>
      </c>
      <c r="H119" s="7" t="str">
        <f t="shared" si="2"/>
        <v>NO</v>
      </c>
      <c r="I119" s="7" t="str">
        <f t="shared" si="3"/>
        <v>NO</v>
      </c>
    </row>
    <row r="120">
      <c r="A120" s="4">
        <f>IFERROR(__xludf.DUMMYFUNCTION("""COMPUTED_VALUE"""),1158193.0)</f>
        <v>1158193</v>
      </c>
      <c r="B120" s="4" t="str">
        <f>IFERROR(__xludf.DUMMYFUNCTION("""COMPUTED_VALUE"""),"P2 - High")</f>
        <v>P2 - High</v>
      </c>
      <c r="C120" s="5">
        <f>IFERROR(__xludf.DUMMYFUNCTION("""COMPUTED_VALUE"""),43801.60574074074)</f>
        <v>43801.60574</v>
      </c>
      <c r="D120" s="4" t="str">
        <f>IFERROR(__xludf.DUMMYFUNCTION("""COMPUTED_VALUE"""),"RESOLVED")</f>
        <v>RESOLVED</v>
      </c>
      <c r="E120" s="6">
        <f>IFERROR(__xludf.DUMMYFUNCTION("""COMPUTED_VALUE"""),44384.79429398148)</f>
        <v>44384.79429</v>
      </c>
      <c r="F120" s="4" t="str">
        <f>IFERROR(__xludf.DUMMYFUNCTION("""COMPUTED_VALUE""")," ---")</f>
        <v> ---</v>
      </c>
      <c r="G120" s="4" t="str">
        <f>IFERROR(__xludf.DUMMYFUNCTION("""COMPUTED_VALUE"""),"SUSE Linux Enterprise Server 15 SP2")</f>
        <v>SUSE Linux Enterprise Server 15 SP2</v>
      </c>
      <c r="H120" s="7" t="str">
        <f t="shared" si="2"/>
        <v>NO</v>
      </c>
      <c r="I120" s="7" t="str">
        <f t="shared" si="3"/>
        <v>NO</v>
      </c>
    </row>
    <row r="121">
      <c r="A121" s="4">
        <f>IFERROR(__xludf.DUMMYFUNCTION("""COMPUTED_VALUE"""),1158308.0)</f>
        <v>1158308</v>
      </c>
      <c r="B121" s="4" t="str">
        <f>IFERROR(__xludf.DUMMYFUNCTION("""COMPUTED_VALUE"""),"P2 - High")</f>
        <v>P2 - High</v>
      </c>
      <c r="C121" s="5">
        <f>IFERROR(__xludf.DUMMYFUNCTION("""COMPUTED_VALUE"""),43802.61993055556)</f>
        <v>43802.61993</v>
      </c>
      <c r="D121" s="4" t="str">
        <f>IFERROR(__xludf.DUMMYFUNCTION("""COMPUTED_VALUE"""),"RESOLVED")</f>
        <v>RESOLVED</v>
      </c>
      <c r="E121" s="6">
        <f>IFERROR(__xludf.DUMMYFUNCTION("""COMPUTED_VALUE"""),43837.62298611111)</f>
        <v>43837.62299</v>
      </c>
      <c r="F121" s="4" t="str">
        <f>IFERROR(__xludf.DUMMYFUNCTION("""COMPUTED_VALUE""")," ---")</f>
        <v> ---</v>
      </c>
      <c r="G121" s="4" t="str">
        <f>IFERROR(__xludf.DUMMYFUNCTION("""COMPUTED_VALUE"""),"SUSE Linux Enterprise Server 15 SP2")</f>
        <v>SUSE Linux Enterprise Server 15 SP2</v>
      </c>
      <c r="H121" s="7" t="str">
        <f t="shared" si="2"/>
        <v>NO</v>
      </c>
      <c r="I121" s="7" t="str">
        <f t="shared" si="3"/>
        <v>NO</v>
      </c>
    </row>
    <row r="122">
      <c r="A122" s="4">
        <f>IFERROR(__xludf.DUMMYFUNCTION("""COMPUTED_VALUE"""),1167769.0)</f>
        <v>1167769</v>
      </c>
      <c r="B122" s="4" t="str">
        <f>IFERROR(__xludf.DUMMYFUNCTION("""COMPUTED_VALUE"""),"P2 - High")</f>
        <v>P2 - High</v>
      </c>
      <c r="C122" s="5">
        <f>IFERROR(__xludf.DUMMYFUNCTION("""COMPUTED_VALUE"""),43916.477326388886)</f>
        <v>43916.47733</v>
      </c>
      <c r="D122" s="4" t="str">
        <f>IFERROR(__xludf.DUMMYFUNCTION("""COMPUTED_VALUE"""),"RESOLVED")</f>
        <v>RESOLVED</v>
      </c>
      <c r="E122" s="6">
        <f>IFERROR(__xludf.DUMMYFUNCTION("""COMPUTED_VALUE"""),44384.822847222225)</f>
        <v>44384.82285</v>
      </c>
      <c r="F122" s="4" t="str">
        <f>IFERROR(__xludf.DUMMYFUNCTION("""COMPUTED_VALUE""")," ---")</f>
        <v> ---</v>
      </c>
      <c r="G122" s="4" t="str">
        <f>IFERROR(__xludf.DUMMYFUNCTION("""COMPUTED_VALUE"""),"SUSE Linux Enterprise Server 15 SP2")</f>
        <v>SUSE Linux Enterprise Server 15 SP2</v>
      </c>
      <c r="H122" s="7" t="str">
        <f t="shared" si="2"/>
        <v>NO</v>
      </c>
      <c r="I122" s="7" t="str">
        <f t="shared" si="3"/>
        <v>NO</v>
      </c>
    </row>
    <row r="123">
      <c r="A123" s="4">
        <f>IFERROR(__xludf.DUMMYFUNCTION("""COMPUTED_VALUE"""),1173267.0)</f>
        <v>1173267</v>
      </c>
      <c r="B123" s="4" t="str">
        <f>IFERROR(__xludf.DUMMYFUNCTION("""COMPUTED_VALUE"""),"P2 - High")</f>
        <v>P2 - High</v>
      </c>
      <c r="C123" s="5">
        <f>IFERROR(__xludf.DUMMYFUNCTION("""COMPUTED_VALUE"""),44005.51273148148)</f>
        <v>44005.51273</v>
      </c>
      <c r="D123" s="4" t="str">
        <f>IFERROR(__xludf.DUMMYFUNCTION("""COMPUTED_VALUE"""),"RESOLVED")</f>
        <v>RESOLVED</v>
      </c>
      <c r="E123" s="6">
        <f>IFERROR(__xludf.DUMMYFUNCTION("""COMPUTED_VALUE"""),44384.8358912037)</f>
        <v>44384.83589</v>
      </c>
      <c r="F123" s="4" t="str">
        <f>IFERROR(__xludf.DUMMYFUNCTION("""COMPUTED_VALUE""")," ---")</f>
        <v> ---</v>
      </c>
      <c r="G123" s="4" t="str">
        <f>IFERROR(__xludf.DUMMYFUNCTION("""COMPUTED_VALUE"""),"SUSE Linux Enterprise Server 15 SP2")</f>
        <v>SUSE Linux Enterprise Server 15 SP2</v>
      </c>
      <c r="H123" s="7" t="str">
        <f t="shared" si="2"/>
        <v>NO</v>
      </c>
      <c r="I123" s="7" t="str">
        <f t="shared" si="3"/>
        <v>NO</v>
      </c>
    </row>
    <row r="124">
      <c r="A124" s="4">
        <f>IFERROR(__xludf.DUMMYFUNCTION("""COMPUTED_VALUE"""),1166900.0)</f>
        <v>1166900</v>
      </c>
      <c r="B124" s="4" t="str">
        <f>IFERROR(__xludf.DUMMYFUNCTION("""COMPUTED_VALUE"""),"P2 - High")</f>
        <v>P2 - High</v>
      </c>
      <c r="C124" s="5">
        <f>IFERROR(__xludf.DUMMYFUNCTION("""COMPUTED_VALUE"""),43908.13149305555)</f>
        <v>43908.13149</v>
      </c>
      <c r="D124" s="4" t="str">
        <f>IFERROR(__xludf.DUMMYFUNCTION("""COMPUTED_VALUE"""),"RESOLVED")</f>
        <v>RESOLVED</v>
      </c>
      <c r="E124" s="6">
        <f>IFERROR(__xludf.DUMMYFUNCTION("""COMPUTED_VALUE"""),44165.457280092596)</f>
        <v>44165.45728</v>
      </c>
      <c r="F124" s="4" t="str">
        <f>IFERROR(__xludf.DUMMYFUNCTION("""COMPUTED_VALUE""")," ---")</f>
        <v> ---</v>
      </c>
      <c r="G124" s="4" t="str">
        <f>IFERROR(__xludf.DUMMYFUNCTION("""COMPUTED_VALUE"""),"SUSE Linux Enterprise Server 15 SP2")</f>
        <v>SUSE Linux Enterprise Server 15 SP2</v>
      </c>
      <c r="H124" s="7" t="str">
        <f t="shared" si="2"/>
        <v>NO</v>
      </c>
      <c r="I124" s="7" t="str">
        <f t="shared" si="3"/>
        <v>NO</v>
      </c>
    </row>
    <row r="125">
      <c r="A125" s="4">
        <f>IFERROR(__xludf.DUMMYFUNCTION("""COMPUTED_VALUE"""),1149021.0)</f>
        <v>1149021</v>
      </c>
      <c r="B125" s="4" t="str">
        <f>IFERROR(__xludf.DUMMYFUNCTION("""COMPUTED_VALUE"""),"P2 - High")</f>
        <v>P2 - High</v>
      </c>
      <c r="C125" s="5">
        <f>IFERROR(__xludf.DUMMYFUNCTION("""COMPUTED_VALUE"""),43707.657372685186)</f>
        <v>43707.65737</v>
      </c>
      <c r="D125" s="4" t="str">
        <f>IFERROR(__xludf.DUMMYFUNCTION("""COMPUTED_VALUE"""),"RESOLVED")</f>
        <v>RESOLVED</v>
      </c>
      <c r="E125" s="6">
        <f>IFERROR(__xludf.DUMMYFUNCTION("""COMPUTED_VALUE"""),43717.39157407408)</f>
        <v>43717.39157</v>
      </c>
      <c r="F125" s="4" t="str">
        <f>IFERROR(__xludf.DUMMYFUNCTION("""COMPUTED_VALUE""")," ---")</f>
        <v> ---</v>
      </c>
      <c r="G125" s="4" t="str">
        <f>IFERROR(__xludf.DUMMYFUNCTION("""COMPUTED_VALUE"""),"SUSE Linux Enterprise Server 15 SP2")</f>
        <v>SUSE Linux Enterprise Server 15 SP2</v>
      </c>
      <c r="H125" s="7" t="str">
        <f t="shared" si="2"/>
        <v>NO</v>
      </c>
      <c r="I125" s="7" t="str">
        <f t="shared" si="3"/>
        <v>NO</v>
      </c>
    </row>
    <row r="126">
      <c r="A126" s="4">
        <f>IFERROR(__xludf.DUMMYFUNCTION("""COMPUTED_VALUE"""),1159955.0)</f>
        <v>1159955</v>
      </c>
      <c r="B126" s="4" t="str">
        <f>IFERROR(__xludf.DUMMYFUNCTION("""COMPUTED_VALUE"""),"P2 - High")</f>
        <v>P2 - High</v>
      </c>
      <c r="C126" s="5">
        <f>IFERROR(__xludf.DUMMYFUNCTION("""COMPUTED_VALUE"""),43830.54224537037)</f>
        <v>43830.54225</v>
      </c>
      <c r="D126" s="4" t="str">
        <f>IFERROR(__xludf.DUMMYFUNCTION("""COMPUTED_VALUE"""),"RESOLVED")</f>
        <v>RESOLVED</v>
      </c>
      <c r="E126" s="6">
        <f>IFERROR(__xludf.DUMMYFUNCTION("""COMPUTED_VALUE"""),44624.915127314816)</f>
        <v>44624.91513</v>
      </c>
      <c r="F126" s="4" t="str">
        <f>IFERROR(__xludf.DUMMYFUNCTION("""COMPUTED_VALUE"""),"Yes")</f>
        <v>Yes</v>
      </c>
      <c r="G126" s="4" t="str">
        <f>IFERROR(__xludf.DUMMYFUNCTION("""COMPUTED_VALUE"""),"SUSE Linux Enterprise Server 15 SP2")</f>
        <v>SUSE Linux Enterprise Server 15 SP2</v>
      </c>
      <c r="H126" s="7" t="str">
        <f t="shared" si="2"/>
        <v>YES</v>
      </c>
      <c r="I126" s="7" t="str">
        <f t="shared" si="3"/>
        <v>NO</v>
      </c>
    </row>
    <row r="127">
      <c r="A127" s="4">
        <f>IFERROR(__xludf.DUMMYFUNCTION("""COMPUTED_VALUE"""),1162503.0)</f>
        <v>1162503</v>
      </c>
      <c r="B127" s="4" t="str">
        <f>IFERROR(__xludf.DUMMYFUNCTION("""COMPUTED_VALUE"""),"P2 - High")</f>
        <v>P2 - High</v>
      </c>
      <c r="C127" s="5">
        <f>IFERROR(__xludf.DUMMYFUNCTION("""COMPUTED_VALUE"""),43864.549259259256)</f>
        <v>43864.54926</v>
      </c>
      <c r="D127" s="4" t="str">
        <f>IFERROR(__xludf.DUMMYFUNCTION("""COMPUTED_VALUE"""),"RESOLVED")</f>
        <v>RESOLVED</v>
      </c>
      <c r="E127" s="6">
        <f>IFERROR(__xludf.DUMMYFUNCTION("""COMPUTED_VALUE"""),44384.8031712963)</f>
        <v>44384.80317</v>
      </c>
      <c r="F127" s="4" t="str">
        <f>IFERROR(__xludf.DUMMYFUNCTION("""COMPUTED_VALUE""")," ---")</f>
        <v> ---</v>
      </c>
      <c r="G127" s="4" t="str">
        <f>IFERROR(__xludf.DUMMYFUNCTION("""COMPUTED_VALUE"""),"SUSE Linux Enterprise Server 15 SP2")</f>
        <v>SUSE Linux Enterprise Server 15 SP2</v>
      </c>
      <c r="H127" s="7" t="str">
        <f t="shared" si="2"/>
        <v>NO</v>
      </c>
      <c r="I127" s="7" t="str">
        <f t="shared" si="3"/>
        <v>NO</v>
      </c>
    </row>
    <row r="128">
      <c r="A128" s="4">
        <f>IFERROR(__xludf.DUMMYFUNCTION("""COMPUTED_VALUE"""),1172751.0)</f>
        <v>1172751</v>
      </c>
      <c r="B128" s="4" t="str">
        <f>IFERROR(__xludf.DUMMYFUNCTION("""COMPUTED_VALUE"""),"P2 - High")</f>
        <v>P2 - High</v>
      </c>
      <c r="C128" s="5">
        <f>IFERROR(__xludf.DUMMYFUNCTION("""COMPUTED_VALUE"""),43991.73274305555)</f>
        <v>43991.73274</v>
      </c>
      <c r="D128" s="4" t="str">
        <f>IFERROR(__xludf.DUMMYFUNCTION("""COMPUTED_VALUE"""),"RESOLVED")</f>
        <v>RESOLVED</v>
      </c>
      <c r="E128" s="6">
        <f>IFERROR(__xludf.DUMMYFUNCTION("""COMPUTED_VALUE"""),44384.83420138889)</f>
        <v>44384.8342</v>
      </c>
      <c r="F128" s="4" t="str">
        <f>IFERROR(__xludf.DUMMYFUNCTION("""COMPUTED_VALUE""")," ---")</f>
        <v> ---</v>
      </c>
      <c r="G128" s="4" t="str">
        <f>IFERROR(__xludf.DUMMYFUNCTION("""COMPUTED_VALUE"""),"SUSE Linux Enterprise Server 15 SP2")</f>
        <v>SUSE Linux Enterprise Server 15 SP2</v>
      </c>
      <c r="H128" s="7" t="str">
        <f t="shared" si="2"/>
        <v>NO</v>
      </c>
      <c r="I128" s="7" t="str">
        <f t="shared" si="3"/>
        <v>NO</v>
      </c>
    </row>
    <row r="129">
      <c r="A129" s="4">
        <f>IFERROR(__xludf.DUMMYFUNCTION("""COMPUTED_VALUE"""),1155445.0)</f>
        <v>1155445</v>
      </c>
      <c r="B129" s="4" t="str">
        <f>IFERROR(__xludf.DUMMYFUNCTION("""COMPUTED_VALUE"""),"P2 - High")</f>
        <v>P2 - High</v>
      </c>
      <c r="C129" s="5">
        <f>IFERROR(__xludf.DUMMYFUNCTION("""COMPUTED_VALUE"""),43768.53488425926)</f>
        <v>43768.53488</v>
      </c>
      <c r="D129" s="4" t="str">
        <f>IFERROR(__xludf.DUMMYFUNCTION("""COMPUTED_VALUE"""),"RESOLVED")</f>
        <v>RESOLVED</v>
      </c>
      <c r="E129" s="6">
        <f>IFERROR(__xludf.DUMMYFUNCTION("""COMPUTED_VALUE"""),43941.61944444444)</f>
        <v>43941.61944</v>
      </c>
      <c r="F129" s="4" t="str">
        <f>IFERROR(__xludf.DUMMYFUNCTION("""COMPUTED_VALUE""")," ---")</f>
        <v> ---</v>
      </c>
      <c r="G129" s="4" t="str">
        <f>IFERROR(__xludf.DUMMYFUNCTION("""COMPUTED_VALUE"""),"SUSE Linux Enterprise Server 15 SP2")</f>
        <v>SUSE Linux Enterprise Server 15 SP2</v>
      </c>
      <c r="H129" s="7" t="str">
        <f t="shared" si="2"/>
        <v>NO</v>
      </c>
      <c r="I129" s="7" t="str">
        <f t="shared" si="3"/>
        <v>NO</v>
      </c>
    </row>
    <row r="130">
      <c r="A130" s="4">
        <f>IFERROR(__xludf.DUMMYFUNCTION("""COMPUTED_VALUE"""),1161889.0)</f>
        <v>1161889</v>
      </c>
      <c r="B130" s="4" t="str">
        <f>IFERROR(__xludf.DUMMYFUNCTION("""COMPUTED_VALUE"""),"P2 - High")</f>
        <v>P2 - High</v>
      </c>
      <c r="C130" s="5">
        <f>IFERROR(__xludf.DUMMYFUNCTION("""COMPUTED_VALUE"""),43857.47138888889)</f>
        <v>43857.47139</v>
      </c>
      <c r="D130" s="4" t="str">
        <f>IFERROR(__xludf.DUMMYFUNCTION("""COMPUTED_VALUE"""),"RESOLVED")</f>
        <v>RESOLVED</v>
      </c>
      <c r="E130" s="6">
        <f>IFERROR(__xludf.DUMMYFUNCTION("""COMPUTED_VALUE"""),44384.80255787037)</f>
        <v>44384.80256</v>
      </c>
      <c r="F130" s="4" t="str">
        <f>IFERROR(__xludf.DUMMYFUNCTION("""COMPUTED_VALUE""")," ---")</f>
        <v> ---</v>
      </c>
      <c r="G130" s="4" t="str">
        <f>IFERROR(__xludf.DUMMYFUNCTION("""COMPUTED_VALUE"""),"SUSE Linux Enterprise Server 15 SP2")</f>
        <v>SUSE Linux Enterprise Server 15 SP2</v>
      </c>
      <c r="H130" s="7" t="str">
        <f t="shared" si="2"/>
        <v>NO</v>
      </c>
      <c r="I130" s="7" t="str">
        <f t="shared" si="3"/>
        <v>YES</v>
      </c>
    </row>
    <row r="131">
      <c r="A131" s="4">
        <f>IFERROR(__xludf.DUMMYFUNCTION("""COMPUTED_VALUE"""),1157774.0)</f>
        <v>1157774</v>
      </c>
      <c r="B131" s="4" t="str">
        <f>IFERROR(__xludf.DUMMYFUNCTION("""COMPUTED_VALUE"""),"P2 - High")</f>
        <v>P2 - High</v>
      </c>
      <c r="C131" s="5">
        <f>IFERROR(__xludf.DUMMYFUNCTION("""COMPUTED_VALUE"""),43795.445081018515)</f>
        <v>43795.44508</v>
      </c>
      <c r="D131" s="4" t="str">
        <f>IFERROR(__xludf.DUMMYFUNCTION("""COMPUTED_VALUE"""),"RESOLVED")</f>
        <v>RESOLVED</v>
      </c>
      <c r="E131" s="6">
        <f>IFERROR(__xludf.DUMMYFUNCTION("""COMPUTED_VALUE"""),44384.79392361111)</f>
        <v>44384.79392</v>
      </c>
      <c r="F131" s="4" t="str">
        <f>IFERROR(__xludf.DUMMYFUNCTION("""COMPUTED_VALUE""")," ---")</f>
        <v> ---</v>
      </c>
      <c r="G131" s="4" t="str">
        <f>IFERROR(__xludf.DUMMYFUNCTION("""COMPUTED_VALUE"""),"SUSE Linux Enterprise Server 15 SP2")</f>
        <v>SUSE Linux Enterprise Server 15 SP2</v>
      </c>
      <c r="H131" s="7" t="str">
        <f t="shared" si="2"/>
        <v>NO</v>
      </c>
      <c r="I131" s="7" t="str">
        <f t="shared" si="3"/>
        <v>NO</v>
      </c>
    </row>
    <row r="132">
      <c r="A132" s="4">
        <f>IFERROR(__xludf.DUMMYFUNCTION("""COMPUTED_VALUE"""),1160010.0)</f>
        <v>1160010</v>
      </c>
      <c r="B132" s="4" t="str">
        <f>IFERROR(__xludf.DUMMYFUNCTION("""COMPUTED_VALUE"""),"P2 - High")</f>
        <v>P2 - High</v>
      </c>
      <c r="C132" s="5">
        <f>IFERROR(__xludf.DUMMYFUNCTION("""COMPUTED_VALUE"""),43832.59079861111)</f>
        <v>43832.5908</v>
      </c>
      <c r="D132" s="4" t="str">
        <f>IFERROR(__xludf.DUMMYFUNCTION("""COMPUTED_VALUE"""),"RESOLVED")</f>
        <v>RESOLVED</v>
      </c>
      <c r="E132" s="6">
        <f>IFERROR(__xludf.DUMMYFUNCTION("""COMPUTED_VALUE"""),44482.55788194444)</f>
        <v>44482.55788</v>
      </c>
      <c r="F132" s="4" t="str">
        <f>IFERROR(__xludf.DUMMYFUNCTION("""COMPUTED_VALUE""")," ---")</f>
        <v> ---</v>
      </c>
      <c r="G132" s="4" t="str">
        <f>IFERROR(__xludf.DUMMYFUNCTION("""COMPUTED_VALUE"""),"SUSE Linux Enterprise Server 15 SP2")</f>
        <v>SUSE Linux Enterprise Server 15 SP2</v>
      </c>
      <c r="H132" s="7" t="str">
        <f t="shared" si="2"/>
        <v>YES</v>
      </c>
      <c r="I132" s="7" t="str">
        <f t="shared" si="3"/>
        <v>NO</v>
      </c>
    </row>
    <row r="133">
      <c r="A133" s="4">
        <f>IFERROR(__xludf.DUMMYFUNCTION("""COMPUTED_VALUE"""),1160018.0)</f>
        <v>1160018</v>
      </c>
      <c r="B133" s="4" t="str">
        <f>IFERROR(__xludf.DUMMYFUNCTION("""COMPUTED_VALUE"""),"P2 - High")</f>
        <v>P2 - High</v>
      </c>
      <c r="C133" s="5">
        <f>IFERROR(__xludf.DUMMYFUNCTION("""COMPUTED_VALUE"""),43832.7090625)</f>
        <v>43832.70906</v>
      </c>
      <c r="D133" s="4" t="str">
        <f>IFERROR(__xludf.DUMMYFUNCTION("""COMPUTED_VALUE"""),"RESOLVED")</f>
        <v>RESOLVED</v>
      </c>
      <c r="E133" s="6">
        <f>IFERROR(__xludf.DUMMYFUNCTION("""COMPUTED_VALUE"""),44384.798796296294)</f>
        <v>44384.7988</v>
      </c>
      <c r="F133" s="4" t="str">
        <f>IFERROR(__xludf.DUMMYFUNCTION("""COMPUTED_VALUE""")," ---")</f>
        <v> ---</v>
      </c>
      <c r="G133" s="4" t="str">
        <f>IFERROR(__xludf.DUMMYFUNCTION("""COMPUTED_VALUE"""),"SUSE Linux Enterprise Server 15 SP2")</f>
        <v>SUSE Linux Enterprise Server 15 SP2</v>
      </c>
      <c r="H133" s="7" t="str">
        <f t="shared" si="2"/>
        <v>YES</v>
      </c>
      <c r="I133" s="7" t="str">
        <f t="shared" si="3"/>
        <v>NO</v>
      </c>
    </row>
    <row r="134">
      <c r="A134" s="4">
        <f>IFERROR(__xludf.DUMMYFUNCTION("""COMPUTED_VALUE"""),1163776.0)</f>
        <v>1163776</v>
      </c>
      <c r="B134" s="4" t="str">
        <f>IFERROR(__xludf.DUMMYFUNCTION("""COMPUTED_VALUE"""),"P2 - High")</f>
        <v>P2 - High</v>
      </c>
      <c r="C134" s="5">
        <f>IFERROR(__xludf.DUMMYFUNCTION("""COMPUTED_VALUE"""),43878.264328703706)</f>
        <v>43878.26433</v>
      </c>
      <c r="D134" s="4" t="str">
        <f>IFERROR(__xludf.DUMMYFUNCTION("""COMPUTED_VALUE"""),"RESOLVED")</f>
        <v>RESOLVED</v>
      </c>
      <c r="E134" s="6">
        <f>IFERROR(__xludf.DUMMYFUNCTION("""COMPUTED_VALUE"""),44384.80457175926)</f>
        <v>44384.80457</v>
      </c>
      <c r="F134" s="4" t="str">
        <f>IFERROR(__xludf.DUMMYFUNCTION("""COMPUTED_VALUE""")," ---")</f>
        <v> ---</v>
      </c>
      <c r="G134" s="4" t="str">
        <f>IFERROR(__xludf.DUMMYFUNCTION("""COMPUTED_VALUE"""),"SUSE Linux Enterprise Server 15 SP2")</f>
        <v>SUSE Linux Enterprise Server 15 SP2</v>
      </c>
      <c r="H134" s="7" t="str">
        <f t="shared" si="2"/>
        <v>NO</v>
      </c>
      <c r="I134" s="7" t="str">
        <f t="shared" si="3"/>
        <v>NO</v>
      </c>
    </row>
    <row r="135">
      <c r="A135" s="4">
        <f>IFERROR(__xludf.DUMMYFUNCTION("""COMPUTED_VALUE"""),1165980.0)</f>
        <v>1165980</v>
      </c>
      <c r="B135" s="4" t="str">
        <f>IFERROR(__xludf.DUMMYFUNCTION("""COMPUTED_VALUE"""),"P2 - High")</f>
        <v>P2 - High</v>
      </c>
      <c r="C135" s="5">
        <f>IFERROR(__xludf.DUMMYFUNCTION("""COMPUTED_VALUE"""),43897.7094212963)</f>
        <v>43897.70942</v>
      </c>
      <c r="D135" s="4" t="str">
        <f>IFERROR(__xludf.DUMMYFUNCTION("""COMPUTED_VALUE"""),"RESOLVED")</f>
        <v>RESOLVED</v>
      </c>
      <c r="E135" s="6">
        <f>IFERROR(__xludf.DUMMYFUNCTION("""COMPUTED_VALUE"""),44362.55915509259)</f>
        <v>44362.55916</v>
      </c>
      <c r="F135" s="4" t="str">
        <f>IFERROR(__xludf.DUMMYFUNCTION("""COMPUTED_VALUE"""),"Yes")</f>
        <v>Yes</v>
      </c>
      <c r="G135" s="4" t="str">
        <f>IFERROR(__xludf.DUMMYFUNCTION("""COMPUTED_VALUE"""),"SUSE Linux Enterprise Server 15 SP2")</f>
        <v>SUSE Linux Enterprise Server 15 SP2</v>
      </c>
      <c r="H135" s="7" t="str">
        <f t="shared" si="2"/>
        <v>NO</v>
      </c>
      <c r="I135" s="7" t="str">
        <f t="shared" si="3"/>
        <v>NO</v>
      </c>
    </row>
    <row r="136">
      <c r="A136" s="4">
        <f>IFERROR(__xludf.DUMMYFUNCTION("""COMPUTED_VALUE"""),1167867.0)</f>
        <v>1167867</v>
      </c>
      <c r="B136" s="4" t="str">
        <f>IFERROR(__xludf.DUMMYFUNCTION("""COMPUTED_VALUE"""),"P2 - High")</f>
        <v>P2 - High</v>
      </c>
      <c r="C136" s="5">
        <f>IFERROR(__xludf.DUMMYFUNCTION("""COMPUTED_VALUE"""),43917.39809027778)</f>
        <v>43917.39809</v>
      </c>
      <c r="D136" s="4" t="str">
        <f>IFERROR(__xludf.DUMMYFUNCTION("""COMPUTED_VALUE"""),"RESOLVED")</f>
        <v>RESOLVED</v>
      </c>
      <c r="E136" s="6">
        <f>IFERROR(__xludf.DUMMYFUNCTION("""COMPUTED_VALUE"""),44362.566296296296)</f>
        <v>44362.5663</v>
      </c>
      <c r="F136" s="4" t="str">
        <f>IFERROR(__xludf.DUMMYFUNCTION("""COMPUTED_VALUE""")," ---")</f>
        <v> ---</v>
      </c>
      <c r="G136" s="4" t="str">
        <f>IFERROR(__xludf.DUMMYFUNCTION("""COMPUTED_VALUE"""),"SUSE Linux Enterprise Server 15 SP2")</f>
        <v>SUSE Linux Enterprise Server 15 SP2</v>
      </c>
      <c r="H136" s="7" t="str">
        <f t="shared" si="2"/>
        <v>NO</v>
      </c>
      <c r="I136" s="7" t="str">
        <f t="shared" si="3"/>
        <v>NO</v>
      </c>
    </row>
    <row r="137">
      <c r="A137" s="4">
        <f>IFERROR(__xludf.DUMMYFUNCTION("""COMPUTED_VALUE"""),1168575.0)</f>
        <v>1168575</v>
      </c>
      <c r="B137" s="4" t="str">
        <f>IFERROR(__xludf.DUMMYFUNCTION("""COMPUTED_VALUE"""),"P2 - High")</f>
        <v>P2 - High</v>
      </c>
      <c r="C137" s="5">
        <f>IFERROR(__xludf.DUMMYFUNCTION("""COMPUTED_VALUE"""),43924.502430555556)</f>
        <v>43924.50243</v>
      </c>
      <c r="D137" s="4" t="str">
        <f>IFERROR(__xludf.DUMMYFUNCTION("""COMPUTED_VALUE"""),"RESOLVED")</f>
        <v>RESOLVED</v>
      </c>
      <c r="E137" s="6">
        <f>IFERROR(__xludf.DUMMYFUNCTION("""COMPUTED_VALUE"""),44384.82376157407)</f>
        <v>44384.82376</v>
      </c>
      <c r="F137" s="4" t="str">
        <f>IFERROR(__xludf.DUMMYFUNCTION("""COMPUTED_VALUE""")," ---")</f>
        <v> ---</v>
      </c>
      <c r="G137" s="4" t="str">
        <f>IFERROR(__xludf.DUMMYFUNCTION("""COMPUTED_VALUE"""),"SUSE Linux Enterprise Server 15 SP2")</f>
        <v>SUSE Linux Enterprise Server 15 SP2</v>
      </c>
      <c r="H137" s="7" t="str">
        <f t="shared" si="2"/>
        <v>NO</v>
      </c>
      <c r="I137" s="7" t="str">
        <f t="shared" si="3"/>
        <v>NO</v>
      </c>
    </row>
    <row r="138">
      <c r="A138" s="4">
        <f>IFERROR(__xludf.DUMMYFUNCTION("""COMPUTED_VALUE"""),1168959.0)</f>
        <v>1168959</v>
      </c>
      <c r="B138" s="4" t="str">
        <f>IFERROR(__xludf.DUMMYFUNCTION("""COMPUTED_VALUE"""),"P2 - High")</f>
        <v>P2 - High</v>
      </c>
      <c r="C138" s="5">
        <f>IFERROR(__xludf.DUMMYFUNCTION("""COMPUTED_VALUE"""),43929.40519675926)</f>
        <v>43929.4052</v>
      </c>
      <c r="D138" s="4" t="str">
        <f>IFERROR(__xludf.DUMMYFUNCTION("""COMPUTED_VALUE"""),"RESOLVED")</f>
        <v>RESOLVED</v>
      </c>
      <c r="E138" s="6">
        <f>IFERROR(__xludf.DUMMYFUNCTION("""COMPUTED_VALUE"""),44362.5687962963)</f>
        <v>44362.5688</v>
      </c>
      <c r="F138" s="4" t="str">
        <f>IFERROR(__xludf.DUMMYFUNCTION("""COMPUTED_VALUE""")," ---")</f>
        <v> ---</v>
      </c>
      <c r="G138" s="4" t="str">
        <f>IFERROR(__xludf.DUMMYFUNCTION("""COMPUTED_VALUE"""),"SUSE Linux Enterprise Server 15 SP2")</f>
        <v>SUSE Linux Enterprise Server 15 SP2</v>
      </c>
      <c r="H138" s="7" t="str">
        <f t="shared" si="2"/>
        <v>NO</v>
      </c>
      <c r="I138" s="7" t="str">
        <f t="shared" si="3"/>
        <v>NO</v>
      </c>
    </row>
    <row r="139">
      <c r="A139" s="4">
        <f>IFERROR(__xludf.DUMMYFUNCTION("""COMPUTED_VALUE"""),1170895.0)</f>
        <v>1170895</v>
      </c>
      <c r="B139" s="4" t="str">
        <f>IFERROR(__xludf.DUMMYFUNCTION("""COMPUTED_VALUE"""),"P2 - High")</f>
        <v>P2 - High</v>
      </c>
      <c r="C139" s="5">
        <f>IFERROR(__xludf.DUMMYFUNCTION("""COMPUTED_VALUE"""),43951.341458333336)</f>
        <v>43951.34146</v>
      </c>
      <c r="D139" s="4" t="str">
        <f>IFERROR(__xludf.DUMMYFUNCTION("""COMPUTED_VALUE"""),"RESOLVED")</f>
        <v>RESOLVED</v>
      </c>
      <c r="E139" s="6">
        <f>IFERROR(__xludf.DUMMYFUNCTION("""COMPUTED_VALUE"""),44384.82653935185)</f>
        <v>44384.82654</v>
      </c>
      <c r="F139" s="4" t="str">
        <f>IFERROR(__xludf.DUMMYFUNCTION("""COMPUTED_VALUE""")," ---")</f>
        <v> ---</v>
      </c>
      <c r="G139" s="4" t="str">
        <f>IFERROR(__xludf.DUMMYFUNCTION("""COMPUTED_VALUE"""),"SUSE Linux Enterprise Server 15 SP2")</f>
        <v>SUSE Linux Enterprise Server 15 SP2</v>
      </c>
      <c r="H139" s="7" t="str">
        <f t="shared" si="2"/>
        <v>NO</v>
      </c>
      <c r="I139" s="7" t="str">
        <f t="shared" si="3"/>
        <v>NO</v>
      </c>
    </row>
    <row r="140">
      <c r="A140" s="4">
        <f>IFERROR(__xludf.DUMMYFUNCTION("""COMPUTED_VALUE"""),1172145.0)</f>
        <v>1172145</v>
      </c>
      <c r="B140" s="4" t="str">
        <f>IFERROR(__xludf.DUMMYFUNCTION("""COMPUTED_VALUE"""),"P2 - High")</f>
        <v>P2 - High</v>
      </c>
      <c r="C140" s="5">
        <f>IFERROR(__xludf.DUMMYFUNCTION("""COMPUTED_VALUE"""),43977.682534722226)</f>
        <v>43977.68253</v>
      </c>
      <c r="D140" s="4" t="str">
        <f>IFERROR(__xludf.DUMMYFUNCTION("""COMPUTED_VALUE"""),"RESOLVED")</f>
        <v>RESOLVED</v>
      </c>
      <c r="E140" s="6">
        <f>IFERROR(__xludf.DUMMYFUNCTION("""COMPUTED_VALUE"""),44362.582453703704)</f>
        <v>44362.58245</v>
      </c>
      <c r="F140" s="4" t="str">
        <f>IFERROR(__xludf.DUMMYFUNCTION("""COMPUTED_VALUE""")," ---")</f>
        <v> ---</v>
      </c>
      <c r="G140" s="4" t="str">
        <f>IFERROR(__xludf.DUMMYFUNCTION("""COMPUTED_VALUE"""),"SUSE Linux Enterprise Server 15 SP2")</f>
        <v>SUSE Linux Enterprise Server 15 SP2</v>
      </c>
      <c r="H140" s="7" t="str">
        <f t="shared" si="2"/>
        <v>NO</v>
      </c>
      <c r="I140" s="7" t="str">
        <f t="shared" si="3"/>
        <v>NO</v>
      </c>
    </row>
    <row r="141">
      <c r="A141" s="4">
        <f>IFERROR(__xludf.DUMMYFUNCTION("""COMPUTED_VALUE"""),1158882.0)</f>
        <v>1158882</v>
      </c>
      <c r="B141" s="4" t="str">
        <f>IFERROR(__xludf.DUMMYFUNCTION("""COMPUTED_VALUE"""),"P2 - High")</f>
        <v>P2 - High</v>
      </c>
      <c r="C141" s="5">
        <f>IFERROR(__xludf.DUMMYFUNCTION("""COMPUTED_VALUE"""),43809.43171296296)</f>
        <v>43809.43171</v>
      </c>
      <c r="D141" s="4" t="str">
        <f>IFERROR(__xludf.DUMMYFUNCTION("""COMPUTED_VALUE"""),"RESOLVED")</f>
        <v>RESOLVED</v>
      </c>
      <c r="E141" s="6">
        <f>IFERROR(__xludf.DUMMYFUNCTION("""COMPUTED_VALUE"""),44165.45065972222)</f>
        <v>44165.45066</v>
      </c>
      <c r="F141" s="4" t="str">
        <f>IFERROR(__xludf.DUMMYFUNCTION("""COMPUTED_VALUE""")," ---")</f>
        <v> ---</v>
      </c>
      <c r="G141" s="4" t="str">
        <f>IFERROR(__xludf.DUMMYFUNCTION("""COMPUTED_VALUE"""),"SUSE Linux Enterprise Server 15 SP2")</f>
        <v>SUSE Linux Enterprise Server 15 SP2</v>
      </c>
      <c r="H141" s="7" t="str">
        <f t="shared" si="2"/>
        <v>NO</v>
      </c>
      <c r="I141" s="7" t="str">
        <f t="shared" si="3"/>
        <v>NO</v>
      </c>
    </row>
    <row r="142">
      <c r="A142" s="4">
        <f>IFERROR(__xludf.DUMMYFUNCTION("""COMPUTED_VALUE"""),1161503.0)</f>
        <v>1161503</v>
      </c>
      <c r="B142" s="4" t="str">
        <f>IFERROR(__xludf.DUMMYFUNCTION("""COMPUTED_VALUE"""),"P2 - High")</f>
        <v>P2 - High</v>
      </c>
      <c r="C142" s="5">
        <f>IFERROR(__xludf.DUMMYFUNCTION("""COMPUTED_VALUE"""),43852.386979166666)</f>
        <v>43852.38698</v>
      </c>
      <c r="D142" s="4" t="str">
        <f>IFERROR(__xludf.DUMMYFUNCTION("""COMPUTED_VALUE"""),"RESOLVED")</f>
        <v>RESOLVED</v>
      </c>
      <c r="E142" s="6">
        <f>IFERROR(__xludf.DUMMYFUNCTION("""COMPUTED_VALUE"""),44127.44081018519)</f>
        <v>44127.44081</v>
      </c>
      <c r="F142" s="4" t="str">
        <f>IFERROR(__xludf.DUMMYFUNCTION("""COMPUTED_VALUE""")," ---")</f>
        <v> ---</v>
      </c>
      <c r="G142" s="4" t="str">
        <f>IFERROR(__xludf.DUMMYFUNCTION("""COMPUTED_VALUE"""),"SUSE Linux Enterprise Server 15 SP2")</f>
        <v>SUSE Linux Enterprise Server 15 SP2</v>
      </c>
      <c r="H142" s="7" t="str">
        <f t="shared" si="2"/>
        <v>NO</v>
      </c>
      <c r="I142" s="7" t="str">
        <f t="shared" si="3"/>
        <v>NO</v>
      </c>
    </row>
    <row r="143">
      <c r="A143" s="4">
        <f>IFERROR(__xludf.DUMMYFUNCTION("""COMPUTED_VALUE"""),1167426.0)</f>
        <v>1167426</v>
      </c>
      <c r="B143" s="4" t="str">
        <f>IFERROR(__xludf.DUMMYFUNCTION("""COMPUTED_VALUE"""),"P2 - High")</f>
        <v>P2 - High</v>
      </c>
      <c r="C143" s="5">
        <f>IFERROR(__xludf.DUMMYFUNCTION("""COMPUTED_VALUE"""),43913.48171296297)</f>
        <v>43913.48171</v>
      </c>
      <c r="D143" s="4" t="str">
        <f>IFERROR(__xludf.DUMMYFUNCTION("""COMPUTED_VALUE"""),"RESOLVED")</f>
        <v>RESOLVED</v>
      </c>
      <c r="E143" s="6">
        <f>IFERROR(__xludf.DUMMYFUNCTION("""COMPUTED_VALUE"""),43913.723020833335)</f>
        <v>43913.72302</v>
      </c>
      <c r="F143" s="4" t="str">
        <f>IFERROR(__xludf.DUMMYFUNCTION("""COMPUTED_VALUE""")," ---")</f>
        <v> ---</v>
      </c>
      <c r="G143" s="4" t="str">
        <f>IFERROR(__xludf.DUMMYFUNCTION("""COMPUTED_VALUE"""),"SUSE Linux Enterprise Server 15 SP2")</f>
        <v>SUSE Linux Enterprise Server 15 SP2</v>
      </c>
      <c r="H143" s="7" t="str">
        <f t="shared" si="2"/>
        <v>NO</v>
      </c>
      <c r="I143" s="7" t="str">
        <f t="shared" si="3"/>
        <v>NO</v>
      </c>
    </row>
    <row r="144">
      <c r="A144" s="4">
        <f>IFERROR(__xludf.DUMMYFUNCTION("""COMPUTED_VALUE"""),1168236.0)</f>
        <v>1168236</v>
      </c>
      <c r="B144" s="4" t="str">
        <f>IFERROR(__xludf.DUMMYFUNCTION("""COMPUTED_VALUE"""),"P2 - High")</f>
        <v>P2 - High</v>
      </c>
      <c r="C144" s="5">
        <f>IFERROR(__xludf.DUMMYFUNCTION("""COMPUTED_VALUE"""),43921.838425925926)</f>
        <v>43921.83843</v>
      </c>
      <c r="D144" s="4" t="str">
        <f>IFERROR(__xludf.DUMMYFUNCTION("""COMPUTED_VALUE"""),"RESOLVED")</f>
        <v>RESOLVED</v>
      </c>
      <c r="E144" s="6">
        <f>IFERROR(__xludf.DUMMYFUNCTION("""COMPUTED_VALUE"""),44384.823229166665)</f>
        <v>44384.82323</v>
      </c>
      <c r="F144" s="4" t="str">
        <f>IFERROR(__xludf.DUMMYFUNCTION("""COMPUTED_VALUE""")," ---")</f>
        <v> ---</v>
      </c>
      <c r="G144" s="4" t="str">
        <f>IFERROR(__xludf.DUMMYFUNCTION("""COMPUTED_VALUE"""),"SUSE Linux Enterprise Server 15 SP2")</f>
        <v>SUSE Linux Enterprise Server 15 SP2</v>
      </c>
      <c r="H144" s="7" t="str">
        <f t="shared" si="2"/>
        <v>NO</v>
      </c>
      <c r="I144" s="7" t="str">
        <f t="shared" si="3"/>
        <v>NO</v>
      </c>
    </row>
    <row r="145">
      <c r="A145" s="4">
        <f>IFERROR(__xludf.DUMMYFUNCTION("""COMPUTED_VALUE"""),1172208.0)</f>
        <v>1172208</v>
      </c>
      <c r="B145" s="4" t="str">
        <f>IFERROR(__xludf.DUMMYFUNCTION("""COMPUTED_VALUE"""),"P2 - High")</f>
        <v>P2 - High</v>
      </c>
      <c r="C145" s="5">
        <f>IFERROR(__xludf.DUMMYFUNCTION("""COMPUTED_VALUE"""),43978.73012731481)</f>
        <v>43978.73013</v>
      </c>
      <c r="D145" s="4" t="str">
        <f>IFERROR(__xludf.DUMMYFUNCTION("""COMPUTED_VALUE"""),"RESOLVED")</f>
        <v>RESOLVED</v>
      </c>
      <c r="E145" s="6">
        <f>IFERROR(__xludf.DUMMYFUNCTION("""COMPUTED_VALUE"""),44384.83321759259)</f>
        <v>44384.83322</v>
      </c>
      <c r="F145" s="4" t="str">
        <f>IFERROR(__xludf.DUMMYFUNCTION("""COMPUTED_VALUE""")," ---")</f>
        <v> ---</v>
      </c>
      <c r="G145" s="4" t="str">
        <f>IFERROR(__xludf.DUMMYFUNCTION("""COMPUTED_VALUE"""),"SUSE Linux Enterprise Server 15 SP2")</f>
        <v>SUSE Linux Enterprise Server 15 SP2</v>
      </c>
      <c r="H145" s="7" t="str">
        <f t="shared" si="2"/>
        <v>NO</v>
      </c>
      <c r="I145" s="7" t="str">
        <f t="shared" si="3"/>
        <v>NO</v>
      </c>
    </row>
    <row r="146">
      <c r="A146" s="4">
        <f>IFERROR(__xludf.DUMMYFUNCTION("""COMPUTED_VALUE"""),1172467.0)</f>
        <v>1172467</v>
      </c>
      <c r="B146" s="4" t="str">
        <f>IFERROR(__xludf.DUMMYFUNCTION("""COMPUTED_VALUE"""),"P2 - High")</f>
        <v>P2 - High</v>
      </c>
      <c r="C146" s="5">
        <f>IFERROR(__xludf.DUMMYFUNCTION("""COMPUTED_VALUE"""),43985.62552083333)</f>
        <v>43985.62552</v>
      </c>
      <c r="D146" s="4" t="str">
        <f>IFERROR(__xludf.DUMMYFUNCTION("""COMPUTED_VALUE"""),"RESOLVED")</f>
        <v>RESOLVED</v>
      </c>
      <c r="E146" s="6">
        <f>IFERROR(__xludf.DUMMYFUNCTION("""COMPUTED_VALUE"""),44677.5653125)</f>
        <v>44677.56531</v>
      </c>
      <c r="F146" s="4" t="str">
        <f>IFERROR(__xludf.DUMMYFUNCTION("""COMPUTED_VALUE""")," ---")</f>
        <v> ---</v>
      </c>
      <c r="G146" s="4" t="str">
        <f>IFERROR(__xludf.DUMMYFUNCTION("""COMPUTED_VALUE"""),"SUSE Linux Enterprise Server 15 SP2")</f>
        <v>SUSE Linux Enterprise Server 15 SP2</v>
      </c>
      <c r="H146" s="7" t="str">
        <f t="shared" si="2"/>
        <v>NO</v>
      </c>
      <c r="I146" s="7" t="str">
        <f t="shared" si="3"/>
        <v>NO</v>
      </c>
    </row>
    <row r="147">
      <c r="A147" s="4">
        <f>IFERROR(__xludf.DUMMYFUNCTION("""COMPUTED_VALUE"""),1157115.0)</f>
        <v>1157115</v>
      </c>
      <c r="B147" s="4" t="str">
        <f>IFERROR(__xludf.DUMMYFUNCTION("""COMPUTED_VALUE"""),"P2 - High")</f>
        <v>P2 - High</v>
      </c>
      <c r="C147" s="5">
        <f>IFERROR(__xludf.DUMMYFUNCTION("""COMPUTED_VALUE"""),43788.30332175926)</f>
        <v>43788.30332</v>
      </c>
      <c r="D147" s="4" t="str">
        <f>IFERROR(__xludf.DUMMYFUNCTION("""COMPUTED_VALUE"""),"RESOLVED")</f>
        <v>RESOLVED</v>
      </c>
      <c r="E147" s="6">
        <f>IFERROR(__xludf.DUMMYFUNCTION("""COMPUTED_VALUE"""),44362.52118055556)</f>
        <v>44362.52118</v>
      </c>
      <c r="F147" s="4" t="str">
        <f>IFERROR(__xludf.DUMMYFUNCTION("""COMPUTED_VALUE""")," ---")</f>
        <v> ---</v>
      </c>
      <c r="G147" s="4" t="str">
        <f>IFERROR(__xludf.DUMMYFUNCTION("""COMPUTED_VALUE"""),"SUSE Linux Enterprise Server 15 SP2")</f>
        <v>SUSE Linux Enterprise Server 15 SP2</v>
      </c>
      <c r="H147" s="7" t="str">
        <f t="shared" si="2"/>
        <v>NO</v>
      </c>
      <c r="I147" s="7" t="str">
        <f t="shared" si="3"/>
        <v>NO</v>
      </c>
    </row>
    <row r="148">
      <c r="A148" s="4">
        <f>IFERROR(__xludf.DUMMYFUNCTION("""COMPUTED_VALUE"""),1158563.0)</f>
        <v>1158563</v>
      </c>
      <c r="B148" s="4" t="str">
        <f>IFERROR(__xludf.DUMMYFUNCTION("""COMPUTED_VALUE"""),"P2 - High")</f>
        <v>P2 - High</v>
      </c>
      <c r="C148" s="5">
        <f>IFERROR(__xludf.DUMMYFUNCTION("""COMPUTED_VALUE"""),43804.657743055555)</f>
        <v>43804.65774</v>
      </c>
      <c r="D148" s="4" t="str">
        <f>IFERROR(__xludf.DUMMYFUNCTION("""COMPUTED_VALUE"""),"RESOLVED")</f>
        <v>RESOLVED</v>
      </c>
      <c r="E148" s="6">
        <f>IFERROR(__xludf.DUMMYFUNCTION("""COMPUTED_VALUE"""),43837.462233796294)</f>
        <v>43837.46223</v>
      </c>
      <c r="F148" s="4" t="str">
        <f>IFERROR(__xludf.DUMMYFUNCTION("""COMPUTED_VALUE""")," ---")</f>
        <v> ---</v>
      </c>
      <c r="G148" s="4" t="str">
        <f>IFERROR(__xludf.DUMMYFUNCTION("""COMPUTED_VALUE"""),"SUSE Linux Enterprise Server 15 SP2")</f>
        <v>SUSE Linux Enterprise Server 15 SP2</v>
      </c>
      <c r="H148" s="7" t="str">
        <f t="shared" si="2"/>
        <v>NO</v>
      </c>
      <c r="I148" s="7" t="str">
        <f t="shared" si="3"/>
        <v>NO</v>
      </c>
    </row>
    <row r="149">
      <c r="A149" s="4">
        <f>IFERROR(__xludf.DUMMYFUNCTION("""COMPUTED_VALUE"""),1163560.0)</f>
        <v>1163560</v>
      </c>
      <c r="B149" s="4" t="str">
        <f>IFERROR(__xludf.DUMMYFUNCTION("""COMPUTED_VALUE"""),"P2 - High")</f>
        <v>P2 - High</v>
      </c>
      <c r="C149" s="5">
        <f>IFERROR(__xludf.DUMMYFUNCTION("""COMPUTED_VALUE"""),43874.415671296294)</f>
        <v>43874.41567</v>
      </c>
      <c r="D149" s="4" t="str">
        <f>IFERROR(__xludf.DUMMYFUNCTION("""COMPUTED_VALUE"""),"RESOLVED")</f>
        <v>RESOLVED</v>
      </c>
      <c r="E149" s="6">
        <f>IFERROR(__xludf.DUMMYFUNCTION("""COMPUTED_VALUE"""),44384.80449074074)</f>
        <v>44384.80449</v>
      </c>
      <c r="F149" s="4" t="str">
        <f>IFERROR(__xludf.DUMMYFUNCTION("""COMPUTED_VALUE""")," ---")</f>
        <v> ---</v>
      </c>
      <c r="G149" s="4" t="str">
        <f>IFERROR(__xludf.DUMMYFUNCTION("""COMPUTED_VALUE"""),"SUSE Linux Enterprise Server 15 SP2")</f>
        <v>SUSE Linux Enterprise Server 15 SP2</v>
      </c>
      <c r="H149" s="7" t="str">
        <f t="shared" si="2"/>
        <v>NO</v>
      </c>
      <c r="I149" s="7" t="str">
        <f t="shared" si="3"/>
        <v>NO</v>
      </c>
    </row>
    <row r="150">
      <c r="A150" s="4">
        <f>IFERROR(__xludf.DUMMYFUNCTION("""COMPUTED_VALUE"""),1164722.0)</f>
        <v>1164722</v>
      </c>
      <c r="B150" s="4" t="str">
        <f>IFERROR(__xludf.DUMMYFUNCTION("""COMPUTED_VALUE"""),"P2 - High")</f>
        <v>P2 - High</v>
      </c>
      <c r="C150" s="5">
        <f>IFERROR(__xludf.DUMMYFUNCTION("""COMPUTED_VALUE"""),43885.58331018518)</f>
        <v>43885.58331</v>
      </c>
      <c r="D150" s="4" t="str">
        <f>IFERROR(__xludf.DUMMYFUNCTION("""COMPUTED_VALUE"""),"RESOLVED")</f>
        <v>RESOLVED</v>
      </c>
      <c r="E150" s="6">
        <f>IFERROR(__xludf.DUMMYFUNCTION("""COMPUTED_VALUE"""),44384.816712962966)</f>
        <v>44384.81671</v>
      </c>
      <c r="F150" s="4" t="str">
        <f>IFERROR(__xludf.DUMMYFUNCTION("""COMPUTED_VALUE""")," ---")</f>
        <v> ---</v>
      </c>
      <c r="G150" s="4" t="str">
        <f>IFERROR(__xludf.DUMMYFUNCTION("""COMPUTED_VALUE"""),"SUSE Linux Enterprise Server 15 SP2")</f>
        <v>SUSE Linux Enterprise Server 15 SP2</v>
      </c>
      <c r="H150" s="7" t="str">
        <f t="shared" si="2"/>
        <v>NO</v>
      </c>
      <c r="I150" s="7" t="str">
        <f t="shared" si="3"/>
        <v>NO</v>
      </c>
    </row>
    <row r="151">
      <c r="A151" s="4">
        <f>IFERROR(__xludf.DUMMYFUNCTION("""COMPUTED_VALUE"""),1165143.0)</f>
        <v>1165143</v>
      </c>
      <c r="B151" s="4" t="str">
        <f>IFERROR(__xludf.DUMMYFUNCTION("""COMPUTED_VALUE"""),"P2 - High")</f>
        <v>P2 - High</v>
      </c>
      <c r="C151" s="5">
        <f>IFERROR(__xludf.DUMMYFUNCTION("""COMPUTED_VALUE"""),43888.48842592593)</f>
        <v>43888.48843</v>
      </c>
      <c r="D151" s="4" t="str">
        <f>IFERROR(__xludf.DUMMYFUNCTION("""COMPUTED_VALUE"""),"RESOLVED")</f>
        <v>RESOLVED</v>
      </c>
      <c r="E151" s="6">
        <f>IFERROR(__xludf.DUMMYFUNCTION("""COMPUTED_VALUE"""),43903.51744212963)</f>
        <v>43903.51744</v>
      </c>
      <c r="F151" s="4" t="str">
        <f>IFERROR(__xludf.DUMMYFUNCTION("""COMPUTED_VALUE""")," ---")</f>
        <v> ---</v>
      </c>
      <c r="G151" s="4" t="str">
        <f>IFERROR(__xludf.DUMMYFUNCTION("""COMPUTED_VALUE"""),"SUSE Linux Enterprise Server 15 SP2")</f>
        <v>SUSE Linux Enterprise Server 15 SP2</v>
      </c>
      <c r="H151" s="7" t="str">
        <f t="shared" si="2"/>
        <v>NO</v>
      </c>
      <c r="I151" s="7" t="str">
        <f t="shared" si="3"/>
        <v>NO</v>
      </c>
    </row>
    <row r="152">
      <c r="A152" s="4">
        <f>IFERROR(__xludf.DUMMYFUNCTION("""COMPUTED_VALUE"""),1165637.0)</f>
        <v>1165637</v>
      </c>
      <c r="B152" s="4" t="str">
        <f>IFERROR(__xludf.DUMMYFUNCTION("""COMPUTED_VALUE"""),"P2 - High")</f>
        <v>P2 - High</v>
      </c>
      <c r="C152" s="5">
        <f>IFERROR(__xludf.DUMMYFUNCTION("""COMPUTED_VALUE"""),43894.3750462963)</f>
        <v>43894.37505</v>
      </c>
      <c r="D152" s="4" t="str">
        <f>IFERROR(__xludf.DUMMYFUNCTION("""COMPUTED_VALUE"""),"RESOLVED")</f>
        <v>RESOLVED</v>
      </c>
      <c r="E152" s="6">
        <f>IFERROR(__xludf.DUMMYFUNCTION("""COMPUTED_VALUE"""),43909.345185185186)</f>
        <v>43909.34519</v>
      </c>
      <c r="F152" s="4" t="str">
        <f>IFERROR(__xludf.DUMMYFUNCTION("""COMPUTED_VALUE""")," ---")</f>
        <v> ---</v>
      </c>
      <c r="G152" s="4" t="str">
        <f>IFERROR(__xludf.DUMMYFUNCTION("""COMPUTED_VALUE"""),"SUSE Linux Enterprise Server 15 SP2")</f>
        <v>SUSE Linux Enterprise Server 15 SP2</v>
      </c>
      <c r="H152" s="7" t="str">
        <f t="shared" si="2"/>
        <v>NO</v>
      </c>
      <c r="I152" s="7" t="str">
        <f t="shared" si="3"/>
        <v>NO</v>
      </c>
    </row>
    <row r="153">
      <c r="A153" s="4">
        <f>IFERROR(__xludf.DUMMYFUNCTION("""COMPUTED_VALUE"""),1171514.0)</f>
        <v>1171514</v>
      </c>
      <c r="B153" s="4" t="str">
        <f>IFERROR(__xludf.DUMMYFUNCTION("""COMPUTED_VALUE"""),"P2 - High")</f>
        <v>P2 - High</v>
      </c>
      <c r="C153" s="5">
        <f>IFERROR(__xludf.DUMMYFUNCTION("""COMPUTED_VALUE"""),43963.48060185185)</f>
        <v>43963.4806</v>
      </c>
      <c r="D153" s="4" t="str">
        <f>IFERROR(__xludf.DUMMYFUNCTION("""COMPUTED_VALUE"""),"RESOLVED")</f>
        <v>RESOLVED</v>
      </c>
      <c r="E153" s="6">
        <f>IFERROR(__xludf.DUMMYFUNCTION("""COMPUTED_VALUE"""),44384.8287037037)</f>
        <v>44384.8287</v>
      </c>
      <c r="F153" s="4" t="str">
        <f>IFERROR(__xludf.DUMMYFUNCTION("""COMPUTED_VALUE""")," ---")</f>
        <v> ---</v>
      </c>
      <c r="G153" s="4" t="str">
        <f>IFERROR(__xludf.DUMMYFUNCTION("""COMPUTED_VALUE"""),"SUSE Linux Enterprise Server 15 SP2")</f>
        <v>SUSE Linux Enterprise Server 15 SP2</v>
      </c>
      <c r="H153" s="7" t="str">
        <f t="shared" si="2"/>
        <v>NO</v>
      </c>
      <c r="I153" s="7" t="str">
        <f t="shared" si="3"/>
        <v>NO</v>
      </c>
    </row>
    <row r="154">
      <c r="A154" s="4">
        <f>IFERROR(__xludf.DUMMYFUNCTION("""COMPUTED_VALUE"""),1172814.0)</f>
        <v>1172814</v>
      </c>
      <c r="B154" s="4" t="str">
        <f>IFERROR(__xludf.DUMMYFUNCTION("""COMPUTED_VALUE"""),"P2 - High")</f>
        <v>P2 - High</v>
      </c>
      <c r="C154" s="5">
        <f>IFERROR(__xludf.DUMMYFUNCTION("""COMPUTED_VALUE"""),43992.850266203706)</f>
        <v>43992.85027</v>
      </c>
      <c r="D154" s="4" t="str">
        <f>IFERROR(__xludf.DUMMYFUNCTION("""COMPUTED_VALUE"""),"RESOLVED")</f>
        <v>RESOLVED</v>
      </c>
      <c r="E154" s="6">
        <f>IFERROR(__xludf.DUMMYFUNCTION("""COMPUTED_VALUE"""),44384.834375)</f>
        <v>44384.83438</v>
      </c>
      <c r="F154" s="4" t="str">
        <f>IFERROR(__xludf.DUMMYFUNCTION("""COMPUTED_VALUE""")," ---")</f>
        <v> ---</v>
      </c>
      <c r="G154" s="4" t="str">
        <f>IFERROR(__xludf.DUMMYFUNCTION("""COMPUTED_VALUE"""),"SUSE Linux Enterprise Server 15 SP2")</f>
        <v>SUSE Linux Enterprise Server 15 SP2</v>
      </c>
      <c r="H154" s="7" t="str">
        <f t="shared" si="2"/>
        <v>NO</v>
      </c>
      <c r="I154" s="7" t="str">
        <f t="shared" si="3"/>
        <v>NO</v>
      </c>
    </row>
    <row r="155">
      <c r="A155" s="4">
        <f>IFERROR(__xludf.DUMMYFUNCTION("""COMPUTED_VALUE"""),1146430.0)</f>
        <v>1146430</v>
      </c>
      <c r="B155" s="4" t="str">
        <f>IFERROR(__xludf.DUMMYFUNCTION("""COMPUTED_VALUE"""),"P2 - High")</f>
        <v>P2 - High</v>
      </c>
      <c r="C155" s="5">
        <f>IFERROR(__xludf.DUMMYFUNCTION("""COMPUTED_VALUE"""),43697.666655092595)</f>
        <v>43697.66666</v>
      </c>
      <c r="D155" s="4" t="str">
        <f>IFERROR(__xludf.DUMMYFUNCTION("""COMPUTED_VALUE"""),"RESOLVED")</f>
        <v>RESOLVED</v>
      </c>
      <c r="E155" s="6">
        <f>IFERROR(__xludf.DUMMYFUNCTION("""COMPUTED_VALUE"""),43742.50717592592)</f>
        <v>43742.50718</v>
      </c>
      <c r="F155" s="4" t="str">
        <f>IFERROR(__xludf.DUMMYFUNCTION("""COMPUTED_VALUE""")," ---")</f>
        <v> ---</v>
      </c>
      <c r="G155" s="4" t="str">
        <f>IFERROR(__xludf.DUMMYFUNCTION("""COMPUTED_VALUE"""),"SUSE Linux Enterprise Server 15 SP2")</f>
        <v>SUSE Linux Enterprise Server 15 SP2</v>
      </c>
      <c r="H155" s="7" t="str">
        <f t="shared" si="2"/>
        <v>NO</v>
      </c>
      <c r="I155" s="7" t="str">
        <f t="shared" si="3"/>
        <v>NO</v>
      </c>
    </row>
    <row r="156">
      <c r="A156" s="4">
        <f>IFERROR(__xludf.DUMMYFUNCTION("""COMPUTED_VALUE"""),1156527.0)</f>
        <v>1156527</v>
      </c>
      <c r="B156" s="4" t="str">
        <f>IFERROR(__xludf.DUMMYFUNCTION("""COMPUTED_VALUE"""),"P2 - High")</f>
        <v>P2 - High</v>
      </c>
      <c r="C156" s="5">
        <f>IFERROR(__xludf.DUMMYFUNCTION("""COMPUTED_VALUE"""),43781.45177083334)</f>
        <v>43781.45177</v>
      </c>
      <c r="D156" s="4" t="str">
        <f>IFERROR(__xludf.DUMMYFUNCTION("""COMPUTED_VALUE"""),"RESOLVED")</f>
        <v>RESOLVED</v>
      </c>
      <c r="E156" s="6">
        <f>IFERROR(__xludf.DUMMYFUNCTION("""COMPUTED_VALUE"""),43818.347037037034)</f>
        <v>43818.34704</v>
      </c>
      <c r="F156" s="4" t="str">
        <f>IFERROR(__xludf.DUMMYFUNCTION("""COMPUTED_VALUE""")," ---")</f>
        <v> ---</v>
      </c>
      <c r="G156" s="4" t="str">
        <f>IFERROR(__xludf.DUMMYFUNCTION("""COMPUTED_VALUE"""),"SUSE Linux Enterprise Server 15 SP2")</f>
        <v>SUSE Linux Enterprise Server 15 SP2</v>
      </c>
      <c r="H156" s="7" t="str">
        <f t="shared" si="2"/>
        <v>NO</v>
      </c>
      <c r="I156" s="7" t="str">
        <f t="shared" si="3"/>
        <v>NO</v>
      </c>
    </row>
    <row r="157">
      <c r="A157" s="4">
        <f>IFERROR(__xludf.DUMMYFUNCTION("""COMPUTED_VALUE"""),1156538.0)</f>
        <v>1156538</v>
      </c>
      <c r="B157" s="4" t="str">
        <f>IFERROR(__xludf.DUMMYFUNCTION("""COMPUTED_VALUE"""),"P2 - High")</f>
        <v>P2 - High</v>
      </c>
      <c r="C157" s="5">
        <f>IFERROR(__xludf.DUMMYFUNCTION("""COMPUTED_VALUE"""),43781.47974537037)</f>
        <v>43781.47975</v>
      </c>
      <c r="D157" s="4" t="str">
        <f>IFERROR(__xludf.DUMMYFUNCTION("""COMPUTED_VALUE"""),"RESOLVED")</f>
        <v>RESOLVED</v>
      </c>
      <c r="E157" s="6">
        <f>IFERROR(__xludf.DUMMYFUNCTION("""COMPUTED_VALUE"""),44384.7924537037)</f>
        <v>44384.79245</v>
      </c>
      <c r="F157" s="4" t="str">
        <f>IFERROR(__xludf.DUMMYFUNCTION("""COMPUTED_VALUE""")," ---")</f>
        <v> ---</v>
      </c>
      <c r="G157" s="4" t="str">
        <f>IFERROR(__xludf.DUMMYFUNCTION("""COMPUTED_VALUE"""),"SUSE Linux Enterprise Server 15 SP2")</f>
        <v>SUSE Linux Enterprise Server 15 SP2</v>
      </c>
      <c r="H157" s="7" t="str">
        <f t="shared" si="2"/>
        <v>NO</v>
      </c>
      <c r="I157" s="7" t="str">
        <f t="shared" si="3"/>
        <v>NO</v>
      </c>
    </row>
    <row r="158">
      <c r="A158" s="4">
        <f>IFERROR(__xludf.DUMMYFUNCTION("""COMPUTED_VALUE"""),1156561.0)</f>
        <v>1156561</v>
      </c>
      <c r="B158" s="4" t="str">
        <f>IFERROR(__xludf.DUMMYFUNCTION("""COMPUTED_VALUE"""),"P2 - High")</f>
        <v>P2 - High</v>
      </c>
      <c r="C158" s="5">
        <f>IFERROR(__xludf.DUMMYFUNCTION("""COMPUTED_VALUE"""),43781.6046412037)</f>
        <v>43781.60464</v>
      </c>
      <c r="D158" s="4" t="str">
        <f>IFERROR(__xludf.DUMMYFUNCTION("""COMPUTED_VALUE"""),"RESOLVED")</f>
        <v>RESOLVED</v>
      </c>
      <c r="E158" s="6">
        <f>IFERROR(__xludf.DUMMYFUNCTION("""COMPUTED_VALUE"""),44384.79253472222)</f>
        <v>44384.79253</v>
      </c>
      <c r="F158" s="4" t="str">
        <f>IFERROR(__xludf.DUMMYFUNCTION("""COMPUTED_VALUE""")," ---")</f>
        <v> ---</v>
      </c>
      <c r="G158" s="4" t="str">
        <f>IFERROR(__xludf.DUMMYFUNCTION("""COMPUTED_VALUE"""),"SUSE Linux Enterprise Server 15 SP2")</f>
        <v>SUSE Linux Enterprise Server 15 SP2</v>
      </c>
      <c r="H158" s="7" t="str">
        <f t="shared" si="2"/>
        <v>NO</v>
      </c>
      <c r="I158" s="7" t="str">
        <f t="shared" si="3"/>
        <v>NO</v>
      </c>
    </row>
    <row r="159">
      <c r="A159" s="4">
        <f>IFERROR(__xludf.DUMMYFUNCTION("""COMPUTED_VALUE"""),1160227.0)</f>
        <v>1160227</v>
      </c>
      <c r="B159" s="4" t="str">
        <f>IFERROR(__xludf.DUMMYFUNCTION("""COMPUTED_VALUE"""),"P2 - High")</f>
        <v>P2 - High</v>
      </c>
      <c r="C159" s="5">
        <f>IFERROR(__xludf.DUMMYFUNCTION("""COMPUTED_VALUE"""),43837.46686342593)</f>
        <v>43837.46686</v>
      </c>
      <c r="D159" s="4" t="str">
        <f>IFERROR(__xludf.DUMMYFUNCTION("""COMPUTED_VALUE"""),"RESOLVED")</f>
        <v>RESOLVED</v>
      </c>
      <c r="E159" s="6">
        <f>IFERROR(__xludf.DUMMYFUNCTION("""COMPUTED_VALUE"""),44384.799791666665)</f>
        <v>44384.79979</v>
      </c>
      <c r="F159" s="4" t="str">
        <f>IFERROR(__xludf.DUMMYFUNCTION("""COMPUTED_VALUE""")," ---")</f>
        <v> ---</v>
      </c>
      <c r="G159" s="4" t="str">
        <f>IFERROR(__xludf.DUMMYFUNCTION("""COMPUTED_VALUE"""),"SUSE Linux Enterprise Server 15 SP2")</f>
        <v>SUSE Linux Enterprise Server 15 SP2</v>
      </c>
      <c r="H159" s="7" t="str">
        <f t="shared" si="2"/>
        <v>NO</v>
      </c>
      <c r="I159" s="7" t="str">
        <f t="shared" si="3"/>
        <v>NO</v>
      </c>
    </row>
    <row r="160">
      <c r="A160" s="4">
        <f>IFERROR(__xludf.DUMMYFUNCTION("""COMPUTED_VALUE"""),1160228.0)</f>
        <v>1160228</v>
      </c>
      <c r="B160" s="4" t="str">
        <f>IFERROR(__xludf.DUMMYFUNCTION("""COMPUTED_VALUE"""),"P2 - High")</f>
        <v>P2 - High</v>
      </c>
      <c r="C160" s="5">
        <f>IFERROR(__xludf.DUMMYFUNCTION("""COMPUTED_VALUE"""),43837.46693287037)</f>
        <v>43837.46693</v>
      </c>
      <c r="D160" s="4" t="str">
        <f>IFERROR(__xludf.DUMMYFUNCTION("""COMPUTED_VALUE"""),"RESOLVED")</f>
        <v>RESOLVED</v>
      </c>
      <c r="E160" s="6">
        <f>IFERROR(__xludf.DUMMYFUNCTION("""COMPUTED_VALUE"""),44384.79986111111)</f>
        <v>44384.79986</v>
      </c>
      <c r="F160" s="4" t="str">
        <f>IFERROR(__xludf.DUMMYFUNCTION("""COMPUTED_VALUE""")," ---")</f>
        <v> ---</v>
      </c>
      <c r="G160" s="4" t="str">
        <f>IFERROR(__xludf.DUMMYFUNCTION("""COMPUTED_VALUE"""),"SUSE Linux Enterprise Server 15 SP2")</f>
        <v>SUSE Linux Enterprise Server 15 SP2</v>
      </c>
      <c r="H160" s="7" t="str">
        <f t="shared" si="2"/>
        <v>NO</v>
      </c>
      <c r="I160" s="7" t="str">
        <f t="shared" si="3"/>
        <v>NO</v>
      </c>
    </row>
    <row r="161">
      <c r="A161" s="4">
        <f>IFERROR(__xludf.DUMMYFUNCTION("""COMPUTED_VALUE"""),1162381.0)</f>
        <v>1162381</v>
      </c>
      <c r="B161" s="4" t="str">
        <f>IFERROR(__xludf.DUMMYFUNCTION("""COMPUTED_VALUE"""),"P2 - High")</f>
        <v>P2 - High</v>
      </c>
      <c r="C161" s="5">
        <f>IFERROR(__xludf.DUMMYFUNCTION("""COMPUTED_VALUE"""),43861.5890625)</f>
        <v>43861.58906</v>
      </c>
      <c r="D161" s="4" t="str">
        <f>IFERROR(__xludf.DUMMYFUNCTION("""COMPUTED_VALUE"""),"RESOLVED")</f>
        <v>RESOLVED</v>
      </c>
      <c r="E161" s="6">
        <f>IFERROR(__xludf.DUMMYFUNCTION("""COMPUTED_VALUE"""),44267.67927083333)</f>
        <v>44267.67927</v>
      </c>
      <c r="F161" s="4" t="str">
        <f>IFERROR(__xludf.DUMMYFUNCTION("""COMPUTED_VALUE""")," ---")</f>
        <v> ---</v>
      </c>
      <c r="G161" s="4" t="str">
        <f>IFERROR(__xludf.DUMMYFUNCTION("""COMPUTED_VALUE"""),"SUSE Linux Enterprise Server 15 SP2")</f>
        <v>SUSE Linux Enterprise Server 15 SP2</v>
      </c>
      <c r="H161" s="7" t="str">
        <f t="shared" si="2"/>
        <v>NO</v>
      </c>
      <c r="I161" s="7" t="str">
        <f t="shared" si="3"/>
        <v>YES</v>
      </c>
    </row>
    <row r="162">
      <c r="A162" s="4">
        <f>IFERROR(__xludf.DUMMYFUNCTION("""COMPUTED_VALUE"""),1167203.0)</f>
        <v>1167203</v>
      </c>
      <c r="B162" s="4" t="str">
        <f>IFERROR(__xludf.DUMMYFUNCTION("""COMPUTED_VALUE"""),"P2 - High")</f>
        <v>P2 - High</v>
      </c>
      <c r="C162" s="5">
        <f>IFERROR(__xludf.DUMMYFUNCTION("""COMPUTED_VALUE"""),43910.31383101852)</f>
        <v>43910.31383</v>
      </c>
      <c r="D162" s="4" t="str">
        <f>IFERROR(__xludf.DUMMYFUNCTION("""COMPUTED_VALUE"""),"RESOLVED")</f>
        <v>RESOLVED</v>
      </c>
      <c r="E162" s="6">
        <f>IFERROR(__xludf.DUMMYFUNCTION("""COMPUTED_VALUE"""),43924.994675925926)</f>
        <v>43924.99468</v>
      </c>
      <c r="F162" s="4" t="str">
        <f>IFERROR(__xludf.DUMMYFUNCTION("""COMPUTED_VALUE""")," ---")</f>
        <v> ---</v>
      </c>
      <c r="G162" s="4" t="str">
        <f>IFERROR(__xludf.DUMMYFUNCTION("""COMPUTED_VALUE"""),"SUSE Linux Enterprise Server 15 SP2")</f>
        <v>SUSE Linux Enterprise Server 15 SP2</v>
      </c>
      <c r="H162" s="7" t="str">
        <f t="shared" si="2"/>
        <v>NO</v>
      </c>
      <c r="I162" s="7" t="str">
        <f t="shared" si="3"/>
        <v>NO</v>
      </c>
    </row>
    <row r="163">
      <c r="A163" s="4">
        <f>IFERROR(__xludf.DUMMYFUNCTION("""COMPUTED_VALUE"""),1168596.0)</f>
        <v>1168596</v>
      </c>
      <c r="B163" s="4" t="str">
        <f>IFERROR(__xludf.DUMMYFUNCTION("""COMPUTED_VALUE"""),"P2 - High")</f>
        <v>P2 - High</v>
      </c>
      <c r="C163" s="5">
        <f>IFERROR(__xludf.DUMMYFUNCTION("""COMPUTED_VALUE"""),43924.61638888889)</f>
        <v>43924.61639</v>
      </c>
      <c r="D163" s="4" t="str">
        <f>IFERROR(__xludf.DUMMYFUNCTION("""COMPUTED_VALUE"""),"RESOLVED")</f>
        <v>RESOLVED</v>
      </c>
      <c r="E163" s="6">
        <f>IFERROR(__xludf.DUMMYFUNCTION("""COMPUTED_VALUE"""),44384.82383101852)</f>
        <v>44384.82383</v>
      </c>
      <c r="F163" s="4" t="str">
        <f>IFERROR(__xludf.DUMMYFUNCTION("""COMPUTED_VALUE""")," ---")</f>
        <v> ---</v>
      </c>
      <c r="G163" s="4" t="str">
        <f>IFERROR(__xludf.DUMMYFUNCTION("""COMPUTED_VALUE"""),"SUSE Linux Enterprise Server 15 SP2")</f>
        <v>SUSE Linux Enterprise Server 15 SP2</v>
      </c>
      <c r="H163" s="7" t="str">
        <f t="shared" si="2"/>
        <v>NO</v>
      </c>
      <c r="I163" s="7" t="str">
        <f t="shared" si="3"/>
        <v>NO</v>
      </c>
    </row>
    <row r="164">
      <c r="A164" s="4">
        <f>IFERROR(__xludf.DUMMYFUNCTION("""COMPUTED_VALUE"""),1169003.0)</f>
        <v>1169003</v>
      </c>
      <c r="B164" s="4" t="str">
        <f>IFERROR(__xludf.DUMMYFUNCTION("""COMPUTED_VALUE"""),"P2 - High")</f>
        <v>P2 - High</v>
      </c>
      <c r="C164" s="5">
        <f>IFERROR(__xludf.DUMMYFUNCTION("""COMPUTED_VALUE"""),43929.63364583333)</f>
        <v>43929.63365</v>
      </c>
      <c r="D164" s="4" t="str">
        <f>IFERROR(__xludf.DUMMYFUNCTION("""COMPUTED_VALUE"""),"RESOLVED")</f>
        <v>RESOLVED</v>
      </c>
      <c r="E164" s="6">
        <f>IFERROR(__xludf.DUMMYFUNCTION("""COMPUTED_VALUE"""),44384.82451388889)</f>
        <v>44384.82451</v>
      </c>
      <c r="F164" s="4" t="str">
        <f>IFERROR(__xludf.DUMMYFUNCTION("""COMPUTED_VALUE""")," ---")</f>
        <v> ---</v>
      </c>
      <c r="G164" s="4" t="str">
        <f>IFERROR(__xludf.DUMMYFUNCTION("""COMPUTED_VALUE"""),"SUSE Linux Enterprise Server 15 SP2")</f>
        <v>SUSE Linux Enterprise Server 15 SP2</v>
      </c>
      <c r="H164" s="7" t="str">
        <f t="shared" si="2"/>
        <v>NO</v>
      </c>
      <c r="I164" s="7" t="str">
        <f t="shared" si="3"/>
        <v>NO</v>
      </c>
    </row>
    <row r="165">
      <c r="A165" s="4">
        <f>IFERROR(__xludf.DUMMYFUNCTION("""COMPUTED_VALUE"""),1171242.0)</f>
        <v>1171242</v>
      </c>
      <c r="B165" s="4" t="str">
        <f>IFERROR(__xludf.DUMMYFUNCTION("""COMPUTED_VALUE"""),"P2 - High")</f>
        <v>P2 - High</v>
      </c>
      <c r="C165" s="5">
        <f>IFERROR(__xludf.DUMMYFUNCTION("""COMPUTED_VALUE"""),43957.25034722222)</f>
        <v>43957.25035</v>
      </c>
      <c r="D165" s="4" t="str">
        <f>IFERROR(__xludf.DUMMYFUNCTION("""COMPUTED_VALUE"""),"RESOLVED")</f>
        <v>RESOLVED</v>
      </c>
      <c r="E165" s="6">
        <f>IFERROR(__xludf.DUMMYFUNCTION("""COMPUTED_VALUE"""),44384.82777777778)</f>
        <v>44384.82778</v>
      </c>
      <c r="F165" s="4" t="str">
        <f>IFERROR(__xludf.DUMMYFUNCTION("""COMPUTED_VALUE""")," ---")</f>
        <v> ---</v>
      </c>
      <c r="G165" s="4" t="str">
        <f>IFERROR(__xludf.DUMMYFUNCTION("""COMPUTED_VALUE"""),"SUSE Linux Enterprise Server 15 SP2")</f>
        <v>SUSE Linux Enterprise Server 15 SP2</v>
      </c>
      <c r="H165" s="7" t="str">
        <f t="shared" si="2"/>
        <v>NO</v>
      </c>
      <c r="I165" s="7" t="str">
        <f t="shared" si="3"/>
        <v>NO</v>
      </c>
    </row>
    <row r="166">
      <c r="A166" s="4">
        <f>IFERROR(__xludf.DUMMYFUNCTION("""COMPUTED_VALUE"""),1171816.0)</f>
        <v>1171816</v>
      </c>
      <c r="B166" s="4" t="str">
        <f>IFERROR(__xludf.DUMMYFUNCTION("""COMPUTED_VALUE"""),"P2 - High")</f>
        <v>P2 - High</v>
      </c>
      <c r="C166" s="5">
        <f>IFERROR(__xludf.DUMMYFUNCTION("""COMPUTED_VALUE"""),43969.31962962963)</f>
        <v>43969.31963</v>
      </c>
      <c r="D166" s="4" t="str">
        <f>IFERROR(__xludf.DUMMYFUNCTION("""COMPUTED_VALUE"""),"RESOLVED")</f>
        <v>RESOLVED</v>
      </c>
      <c r="E166" s="6">
        <f>IFERROR(__xludf.DUMMYFUNCTION("""COMPUTED_VALUE"""),43983.45269675926)</f>
        <v>43983.4527</v>
      </c>
      <c r="F166" s="4" t="str">
        <f>IFERROR(__xludf.DUMMYFUNCTION("""COMPUTED_VALUE""")," ---")</f>
        <v> ---</v>
      </c>
      <c r="G166" s="4" t="str">
        <f>IFERROR(__xludf.DUMMYFUNCTION("""COMPUTED_VALUE"""),"SUSE Linux Enterprise Server 15 SP2")</f>
        <v>SUSE Linux Enterprise Server 15 SP2</v>
      </c>
      <c r="H166" s="7" t="str">
        <f t="shared" si="2"/>
        <v>NO</v>
      </c>
      <c r="I166" s="7" t="str">
        <f t="shared" si="3"/>
        <v>NO</v>
      </c>
    </row>
    <row r="167">
      <c r="A167" s="4">
        <f>IFERROR(__xludf.DUMMYFUNCTION("""COMPUTED_VALUE"""),1173139.0)</f>
        <v>1173139</v>
      </c>
      <c r="B167" s="4" t="str">
        <f>IFERROR(__xludf.DUMMYFUNCTION("""COMPUTED_VALUE"""),"P2 - High")</f>
        <v>P2 - High</v>
      </c>
      <c r="C167" s="5">
        <f>IFERROR(__xludf.DUMMYFUNCTION("""COMPUTED_VALUE"""),44001.29961805556)</f>
        <v>44001.29962</v>
      </c>
      <c r="D167" s="4" t="str">
        <f>IFERROR(__xludf.DUMMYFUNCTION("""COMPUTED_VALUE"""),"RESOLVED")</f>
        <v>RESOLVED</v>
      </c>
      <c r="E167" s="6">
        <f>IFERROR(__xludf.DUMMYFUNCTION("""COMPUTED_VALUE"""),44384.83572916667)</f>
        <v>44384.83573</v>
      </c>
      <c r="F167" s="4" t="str">
        <f>IFERROR(__xludf.DUMMYFUNCTION("""COMPUTED_VALUE""")," ---")</f>
        <v> ---</v>
      </c>
      <c r="G167" s="4" t="str">
        <f>IFERROR(__xludf.DUMMYFUNCTION("""COMPUTED_VALUE"""),"SUSE Linux Enterprise Server 15 SP2")</f>
        <v>SUSE Linux Enterprise Server 15 SP2</v>
      </c>
      <c r="H167" s="7" t="str">
        <f t="shared" si="2"/>
        <v>NO</v>
      </c>
      <c r="I167" s="7" t="str">
        <f t="shared" si="3"/>
        <v>NO</v>
      </c>
    </row>
    <row r="168">
      <c r="A168" s="4">
        <f>IFERROR(__xludf.DUMMYFUNCTION("""COMPUTED_VALUE"""),1144700.0)</f>
        <v>1144700</v>
      </c>
      <c r="B168" s="4" t="str">
        <f>IFERROR(__xludf.DUMMYFUNCTION("""COMPUTED_VALUE"""),"P2 - High")</f>
        <v>P2 - High</v>
      </c>
      <c r="C168" s="5">
        <f>IFERROR(__xludf.DUMMYFUNCTION("""COMPUTED_VALUE"""),43684.58939814815)</f>
        <v>43684.5894</v>
      </c>
      <c r="D168" s="4" t="str">
        <f>IFERROR(__xludf.DUMMYFUNCTION("""COMPUTED_VALUE"""),"RESOLVED")</f>
        <v>RESOLVED</v>
      </c>
      <c r="E168" s="6">
        <f>IFERROR(__xludf.DUMMYFUNCTION("""COMPUTED_VALUE"""),44384.78686342593)</f>
        <v>44384.78686</v>
      </c>
      <c r="F168" s="4" t="str">
        <f>IFERROR(__xludf.DUMMYFUNCTION("""COMPUTED_VALUE""")," ---")</f>
        <v> ---</v>
      </c>
      <c r="G168" s="4" t="str">
        <f>IFERROR(__xludf.DUMMYFUNCTION("""COMPUTED_VALUE"""),"SUSE Linux Enterprise Server 15 SP2")</f>
        <v>SUSE Linux Enterprise Server 15 SP2</v>
      </c>
      <c r="H168" s="7" t="str">
        <f t="shared" si="2"/>
        <v>NO</v>
      </c>
      <c r="I168" s="7" t="str">
        <f t="shared" si="3"/>
        <v>NO</v>
      </c>
    </row>
    <row r="169">
      <c r="A169" s="4">
        <f>IFERROR(__xludf.DUMMYFUNCTION("""COMPUTED_VALUE"""),1159792.0)</f>
        <v>1159792</v>
      </c>
      <c r="B169" s="4" t="str">
        <f>IFERROR(__xludf.DUMMYFUNCTION("""COMPUTED_VALUE"""),"P2 - High")</f>
        <v>P2 - High</v>
      </c>
      <c r="C169" s="5">
        <f>IFERROR(__xludf.DUMMYFUNCTION("""COMPUTED_VALUE"""),43825.38521990741)</f>
        <v>43825.38522</v>
      </c>
      <c r="D169" s="4" t="str">
        <f>IFERROR(__xludf.DUMMYFUNCTION("""COMPUTED_VALUE"""),"RESOLVED")</f>
        <v>RESOLVED</v>
      </c>
      <c r="E169" s="6">
        <f>IFERROR(__xludf.DUMMYFUNCTION("""COMPUTED_VALUE"""),44165.455347222225)</f>
        <v>44165.45535</v>
      </c>
      <c r="F169" s="4" t="str">
        <f>IFERROR(__xludf.DUMMYFUNCTION("""COMPUTED_VALUE""")," ---")</f>
        <v> ---</v>
      </c>
      <c r="G169" s="4" t="str">
        <f>IFERROR(__xludf.DUMMYFUNCTION("""COMPUTED_VALUE"""),"SUSE Linux Enterprise Server 15 SP2")</f>
        <v>SUSE Linux Enterprise Server 15 SP2</v>
      </c>
      <c r="H169" s="7" t="str">
        <f t="shared" si="2"/>
        <v>YES</v>
      </c>
      <c r="I169" s="7" t="str">
        <f t="shared" si="3"/>
        <v>NO</v>
      </c>
    </row>
    <row r="170">
      <c r="A170" s="4">
        <f>IFERROR(__xludf.DUMMYFUNCTION("""COMPUTED_VALUE"""),1167042.0)</f>
        <v>1167042</v>
      </c>
      <c r="B170" s="4" t="str">
        <f>IFERROR(__xludf.DUMMYFUNCTION("""COMPUTED_VALUE"""),"P2 - High")</f>
        <v>P2 - High</v>
      </c>
      <c r="C170" s="5">
        <f>IFERROR(__xludf.DUMMYFUNCTION("""COMPUTED_VALUE"""),43909.25134259259)</f>
        <v>43909.25134</v>
      </c>
      <c r="D170" s="4" t="str">
        <f>IFERROR(__xludf.DUMMYFUNCTION("""COMPUTED_VALUE"""),"RESOLVED")</f>
        <v>RESOLVED</v>
      </c>
      <c r="E170" s="6">
        <f>IFERROR(__xludf.DUMMYFUNCTION("""COMPUTED_VALUE"""),43922.35649305556)</f>
        <v>43922.35649</v>
      </c>
      <c r="F170" s="4" t="str">
        <f>IFERROR(__xludf.DUMMYFUNCTION("""COMPUTED_VALUE""")," ---")</f>
        <v> ---</v>
      </c>
      <c r="G170" s="4" t="str">
        <f>IFERROR(__xludf.DUMMYFUNCTION("""COMPUTED_VALUE"""),"SUSE Linux Enterprise Server 15 SP2")</f>
        <v>SUSE Linux Enterprise Server 15 SP2</v>
      </c>
      <c r="H170" s="7" t="str">
        <f t="shared" si="2"/>
        <v>NO</v>
      </c>
      <c r="I170" s="7" t="str">
        <f t="shared" si="3"/>
        <v>NO</v>
      </c>
    </row>
    <row r="171">
      <c r="A171" s="4">
        <f>IFERROR(__xludf.DUMMYFUNCTION("""COMPUTED_VALUE"""),1170799.0)</f>
        <v>1170799</v>
      </c>
      <c r="B171" s="4" t="str">
        <f>IFERROR(__xludf.DUMMYFUNCTION("""COMPUTED_VALUE"""),"P2 - High")</f>
        <v>P2 - High</v>
      </c>
      <c r="C171" s="5">
        <f>IFERROR(__xludf.DUMMYFUNCTION("""COMPUTED_VALUE"""),43950.41465277778)</f>
        <v>43950.41465</v>
      </c>
      <c r="D171" s="4" t="str">
        <f>IFERROR(__xludf.DUMMYFUNCTION("""COMPUTED_VALUE"""),"RESOLVED")</f>
        <v>RESOLVED</v>
      </c>
      <c r="E171" s="6">
        <f>IFERROR(__xludf.DUMMYFUNCTION("""COMPUTED_VALUE"""),44384.82622685185)</f>
        <v>44384.82623</v>
      </c>
      <c r="F171" s="4" t="str">
        <f>IFERROR(__xludf.DUMMYFUNCTION("""COMPUTED_VALUE""")," ---")</f>
        <v> ---</v>
      </c>
      <c r="G171" s="4" t="str">
        <f>IFERROR(__xludf.DUMMYFUNCTION("""COMPUTED_VALUE"""),"SUSE Linux Enterprise Server 15 SP2")</f>
        <v>SUSE Linux Enterprise Server 15 SP2</v>
      </c>
      <c r="H171" s="7" t="str">
        <f t="shared" si="2"/>
        <v>NO</v>
      </c>
      <c r="I171" s="7" t="str">
        <f t="shared" si="3"/>
        <v>NO</v>
      </c>
    </row>
    <row r="172">
      <c r="A172" s="4">
        <f>IFERROR(__xludf.DUMMYFUNCTION("""COMPUTED_VALUE"""),1159523.0)</f>
        <v>1159523</v>
      </c>
      <c r="B172" s="4" t="str">
        <f>IFERROR(__xludf.DUMMYFUNCTION("""COMPUTED_VALUE"""),"P2 - High")</f>
        <v>P2 - High</v>
      </c>
      <c r="C172" s="5">
        <f>IFERROR(__xludf.DUMMYFUNCTION("""COMPUTED_VALUE"""),43818.24790509259)</f>
        <v>43818.24791</v>
      </c>
      <c r="D172" s="4" t="str">
        <f>IFERROR(__xludf.DUMMYFUNCTION("""COMPUTED_VALUE"""),"RESOLVED")</f>
        <v>RESOLVED</v>
      </c>
      <c r="E172" s="6">
        <f>IFERROR(__xludf.DUMMYFUNCTION("""COMPUTED_VALUE"""),44396.4565625)</f>
        <v>44396.45656</v>
      </c>
      <c r="F172" s="4" t="str">
        <f>IFERROR(__xludf.DUMMYFUNCTION("""COMPUTED_VALUE""")," ---")</f>
        <v> ---</v>
      </c>
      <c r="G172" s="4" t="str">
        <f>IFERROR(__xludf.DUMMYFUNCTION("""COMPUTED_VALUE"""),"SUSE Linux Enterprise Server 15 SP2")</f>
        <v>SUSE Linux Enterprise Server 15 SP2</v>
      </c>
      <c r="H172" s="7" t="str">
        <f t="shared" si="2"/>
        <v>NO</v>
      </c>
      <c r="I172" s="7" t="str">
        <f t="shared" si="3"/>
        <v>NO</v>
      </c>
    </row>
    <row r="173">
      <c r="A173" s="4">
        <f>IFERROR(__xludf.DUMMYFUNCTION("""COMPUTED_VALUE"""),1162935.0)</f>
        <v>1162935</v>
      </c>
      <c r="B173" s="4" t="str">
        <f>IFERROR(__xludf.DUMMYFUNCTION("""COMPUTED_VALUE"""),"P2 - High")</f>
        <v>P2 - High</v>
      </c>
      <c r="C173" s="5">
        <f>IFERROR(__xludf.DUMMYFUNCTION("""COMPUTED_VALUE"""),43867.39376157407)</f>
        <v>43867.39376</v>
      </c>
      <c r="D173" s="4" t="str">
        <f>IFERROR(__xludf.DUMMYFUNCTION("""COMPUTED_VALUE"""),"RESOLVED")</f>
        <v>RESOLVED</v>
      </c>
      <c r="E173" s="6">
        <f>IFERROR(__xludf.DUMMYFUNCTION("""COMPUTED_VALUE"""),43917.81685185185)</f>
        <v>43917.81685</v>
      </c>
      <c r="F173" s="4" t="str">
        <f>IFERROR(__xludf.DUMMYFUNCTION("""COMPUTED_VALUE""")," ---")</f>
        <v> ---</v>
      </c>
      <c r="G173" s="4" t="str">
        <f>IFERROR(__xludf.DUMMYFUNCTION("""COMPUTED_VALUE"""),"SUSE Linux Enterprise Server 15 SP2")</f>
        <v>SUSE Linux Enterprise Server 15 SP2</v>
      </c>
      <c r="H173" s="7" t="str">
        <f t="shared" si="2"/>
        <v>NO</v>
      </c>
      <c r="I173" s="7" t="str">
        <f t="shared" si="3"/>
        <v>NO</v>
      </c>
    </row>
    <row r="174">
      <c r="A174" s="4">
        <f>IFERROR(__xludf.DUMMYFUNCTION("""COMPUTED_VALUE"""),1161908.0)</f>
        <v>1161908</v>
      </c>
      <c r="B174" s="4" t="str">
        <f>IFERROR(__xludf.DUMMYFUNCTION("""COMPUTED_VALUE"""),"P2 - High")</f>
        <v>P2 - High</v>
      </c>
      <c r="C174" s="5">
        <f>IFERROR(__xludf.DUMMYFUNCTION("""COMPUTED_VALUE"""),43857.563738425924)</f>
        <v>43857.56374</v>
      </c>
      <c r="D174" s="4" t="str">
        <f>IFERROR(__xludf.DUMMYFUNCTION("""COMPUTED_VALUE"""),"RESOLVED")</f>
        <v>RESOLVED</v>
      </c>
      <c r="E174" s="6">
        <f>IFERROR(__xludf.DUMMYFUNCTION("""COMPUTED_VALUE"""),44021.467256944445)</f>
        <v>44021.46726</v>
      </c>
      <c r="F174" s="4" t="str">
        <f>IFERROR(__xludf.DUMMYFUNCTION("""COMPUTED_VALUE""")," ---")</f>
        <v> ---</v>
      </c>
      <c r="G174" s="4" t="str">
        <f>IFERROR(__xludf.DUMMYFUNCTION("""COMPUTED_VALUE"""),"SUSE Linux Enterprise Server 15 SP2")</f>
        <v>SUSE Linux Enterprise Server 15 SP2</v>
      </c>
      <c r="H174" s="7" t="str">
        <f t="shared" si="2"/>
        <v>NO</v>
      </c>
      <c r="I174" s="7" t="str">
        <f t="shared" si="3"/>
        <v>YES</v>
      </c>
    </row>
    <row r="175">
      <c r="A175" s="4">
        <f>IFERROR(__xludf.DUMMYFUNCTION("""COMPUTED_VALUE"""),1160595.0)</f>
        <v>1160595</v>
      </c>
      <c r="B175" s="4" t="str">
        <f>IFERROR(__xludf.DUMMYFUNCTION("""COMPUTED_VALUE"""),"P2 - High")</f>
        <v>P2 - High</v>
      </c>
      <c r="C175" s="5">
        <f>IFERROR(__xludf.DUMMYFUNCTION("""COMPUTED_VALUE"""),43839.56358796296)</f>
        <v>43839.56359</v>
      </c>
      <c r="D175" s="4" t="str">
        <f>IFERROR(__xludf.DUMMYFUNCTION("""COMPUTED_VALUE"""),"RESOLVED")</f>
        <v>RESOLVED</v>
      </c>
      <c r="E175" s="6">
        <f>IFERROR(__xludf.DUMMYFUNCTION("""COMPUTED_VALUE"""),44365.26175925926)</f>
        <v>44365.26176</v>
      </c>
      <c r="F175" s="4" t="str">
        <f>IFERROR(__xludf.DUMMYFUNCTION("""COMPUTED_VALUE""")," ---")</f>
        <v> ---</v>
      </c>
      <c r="G175" s="4" t="str">
        <f>IFERROR(__xludf.DUMMYFUNCTION("""COMPUTED_VALUE"""),"SUSE Linux Enterprise Server for SAP Applications 15 SP2")</f>
        <v>SUSE Linux Enterprise Server for SAP Applications 15 SP2</v>
      </c>
      <c r="H175" s="7" t="str">
        <f t="shared" si="2"/>
        <v>NO</v>
      </c>
      <c r="I175" s="7" t="str">
        <f t="shared" si="3"/>
        <v>NO</v>
      </c>
    </row>
    <row r="176">
      <c r="A176" s="4">
        <f>IFERROR(__xludf.DUMMYFUNCTION("""COMPUTED_VALUE"""),1153274.0)</f>
        <v>1153274</v>
      </c>
      <c r="B176" s="4" t="str">
        <f>IFERROR(__xludf.DUMMYFUNCTION("""COMPUTED_VALUE"""),"P2 - High")</f>
        <v>P2 - High</v>
      </c>
      <c r="C176" s="5">
        <f>IFERROR(__xludf.DUMMYFUNCTION("""COMPUTED_VALUE"""),43746.13805555556)</f>
        <v>43746.13806</v>
      </c>
      <c r="D176" s="4" t="str">
        <f>IFERROR(__xludf.DUMMYFUNCTION("""COMPUTED_VALUE"""),"RESOLVED")</f>
        <v>RESOLVED</v>
      </c>
      <c r="E176" s="6">
        <f>IFERROR(__xludf.DUMMYFUNCTION("""COMPUTED_VALUE"""),44736.68140046296)</f>
        <v>44736.6814</v>
      </c>
      <c r="F176" s="4" t="str">
        <f>IFERROR(__xludf.DUMMYFUNCTION("""COMPUTED_VALUE""")," ---")</f>
        <v> ---</v>
      </c>
      <c r="G176" s="4" t="str">
        <f>IFERROR(__xludf.DUMMYFUNCTION("""COMPUTED_VALUE"""),"SUSE Linux Enterprise Server 15 SP2")</f>
        <v>SUSE Linux Enterprise Server 15 SP2</v>
      </c>
      <c r="H176" s="7" t="str">
        <f t="shared" si="2"/>
        <v>NO</v>
      </c>
      <c r="I176" s="7" t="str">
        <f t="shared" si="3"/>
        <v>NO</v>
      </c>
    </row>
    <row r="177">
      <c r="A177" s="4">
        <f>IFERROR(__xludf.DUMMYFUNCTION("""COMPUTED_VALUE"""),1153275.0)</f>
        <v>1153275</v>
      </c>
      <c r="B177" s="4" t="str">
        <f>IFERROR(__xludf.DUMMYFUNCTION("""COMPUTED_VALUE"""),"P2 - High")</f>
        <v>P2 - High</v>
      </c>
      <c r="C177" s="5">
        <f>IFERROR(__xludf.DUMMYFUNCTION("""COMPUTED_VALUE"""),43746.149351851855)</f>
        <v>43746.14935</v>
      </c>
      <c r="D177" s="4" t="str">
        <f>IFERROR(__xludf.DUMMYFUNCTION("""COMPUTED_VALUE"""),"RESOLVED")</f>
        <v>RESOLVED</v>
      </c>
      <c r="E177" s="6">
        <f>IFERROR(__xludf.DUMMYFUNCTION("""COMPUTED_VALUE"""),44688.67834490741)</f>
        <v>44688.67834</v>
      </c>
      <c r="F177" s="4" t="str">
        <f>IFERROR(__xludf.DUMMYFUNCTION("""COMPUTED_VALUE""")," ---")</f>
        <v> ---</v>
      </c>
      <c r="G177" s="4" t="str">
        <f>IFERROR(__xludf.DUMMYFUNCTION("""COMPUTED_VALUE"""),"SUSE Linux Enterprise Server 15 SP2")</f>
        <v>SUSE Linux Enterprise Server 15 SP2</v>
      </c>
      <c r="H177" s="7" t="str">
        <f t="shared" si="2"/>
        <v>NO</v>
      </c>
      <c r="I177" s="7" t="str">
        <f t="shared" si="3"/>
        <v>NO</v>
      </c>
    </row>
    <row r="178">
      <c r="A178" s="4">
        <f>IFERROR(__xludf.DUMMYFUNCTION("""COMPUTED_VALUE"""),1157177.0)</f>
        <v>1157177</v>
      </c>
      <c r="B178" s="4" t="str">
        <f>IFERROR(__xludf.DUMMYFUNCTION("""COMPUTED_VALUE"""),"P2 - High")</f>
        <v>P2 - High</v>
      </c>
      <c r="C178" s="5">
        <f>IFERROR(__xludf.DUMMYFUNCTION("""COMPUTED_VALUE"""),43788.54278935185)</f>
        <v>43788.54279</v>
      </c>
      <c r="D178" s="4" t="str">
        <f>IFERROR(__xludf.DUMMYFUNCTION("""COMPUTED_VALUE"""),"RESOLVED")</f>
        <v>RESOLVED</v>
      </c>
      <c r="E178" s="6">
        <f>IFERROR(__xludf.DUMMYFUNCTION("""COMPUTED_VALUE"""),44531.441770833335)</f>
        <v>44531.44177</v>
      </c>
      <c r="F178" s="4" t="str">
        <f>IFERROR(__xludf.DUMMYFUNCTION("""COMPUTED_VALUE""")," ---")</f>
        <v> ---</v>
      </c>
      <c r="G178" s="4" t="str">
        <f>IFERROR(__xludf.DUMMYFUNCTION("""COMPUTED_VALUE"""),"SUSE Linux Enterprise Server 15 SP2")</f>
        <v>SUSE Linux Enterprise Server 15 SP2</v>
      </c>
      <c r="H178" s="7" t="str">
        <f t="shared" si="2"/>
        <v>NO</v>
      </c>
      <c r="I178" s="7" t="str">
        <f t="shared" si="3"/>
        <v>NO</v>
      </c>
    </row>
    <row r="179">
      <c r="A179" s="4">
        <f>IFERROR(__xludf.DUMMYFUNCTION("""COMPUTED_VALUE"""),1157918.0)</f>
        <v>1157918</v>
      </c>
      <c r="B179" s="4" t="str">
        <f>IFERROR(__xludf.DUMMYFUNCTION("""COMPUTED_VALUE"""),"P2 - High")</f>
        <v>P2 - High</v>
      </c>
      <c r="C179" s="5">
        <f>IFERROR(__xludf.DUMMYFUNCTION("""COMPUTED_VALUE"""),43796.785787037035)</f>
        <v>43796.78579</v>
      </c>
      <c r="D179" s="4" t="str">
        <f>IFERROR(__xludf.DUMMYFUNCTION("""COMPUTED_VALUE"""),"RESOLVED")</f>
        <v>RESOLVED</v>
      </c>
      <c r="E179" s="6">
        <f>IFERROR(__xludf.DUMMYFUNCTION("""COMPUTED_VALUE"""),43873.05337962963)</f>
        <v>43873.05338</v>
      </c>
      <c r="F179" s="4" t="str">
        <f>IFERROR(__xludf.DUMMYFUNCTION("""COMPUTED_VALUE""")," ---")</f>
        <v> ---</v>
      </c>
      <c r="G179" s="4" t="str">
        <f>IFERROR(__xludf.DUMMYFUNCTION("""COMPUTED_VALUE"""),"SUSE Linux Enterprise Server 15 SP2")</f>
        <v>SUSE Linux Enterprise Server 15 SP2</v>
      </c>
      <c r="H179" s="7" t="str">
        <f t="shared" si="2"/>
        <v>NO</v>
      </c>
      <c r="I179" s="7" t="str">
        <f t="shared" si="3"/>
        <v>NO</v>
      </c>
    </row>
    <row r="180">
      <c r="A180" s="4">
        <f>IFERROR(__xludf.DUMMYFUNCTION("""COMPUTED_VALUE"""),1160632.0)</f>
        <v>1160632</v>
      </c>
      <c r="B180" s="4" t="str">
        <f>IFERROR(__xludf.DUMMYFUNCTION("""COMPUTED_VALUE"""),"P2 - High")</f>
        <v>P2 - High</v>
      </c>
      <c r="C180" s="5">
        <f>IFERROR(__xludf.DUMMYFUNCTION("""COMPUTED_VALUE"""),43839.92153935185)</f>
        <v>43839.92154</v>
      </c>
      <c r="D180" s="4" t="str">
        <f>IFERROR(__xludf.DUMMYFUNCTION("""COMPUTED_VALUE"""),"RESOLVED")</f>
        <v>RESOLVED</v>
      </c>
      <c r="E180" s="6">
        <f>IFERROR(__xludf.DUMMYFUNCTION("""COMPUTED_VALUE"""),44384.80068287037)</f>
        <v>44384.80068</v>
      </c>
      <c r="F180" s="4" t="str">
        <f>IFERROR(__xludf.DUMMYFUNCTION("""COMPUTED_VALUE""")," ---")</f>
        <v> ---</v>
      </c>
      <c r="G180" s="4" t="str">
        <f>IFERROR(__xludf.DUMMYFUNCTION("""COMPUTED_VALUE"""),"SUSE Linux Enterprise Server 15 SP2")</f>
        <v>SUSE Linux Enterprise Server 15 SP2</v>
      </c>
      <c r="H180" s="7" t="str">
        <f t="shared" si="2"/>
        <v>NO</v>
      </c>
      <c r="I180" s="7" t="str">
        <f t="shared" si="3"/>
        <v>NO</v>
      </c>
    </row>
    <row r="181">
      <c r="A181" s="4">
        <f>IFERROR(__xludf.DUMMYFUNCTION("""COMPUTED_VALUE"""),1160634.0)</f>
        <v>1160634</v>
      </c>
      <c r="B181" s="4" t="str">
        <f>IFERROR(__xludf.DUMMYFUNCTION("""COMPUTED_VALUE"""),"P2 - High")</f>
        <v>P2 - High</v>
      </c>
      <c r="C181" s="5">
        <f>IFERROR(__xludf.DUMMYFUNCTION("""COMPUTED_VALUE"""),43839.929930555554)</f>
        <v>43839.92993</v>
      </c>
      <c r="D181" s="4" t="str">
        <f>IFERROR(__xludf.DUMMYFUNCTION("""COMPUTED_VALUE"""),"RESOLVED")</f>
        <v>RESOLVED</v>
      </c>
      <c r="E181" s="6">
        <f>IFERROR(__xludf.DUMMYFUNCTION("""COMPUTED_VALUE"""),44613.72372685185)</f>
        <v>44613.72373</v>
      </c>
      <c r="F181" s="4" t="str">
        <f>IFERROR(__xludf.DUMMYFUNCTION("""COMPUTED_VALUE""")," ---")</f>
        <v> ---</v>
      </c>
      <c r="G181" s="4" t="str">
        <f>IFERROR(__xludf.DUMMYFUNCTION("""COMPUTED_VALUE"""),"SUSE Linux Enterprise Server 15 SP2")</f>
        <v>SUSE Linux Enterprise Server 15 SP2</v>
      </c>
      <c r="H181" s="7" t="str">
        <f t="shared" si="2"/>
        <v>NO</v>
      </c>
      <c r="I181" s="7" t="str">
        <f t="shared" si="3"/>
        <v>NO</v>
      </c>
    </row>
    <row r="182">
      <c r="A182" s="4">
        <f>IFERROR(__xludf.DUMMYFUNCTION("""COMPUTED_VALUE"""),1163335.0)</f>
        <v>1163335</v>
      </c>
      <c r="B182" s="4" t="str">
        <f>IFERROR(__xludf.DUMMYFUNCTION("""COMPUTED_VALUE"""),"P2 - High")</f>
        <v>P2 - High</v>
      </c>
      <c r="C182" s="5">
        <f>IFERROR(__xludf.DUMMYFUNCTION("""COMPUTED_VALUE"""),43872.36195601852)</f>
        <v>43872.36196</v>
      </c>
      <c r="D182" s="4" t="str">
        <f>IFERROR(__xludf.DUMMYFUNCTION("""COMPUTED_VALUE"""),"RESOLVED")</f>
        <v>RESOLVED</v>
      </c>
      <c r="E182" s="6">
        <f>IFERROR(__xludf.DUMMYFUNCTION("""COMPUTED_VALUE"""),44384.80375)</f>
        <v>44384.80375</v>
      </c>
      <c r="F182" s="4" t="str">
        <f>IFERROR(__xludf.DUMMYFUNCTION("""COMPUTED_VALUE""")," ---")</f>
        <v> ---</v>
      </c>
      <c r="G182" s="4" t="str">
        <f>IFERROR(__xludf.DUMMYFUNCTION("""COMPUTED_VALUE"""),"SUSE Linux Enterprise Server 15 SP2")</f>
        <v>SUSE Linux Enterprise Server 15 SP2</v>
      </c>
      <c r="H182" s="7" t="str">
        <f t="shared" si="2"/>
        <v>NO</v>
      </c>
      <c r="I182" s="7" t="str">
        <f t="shared" si="3"/>
        <v>NO</v>
      </c>
    </row>
    <row r="183">
      <c r="A183" s="4">
        <f>IFERROR(__xludf.DUMMYFUNCTION("""COMPUTED_VALUE"""),1163419.0)</f>
        <v>1163419</v>
      </c>
      <c r="B183" s="4" t="str">
        <f>IFERROR(__xludf.DUMMYFUNCTION("""COMPUTED_VALUE"""),"P2 - High")</f>
        <v>P2 - High</v>
      </c>
      <c r="C183" s="5">
        <f>IFERROR(__xludf.DUMMYFUNCTION("""COMPUTED_VALUE"""),43873.05337962963)</f>
        <v>43873.05338</v>
      </c>
      <c r="D183" s="4" t="str">
        <f>IFERROR(__xludf.DUMMYFUNCTION("""COMPUTED_VALUE"""),"RESOLVED")</f>
        <v>RESOLVED</v>
      </c>
      <c r="E183" s="6">
        <f>IFERROR(__xludf.DUMMYFUNCTION("""COMPUTED_VALUE"""),44384.80390046296)</f>
        <v>44384.8039</v>
      </c>
      <c r="F183" s="4" t="str">
        <f>IFERROR(__xludf.DUMMYFUNCTION("""COMPUTED_VALUE""")," ---")</f>
        <v> ---</v>
      </c>
      <c r="G183" s="4" t="str">
        <f>IFERROR(__xludf.DUMMYFUNCTION("""COMPUTED_VALUE"""),"SUSE Linux Enterprise Server 15 SP2")</f>
        <v>SUSE Linux Enterprise Server 15 SP2</v>
      </c>
      <c r="H183" s="7" t="str">
        <f t="shared" si="2"/>
        <v>NO</v>
      </c>
      <c r="I183" s="7" t="str">
        <f t="shared" si="3"/>
        <v>NO</v>
      </c>
    </row>
    <row r="184">
      <c r="A184" s="4">
        <f>IFERROR(__xludf.DUMMYFUNCTION("""COMPUTED_VALUE"""),1168825.0)</f>
        <v>1168825</v>
      </c>
      <c r="B184" s="4" t="str">
        <f>IFERROR(__xludf.DUMMYFUNCTION("""COMPUTED_VALUE"""),"P2 - High")</f>
        <v>P2 - High</v>
      </c>
      <c r="C184" s="5">
        <f>IFERROR(__xludf.DUMMYFUNCTION("""COMPUTED_VALUE"""),43928.34326388889)</f>
        <v>43928.34326</v>
      </c>
      <c r="D184" s="4" t="str">
        <f>IFERROR(__xludf.DUMMYFUNCTION("""COMPUTED_VALUE"""),"RESOLVED")</f>
        <v>RESOLVED</v>
      </c>
      <c r="E184" s="6">
        <f>IFERROR(__xludf.DUMMYFUNCTION("""COMPUTED_VALUE"""),43964.708865740744)</f>
        <v>43964.70887</v>
      </c>
      <c r="F184" s="4" t="str">
        <f>IFERROR(__xludf.DUMMYFUNCTION("""COMPUTED_VALUE""")," ---")</f>
        <v> ---</v>
      </c>
      <c r="G184" s="4" t="str">
        <f>IFERROR(__xludf.DUMMYFUNCTION("""COMPUTED_VALUE"""),"SUSE Linux Enterprise Server 15 SP2")</f>
        <v>SUSE Linux Enterprise Server 15 SP2</v>
      </c>
      <c r="H184" s="7" t="str">
        <f t="shared" si="2"/>
        <v>NO</v>
      </c>
      <c r="I184" s="7" t="str">
        <f t="shared" si="3"/>
        <v>NO</v>
      </c>
    </row>
    <row r="185">
      <c r="A185" s="4">
        <f>IFERROR(__xludf.DUMMYFUNCTION("""COMPUTED_VALUE"""),1171150.0)</f>
        <v>1171150</v>
      </c>
      <c r="B185" s="4" t="str">
        <f>IFERROR(__xludf.DUMMYFUNCTION("""COMPUTED_VALUE"""),"P2 - High")</f>
        <v>P2 - High</v>
      </c>
      <c r="C185" s="5">
        <f>IFERROR(__xludf.DUMMYFUNCTION("""COMPUTED_VALUE"""),43956.34585648148)</f>
        <v>43956.34586</v>
      </c>
      <c r="D185" s="4" t="str">
        <f>IFERROR(__xludf.DUMMYFUNCTION("""COMPUTED_VALUE"""),"RESOLVED")</f>
        <v>RESOLVED</v>
      </c>
      <c r="E185" s="6">
        <f>IFERROR(__xludf.DUMMYFUNCTION("""COMPUTED_VALUE"""),44384.8275462963)</f>
        <v>44384.82755</v>
      </c>
      <c r="F185" s="4" t="str">
        <f>IFERROR(__xludf.DUMMYFUNCTION("""COMPUTED_VALUE""")," ---")</f>
        <v> ---</v>
      </c>
      <c r="G185" s="4" t="str">
        <f>IFERROR(__xludf.DUMMYFUNCTION("""COMPUTED_VALUE"""),"SUSE Linux Enterprise Server 15 SP2")</f>
        <v>SUSE Linux Enterprise Server 15 SP2</v>
      </c>
      <c r="H185" s="7" t="str">
        <f t="shared" si="2"/>
        <v>NO</v>
      </c>
      <c r="I185" s="7" t="str">
        <f t="shared" si="3"/>
        <v>NO</v>
      </c>
    </row>
    <row r="186">
      <c r="A186" s="4">
        <f>IFERROR(__xludf.DUMMYFUNCTION("""COMPUTED_VALUE"""),1165102.0)</f>
        <v>1165102</v>
      </c>
      <c r="B186" s="4" t="str">
        <f>IFERROR(__xludf.DUMMYFUNCTION("""COMPUTED_VALUE"""),"P2 - High")</f>
        <v>P2 - High</v>
      </c>
      <c r="C186" s="5">
        <f>IFERROR(__xludf.DUMMYFUNCTION("""COMPUTED_VALUE"""),43888.328564814816)</f>
        <v>43888.32856</v>
      </c>
      <c r="D186" s="4" t="str">
        <f>IFERROR(__xludf.DUMMYFUNCTION("""COMPUTED_VALUE"""),"RESOLVED")</f>
        <v>RESOLVED</v>
      </c>
      <c r="E186" s="6">
        <f>IFERROR(__xludf.DUMMYFUNCTION("""COMPUTED_VALUE"""),44384.81693287037)</f>
        <v>44384.81693</v>
      </c>
      <c r="F186" s="4" t="str">
        <f>IFERROR(__xludf.DUMMYFUNCTION("""COMPUTED_VALUE""")," ---")</f>
        <v> ---</v>
      </c>
      <c r="G186" s="4" t="str">
        <f>IFERROR(__xludf.DUMMYFUNCTION("""COMPUTED_VALUE"""),"SUSE Linux Enterprise Server 15 SP2")</f>
        <v>SUSE Linux Enterprise Server 15 SP2</v>
      </c>
      <c r="H186" s="7" t="str">
        <f t="shared" si="2"/>
        <v>NO</v>
      </c>
      <c r="I186" s="7" t="str">
        <f t="shared" si="3"/>
        <v>NO</v>
      </c>
    </row>
    <row r="187">
      <c r="A187" s="4">
        <f>IFERROR(__xludf.DUMMYFUNCTION("""COMPUTED_VALUE"""),1167547.0)</f>
        <v>1167547</v>
      </c>
      <c r="B187" s="4" t="str">
        <f>IFERROR(__xludf.DUMMYFUNCTION("""COMPUTED_VALUE"""),"P2 - High")</f>
        <v>P2 - High</v>
      </c>
      <c r="C187" s="5">
        <f>IFERROR(__xludf.DUMMYFUNCTION("""COMPUTED_VALUE"""),43914.42244212963)</f>
        <v>43914.42244</v>
      </c>
      <c r="D187" s="4" t="str">
        <f>IFERROR(__xludf.DUMMYFUNCTION("""COMPUTED_VALUE"""),"RESOLVED")</f>
        <v>RESOLVED</v>
      </c>
      <c r="E187" s="6">
        <f>IFERROR(__xludf.DUMMYFUNCTION("""COMPUTED_VALUE"""),43916.464467592596)</f>
        <v>43916.46447</v>
      </c>
      <c r="F187" s="4" t="str">
        <f>IFERROR(__xludf.DUMMYFUNCTION("""COMPUTED_VALUE""")," ---")</f>
        <v> ---</v>
      </c>
      <c r="G187" s="4" t="str">
        <f>IFERROR(__xludf.DUMMYFUNCTION("""COMPUTED_VALUE"""),"SUSE Linux Enterprise Server 15 SP2")</f>
        <v>SUSE Linux Enterprise Server 15 SP2</v>
      </c>
      <c r="H187" s="7" t="str">
        <f t="shared" si="2"/>
        <v>NO</v>
      </c>
      <c r="I187" s="7" t="str">
        <f t="shared" si="3"/>
        <v>NO</v>
      </c>
    </row>
    <row r="188">
      <c r="A188" s="4">
        <f>IFERROR(__xludf.DUMMYFUNCTION("""COMPUTED_VALUE"""),1159028.0)</f>
        <v>1159028</v>
      </c>
      <c r="B188" s="4" t="str">
        <f>IFERROR(__xludf.DUMMYFUNCTION("""COMPUTED_VALUE"""),"P2 - High")</f>
        <v>P2 - High</v>
      </c>
      <c r="C188" s="5">
        <f>IFERROR(__xludf.DUMMYFUNCTION("""COMPUTED_VALUE"""),43810.54699074074)</f>
        <v>43810.54699</v>
      </c>
      <c r="D188" s="4" t="str">
        <f>IFERROR(__xludf.DUMMYFUNCTION("""COMPUTED_VALUE"""),"RESOLVED")</f>
        <v>RESOLVED</v>
      </c>
      <c r="E188" s="6">
        <f>IFERROR(__xludf.DUMMYFUNCTION("""COMPUTED_VALUE"""),44624.914606481485)</f>
        <v>44624.91461</v>
      </c>
      <c r="F188" s="4" t="str">
        <f>IFERROR(__xludf.DUMMYFUNCTION("""COMPUTED_VALUE""")," ---")</f>
        <v> ---</v>
      </c>
      <c r="G188" s="4" t="str">
        <f>IFERROR(__xludf.DUMMYFUNCTION("""COMPUTED_VALUE"""),"SUSE Linux Enterprise Server 15 SP2")</f>
        <v>SUSE Linux Enterprise Server 15 SP2</v>
      </c>
      <c r="H188" s="7" t="str">
        <f t="shared" si="2"/>
        <v>NO</v>
      </c>
      <c r="I188" s="7" t="str">
        <f t="shared" si="3"/>
        <v>NO</v>
      </c>
    </row>
    <row r="189">
      <c r="A189" s="4">
        <f>IFERROR(__xludf.DUMMYFUNCTION("""COMPUTED_VALUE"""),1152973.0)</f>
        <v>1152973</v>
      </c>
      <c r="B189" s="4" t="str">
        <f>IFERROR(__xludf.DUMMYFUNCTION("""COMPUTED_VALUE"""),"P2 - High")</f>
        <v>P2 - High</v>
      </c>
      <c r="C189" s="5">
        <f>IFERROR(__xludf.DUMMYFUNCTION("""COMPUTED_VALUE"""),43742.06439814815)</f>
        <v>43742.0644</v>
      </c>
      <c r="D189" s="4" t="str">
        <f>IFERROR(__xludf.DUMMYFUNCTION("""COMPUTED_VALUE"""),"RESOLVED")</f>
        <v>RESOLVED</v>
      </c>
      <c r="E189" s="6">
        <f>IFERROR(__xludf.DUMMYFUNCTION("""COMPUTED_VALUE"""),44384.78836805555)</f>
        <v>44384.78837</v>
      </c>
      <c r="F189" s="4" t="str">
        <f>IFERROR(__xludf.DUMMYFUNCTION("""COMPUTED_VALUE""")," ---")</f>
        <v> ---</v>
      </c>
      <c r="G189" s="4" t="str">
        <f>IFERROR(__xludf.DUMMYFUNCTION("""COMPUTED_VALUE"""),"SUSE Linux Enterprise Server 15 SP2")</f>
        <v>SUSE Linux Enterprise Server 15 SP2</v>
      </c>
      <c r="H189" s="7" t="str">
        <f t="shared" si="2"/>
        <v>NO</v>
      </c>
      <c r="I189" s="7" t="str">
        <f t="shared" si="3"/>
        <v>NO</v>
      </c>
    </row>
    <row r="190">
      <c r="A190" s="4">
        <f>IFERROR(__xludf.DUMMYFUNCTION("""COMPUTED_VALUE"""),1158364.0)</f>
        <v>1158364</v>
      </c>
      <c r="B190" s="4" t="str">
        <f>IFERROR(__xludf.DUMMYFUNCTION("""COMPUTED_VALUE"""),"P2 - High")</f>
        <v>P2 - High</v>
      </c>
      <c r="C190" s="5">
        <f>IFERROR(__xludf.DUMMYFUNCTION("""COMPUTED_VALUE"""),43803.37017361111)</f>
        <v>43803.37017</v>
      </c>
      <c r="D190" s="4" t="str">
        <f>IFERROR(__xludf.DUMMYFUNCTION("""COMPUTED_VALUE"""),"RESOLVED")</f>
        <v>RESOLVED</v>
      </c>
      <c r="E190" s="6">
        <f>IFERROR(__xludf.DUMMYFUNCTION("""COMPUTED_VALUE"""),43978.81145833333)</f>
        <v>43978.81146</v>
      </c>
      <c r="F190" s="4" t="str">
        <f>IFERROR(__xludf.DUMMYFUNCTION("""COMPUTED_VALUE""")," ---")</f>
        <v> ---</v>
      </c>
      <c r="G190" s="4" t="str">
        <f>IFERROR(__xludf.DUMMYFUNCTION("""COMPUTED_VALUE"""),"SUSE Linux Enterprise Server 15 SP2")</f>
        <v>SUSE Linux Enterprise Server 15 SP2</v>
      </c>
      <c r="H190" s="7" t="str">
        <f t="shared" si="2"/>
        <v>NO</v>
      </c>
      <c r="I190" s="7" t="str">
        <f t="shared" si="3"/>
        <v>NO</v>
      </c>
    </row>
    <row r="191">
      <c r="A191" s="4">
        <f>IFERROR(__xludf.DUMMYFUNCTION("""COMPUTED_VALUE"""),1158622.0)</f>
        <v>1158622</v>
      </c>
      <c r="B191" s="4" t="str">
        <f>IFERROR(__xludf.DUMMYFUNCTION("""COMPUTED_VALUE"""),"P2 - High")</f>
        <v>P2 - High</v>
      </c>
      <c r="C191" s="5">
        <f>IFERROR(__xludf.DUMMYFUNCTION("""COMPUTED_VALUE"""),43805.34600694444)</f>
        <v>43805.34601</v>
      </c>
      <c r="D191" s="4" t="str">
        <f>IFERROR(__xludf.DUMMYFUNCTION("""COMPUTED_VALUE"""),"RESOLVED")</f>
        <v>RESOLVED</v>
      </c>
      <c r="E191" s="6">
        <f>IFERROR(__xludf.DUMMYFUNCTION("""COMPUTED_VALUE"""),43942.3565625)</f>
        <v>43942.35656</v>
      </c>
      <c r="F191" s="4" t="str">
        <f>IFERROR(__xludf.DUMMYFUNCTION("""COMPUTED_VALUE""")," ---")</f>
        <v> ---</v>
      </c>
      <c r="G191" s="4" t="str">
        <f>IFERROR(__xludf.DUMMYFUNCTION("""COMPUTED_VALUE"""),"SUSE Linux Enterprise Server 15 SP2")</f>
        <v>SUSE Linux Enterprise Server 15 SP2</v>
      </c>
      <c r="H191" s="7" t="str">
        <f t="shared" si="2"/>
        <v>NO</v>
      </c>
      <c r="I191" s="7" t="str">
        <f t="shared" si="3"/>
        <v>NO</v>
      </c>
    </row>
    <row r="192">
      <c r="A192" s="4">
        <f>IFERROR(__xludf.DUMMYFUNCTION("""COMPUTED_VALUE"""),1158764.0)</f>
        <v>1158764</v>
      </c>
      <c r="B192" s="4" t="str">
        <f>IFERROR(__xludf.DUMMYFUNCTION("""COMPUTED_VALUE"""),"P2 - High")</f>
        <v>P2 - High</v>
      </c>
      <c r="C192" s="5">
        <f>IFERROR(__xludf.DUMMYFUNCTION("""COMPUTED_VALUE"""),43808.40484953704)</f>
        <v>43808.40485</v>
      </c>
      <c r="D192" s="4" t="str">
        <f>IFERROR(__xludf.DUMMYFUNCTION("""COMPUTED_VALUE"""),"RESOLVED")</f>
        <v>RESOLVED</v>
      </c>
      <c r="E192" s="6">
        <f>IFERROR(__xludf.DUMMYFUNCTION("""COMPUTED_VALUE"""),43942.38396990741)</f>
        <v>43942.38397</v>
      </c>
      <c r="F192" s="4" t="str">
        <f>IFERROR(__xludf.DUMMYFUNCTION("""COMPUTED_VALUE""")," ---")</f>
        <v> ---</v>
      </c>
      <c r="G192" s="4" t="str">
        <f>IFERROR(__xludf.DUMMYFUNCTION("""COMPUTED_VALUE"""),"SUSE Linux Enterprise Server 15 SP2")</f>
        <v>SUSE Linux Enterprise Server 15 SP2</v>
      </c>
      <c r="H192" s="7" t="str">
        <f t="shared" si="2"/>
        <v>NO</v>
      </c>
      <c r="I192" s="7" t="str">
        <f t="shared" si="3"/>
        <v>NO</v>
      </c>
    </row>
    <row r="193">
      <c r="A193" s="4">
        <f>IFERROR(__xludf.DUMMYFUNCTION("""COMPUTED_VALUE"""),1153338.0)</f>
        <v>1153338</v>
      </c>
      <c r="B193" s="4" t="str">
        <f>IFERROR(__xludf.DUMMYFUNCTION("""COMPUTED_VALUE"""),"P2 - High")</f>
        <v>P2 - High</v>
      </c>
      <c r="C193" s="5">
        <f>IFERROR(__xludf.DUMMYFUNCTION("""COMPUTED_VALUE"""),43746.62096064815)</f>
        <v>43746.62096</v>
      </c>
      <c r="D193" s="4" t="str">
        <f>IFERROR(__xludf.DUMMYFUNCTION("""COMPUTED_VALUE"""),"RESOLVED")</f>
        <v>RESOLVED</v>
      </c>
      <c r="E193" s="6">
        <f>IFERROR(__xludf.DUMMYFUNCTION("""COMPUTED_VALUE"""),43942.46474537037)</f>
        <v>43942.46475</v>
      </c>
      <c r="F193" s="4" t="str">
        <f>IFERROR(__xludf.DUMMYFUNCTION("""COMPUTED_VALUE""")," ---")</f>
        <v> ---</v>
      </c>
      <c r="G193" s="4" t="str">
        <f>IFERROR(__xludf.DUMMYFUNCTION("""COMPUTED_VALUE"""),"SUSE Linux Enterprise Server 15 SP2")</f>
        <v>SUSE Linux Enterprise Server 15 SP2</v>
      </c>
      <c r="H193" s="7" t="str">
        <f t="shared" si="2"/>
        <v>NO</v>
      </c>
      <c r="I193" s="7" t="str">
        <f t="shared" si="3"/>
        <v>NO</v>
      </c>
    </row>
    <row r="194">
      <c r="A194" s="4">
        <f>IFERROR(__xludf.DUMMYFUNCTION("""COMPUTED_VALUE"""),1159032.0)</f>
        <v>1159032</v>
      </c>
      <c r="B194" s="4" t="str">
        <f>IFERROR(__xludf.DUMMYFUNCTION("""COMPUTED_VALUE"""),"P2 - High")</f>
        <v>P2 - High</v>
      </c>
      <c r="C194" s="5">
        <f>IFERROR(__xludf.DUMMYFUNCTION("""COMPUTED_VALUE"""),43810.55976851852)</f>
        <v>43810.55977</v>
      </c>
      <c r="D194" s="4" t="str">
        <f>IFERROR(__xludf.DUMMYFUNCTION("""COMPUTED_VALUE"""),"RESOLVED")</f>
        <v>RESOLVED</v>
      </c>
      <c r="E194" s="6">
        <f>IFERROR(__xludf.DUMMYFUNCTION("""COMPUTED_VALUE"""),43893.583020833335)</f>
        <v>43893.58302</v>
      </c>
      <c r="F194" s="4" t="str">
        <f>IFERROR(__xludf.DUMMYFUNCTION("""COMPUTED_VALUE""")," ---")</f>
        <v> ---</v>
      </c>
      <c r="G194" s="4" t="str">
        <f>IFERROR(__xludf.DUMMYFUNCTION("""COMPUTED_VALUE"""),"SUSE Linux Enterprise Server 15 SP2")</f>
        <v>SUSE Linux Enterprise Server 15 SP2</v>
      </c>
      <c r="H194" s="7" t="str">
        <f t="shared" si="2"/>
        <v>NO</v>
      </c>
      <c r="I194" s="7" t="str">
        <f t="shared" si="3"/>
        <v>NO</v>
      </c>
    </row>
    <row r="195">
      <c r="A195" s="4">
        <f>IFERROR(__xludf.DUMMYFUNCTION("""COMPUTED_VALUE"""),1167765.0)</f>
        <v>1167765</v>
      </c>
      <c r="B195" s="4" t="str">
        <f>IFERROR(__xludf.DUMMYFUNCTION("""COMPUTED_VALUE"""),"P2 - High")</f>
        <v>P2 - High</v>
      </c>
      <c r="C195" s="5">
        <f>IFERROR(__xludf.DUMMYFUNCTION("""COMPUTED_VALUE"""),43916.45686342593)</f>
        <v>43916.45686</v>
      </c>
      <c r="D195" s="4" t="str">
        <f>IFERROR(__xludf.DUMMYFUNCTION("""COMPUTED_VALUE"""),"RESOLVED")</f>
        <v>RESOLVED</v>
      </c>
      <c r="E195" s="6">
        <f>IFERROR(__xludf.DUMMYFUNCTION("""COMPUTED_VALUE"""),44384.8227662037)</f>
        <v>44384.82277</v>
      </c>
      <c r="F195" s="4" t="str">
        <f>IFERROR(__xludf.DUMMYFUNCTION("""COMPUTED_VALUE""")," ---")</f>
        <v> ---</v>
      </c>
      <c r="G195" s="4" t="str">
        <f>IFERROR(__xludf.DUMMYFUNCTION("""COMPUTED_VALUE"""),"SUSE Linux Enterprise Server 15 SP2")</f>
        <v>SUSE Linux Enterprise Server 15 SP2</v>
      </c>
      <c r="H195" s="7" t="str">
        <f t="shared" si="2"/>
        <v>NO</v>
      </c>
      <c r="I195" s="7" t="str">
        <f t="shared" si="3"/>
        <v>NO</v>
      </c>
    </row>
    <row r="196">
      <c r="A196" s="4">
        <f>IFERROR(__xludf.DUMMYFUNCTION("""COMPUTED_VALUE"""),1172739.0)</f>
        <v>1172739</v>
      </c>
      <c r="B196" s="4" t="str">
        <f>IFERROR(__xludf.DUMMYFUNCTION("""COMPUTED_VALUE"""),"P2 - High")</f>
        <v>P2 - High</v>
      </c>
      <c r="C196" s="5">
        <f>IFERROR(__xludf.DUMMYFUNCTION("""COMPUTED_VALUE"""),43991.61032407408)</f>
        <v>43991.61032</v>
      </c>
      <c r="D196" s="4" t="str">
        <f>IFERROR(__xludf.DUMMYFUNCTION("""COMPUTED_VALUE"""),"RESOLVED")</f>
        <v>RESOLVED</v>
      </c>
      <c r="E196" s="6">
        <f>IFERROR(__xludf.DUMMYFUNCTION("""COMPUTED_VALUE"""),44384.834131944444)</f>
        <v>44384.83413</v>
      </c>
      <c r="F196" s="4" t="str">
        <f>IFERROR(__xludf.DUMMYFUNCTION("""COMPUTED_VALUE""")," ---")</f>
        <v> ---</v>
      </c>
      <c r="G196" s="4" t="str">
        <f>IFERROR(__xludf.DUMMYFUNCTION("""COMPUTED_VALUE"""),"SUSE Linux Enterprise Server 15 SP2")</f>
        <v>SUSE Linux Enterprise Server 15 SP2</v>
      </c>
      <c r="H196" s="7" t="str">
        <f t="shared" si="2"/>
        <v>NO</v>
      </c>
      <c r="I196" s="7" t="str">
        <f t="shared" si="3"/>
        <v>NO</v>
      </c>
    </row>
    <row r="197">
      <c r="A197" s="4">
        <f>IFERROR(__xludf.DUMMYFUNCTION("""COMPUTED_VALUE"""),1164717.0)</f>
        <v>1164717</v>
      </c>
      <c r="B197" s="4" t="str">
        <f>IFERROR(__xludf.DUMMYFUNCTION("""COMPUTED_VALUE"""),"P2 - High")</f>
        <v>P2 - High</v>
      </c>
      <c r="C197" s="5">
        <f>IFERROR(__xludf.DUMMYFUNCTION("""COMPUTED_VALUE"""),43885.551875)</f>
        <v>43885.55188</v>
      </c>
      <c r="D197" s="4" t="str">
        <f>IFERROR(__xludf.DUMMYFUNCTION("""COMPUTED_VALUE"""),"VERIFIED")</f>
        <v>VERIFIED</v>
      </c>
      <c r="E197" s="6">
        <f>IFERROR(__xludf.DUMMYFUNCTION("""COMPUTED_VALUE"""),44116.53916666667)</f>
        <v>44116.53917</v>
      </c>
      <c r="F197" s="4" t="str">
        <f>IFERROR(__xludf.DUMMYFUNCTION("""COMPUTED_VALUE""")," ---")</f>
        <v> ---</v>
      </c>
      <c r="G197" s="4" t="str">
        <f>IFERROR(__xludf.DUMMYFUNCTION("""COMPUTED_VALUE"""),"SUSE Linux Enterprise Server 15 SP2")</f>
        <v>SUSE Linux Enterprise Server 15 SP2</v>
      </c>
      <c r="H197" s="7" t="str">
        <f t="shared" si="2"/>
        <v>NO</v>
      </c>
      <c r="I197" s="7" t="str">
        <f t="shared" si="3"/>
        <v>NO</v>
      </c>
    </row>
    <row r="198">
      <c r="A198" s="4">
        <f>IFERROR(__xludf.DUMMYFUNCTION("""COMPUTED_VALUE"""),1158751.0)</f>
        <v>1158751</v>
      </c>
      <c r="B198" s="4" t="str">
        <f>IFERROR(__xludf.DUMMYFUNCTION("""COMPUTED_VALUE"""),"P2 - High")</f>
        <v>P2 - High</v>
      </c>
      <c r="C198" s="5">
        <f>IFERROR(__xludf.DUMMYFUNCTION("""COMPUTED_VALUE"""),43808.348657407405)</f>
        <v>43808.34866</v>
      </c>
      <c r="D198" s="4" t="str">
        <f>IFERROR(__xludf.DUMMYFUNCTION("""COMPUTED_VALUE"""),"VERIFIED")</f>
        <v>VERIFIED</v>
      </c>
      <c r="E198" s="6">
        <f>IFERROR(__xludf.DUMMYFUNCTION("""COMPUTED_VALUE"""),44384.79615740741)</f>
        <v>44384.79616</v>
      </c>
      <c r="F198" s="4" t="str">
        <f>IFERROR(__xludf.DUMMYFUNCTION("""COMPUTED_VALUE""")," ---")</f>
        <v> ---</v>
      </c>
      <c r="G198" s="4" t="str">
        <f>IFERROR(__xludf.DUMMYFUNCTION("""COMPUTED_VALUE"""),"SUSE Linux Enterprise Server 15 SP2")</f>
        <v>SUSE Linux Enterprise Server 15 SP2</v>
      </c>
      <c r="H198" s="7" t="str">
        <f t="shared" si="2"/>
        <v>NO</v>
      </c>
      <c r="I198" s="7" t="str">
        <f t="shared" si="3"/>
        <v>NO</v>
      </c>
    </row>
    <row r="199">
      <c r="A199" s="4">
        <f>IFERROR(__xludf.DUMMYFUNCTION("""COMPUTED_VALUE"""),1158753.0)</f>
        <v>1158753</v>
      </c>
      <c r="B199" s="4" t="str">
        <f>IFERROR(__xludf.DUMMYFUNCTION("""COMPUTED_VALUE"""),"P2 - High")</f>
        <v>P2 - High</v>
      </c>
      <c r="C199" s="5">
        <f>IFERROR(__xludf.DUMMYFUNCTION("""COMPUTED_VALUE"""),43808.36238425926)</f>
        <v>43808.36238</v>
      </c>
      <c r="D199" s="4" t="str">
        <f>IFERROR(__xludf.DUMMYFUNCTION("""COMPUTED_VALUE"""),"VERIFIED")</f>
        <v>VERIFIED</v>
      </c>
      <c r="E199" s="6">
        <f>IFERROR(__xludf.DUMMYFUNCTION("""COMPUTED_VALUE"""),44384.79622685185)</f>
        <v>44384.79623</v>
      </c>
      <c r="F199" s="4" t="str">
        <f>IFERROR(__xludf.DUMMYFUNCTION("""COMPUTED_VALUE""")," ---")</f>
        <v> ---</v>
      </c>
      <c r="G199" s="4" t="str">
        <f>IFERROR(__xludf.DUMMYFUNCTION("""COMPUTED_VALUE"""),"SUSE Linux Enterprise Server 15 SP2")</f>
        <v>SUSE Linux Enterprise Server 15 SP2</v>
      </c>
      <c r="H199" s="7" t="str">
        <f t="shared" si="2"/>
        <v>NO</v>
      </c>
      <c r="I199" s="7" t="str">
        <f t="shared" si="3"/>
        <v>NO</v>
      </c>
    </row>
    <row r="200">
      <c r="A200" s="4">
        <f>IFERROR(__xludf.DUMMYFUNCTION("""COMPUTED_VALUE"""),1158758.0)</f>
        <v>1158758</v>
      </c>
      <c r="B200" s="4" t="str">
        <f>IFERROR(__xludf.DUMMYFUNCTION("""COMPUTED_VALUE"""),"P2 - High")</f>
        <v>P2 - High</v>
      </c>
      <c r="C200" s="5">
        <f>IFERROR(__xludf.DUMMYFUNCTION("""COMPUTED_VALUE"""),43808.38737268518)</f>
        <v>43808.38737</v>
      </c>
      <c r="D200" s="4" t="str">
        <f>IFERROR(__xludf.DUMMYFUNCTION("""COMPUTED_VALUE"""),"VERIFIED")</f>
        <v>VERIFIED</v>
      </c>
      <c r="E200" s="6">
        <f>IFERROR(__xludf.DUMMYFUNCTION("""COMPUTED_VALUE"""),44447.77547453704)</f>
        <v>44447.77547</v>
      </c>
      <c r="F200" s="4" t="str">
        <f>IFERROR(__xludf.DUMMYFUNCTION("""COMPUTED_VALUE""")," ---")</f>
        <v> ---</v>
      </c>
      <c r="G200" s="4" t="str">
        <f>IFERROR(__xludf.DUMMYFUNCTION("""COMPUTED_VALUE"""),"SUSE Linux Enterprise Server 15 SP2")</f>
        <v>SUSE Linux Enterprise Server 15 SP2</v>
      </c>
      <c r="H200" s="7" t="str">
        <f t="shared" si="2"/>
        <v>NO</v>
      </c>
      <c r="I200" s="7" t="str">
        <f t="shared" si="3"/>
        <v>NO</v>
      </c>
    </row>
    <row r="201">
      <c r="A201" s="4">
        <f>IFERROR(__xludf.DUMMYFUNCTION("""COMPUTED_VALUE"""),1166351.0)</f>
        <v>1166351</v>
      </c>
      <c r="B201" s="4" t="str">
        <f>IFERROR(__xludf.DUMMYFUNCTION("""COMPUTED_VALUE"""),"P2 - High")</f>
        <v>P2 - High</v>
      </c>
      <c r="C201" s="5">
        <f>IFERROR(__xludf.DUMMYFUNCTION("""COMPUTED_VALUE"""),43901.420625)</f>
        <v>43901.42063</v>
      </c>
      <c r="D201" s="4" t="str">
        <f>IFERROR(__xludf.DUMMYFUNCTION("""COMPUTED_VALUE"""),"VERIFIED")</f>
        <v>VERIFIED</v>
      </c>
      <c r="E201" s="6">
        <f>IFERROR(__xludf.DUMMYFUNCTION("""COMPUTED_VALUE"""),44365.26032407407)</f>
        <v>44365.26032</v>
      </c>
      <c r="F201" s="4" t="str">
        <f>IFERROR(__xludf.DUMMYFUNCTION("""COMPUTED_VALUE""")," ---")</f>
        <v> ---</v>
      </c>
      <c r="G201" s="4" t="str">
        <f>IFERROR(__xludf.DUMMYFUNCTION("""COMPUTED_VALUE"""),"SUSE Linux Enterprise Server 15 SP2")</f>
        <v>SUSE Linux Enterprise Server 15 SP2</v>
      </c>
      <c r="H201" s="7" t="str">
        <f t="shared" si="2"/>
        <v>NO</v>
      </c>
      <c r="I201" s="7" t="str">
        <f t="shared" si="3"/>
        <v>NO</v>
      </c>
    </row>
    <row r="202">
      <c r="A202" s="4">
        <f>IFERROR(__xludf.DUMMYFUNCTION("""COMPUTED_VALUE"""),1171730.0)</f>
        <v>1171730</v>
      </c>
      <c r="B202" s="4" t="str">
        <f>IFERROR(__xludf.DUMMYFUNCTION("""COMPUTED_VALUE"""),"P2 - High")</f>
        <v>P2 - High</v>
      </c>
      <c r="C202" s="5">
        <f>IFERROR(__xludf.DUMMYFUNCTION("""COMPUTED_VALUE"""),43966.52019675926)</f>
        <v>43966.5202</v>
      </c>
      <c r="D202" s="4" t="str">
        <f>IFERROR(__xludf.DUMMYFUNCTION("""COMPUTED_VALUE"""),"VERIFIED")</f>
        <v>VERIFIED</v>
      </c>
      <c r="E202" s="6">
        <f>IFERROR(__xludf.DUMMYFUNCTION("""COMPUTED_VALUE"""),44384.82910879629)</f>
        <v>44384.82911</v>
      </c>
      <c r="F202" s="4" t="str">
        <f>IFERROR(__xludf.DUMMYFUNCTION("""COMPUTED_VALUE""")," ---")</f>
        <v> ---</v>
      </c>
      <c r="G202" s="4" t="str">
        <f>IFERROR(__xludf.DUMMYFUNCTION("""COMPUTED_VALUE"""),"SUSE Linux Enterprise Server 15 SP2")</f>
        <v>SUSE Linux Enterprise Server 15 SP2</v>
      </c>
      <c r="H202" s="7" t="str">
        <f t="shared" si="2"/>
        <v>NO</v>
      </c>
      <c r="I202" s="7" t="str">
        <f t="shared" si="3"/>
        <v>NO</v>
      </c>
    </row>
    <row r="203">
      <c r="A203" s="4">
        <f>IFERROR(__xludf.DUMMYFUNCTION("""COMPUTED_VALUE"""),1159186.0)</f>
        <v>1159186</v>
      </c>
      <c r="B203" s="4" t="str">
        <f>IFERROR(__xludf.DUMMYFUNCTION("""COMPUTED_VALUE"""),"P2 - High")</f>
        <v>P2 - High</v>
      </c>
      <c r="C203" s="5">
        <f>IFERROR(__xludf.DUMMYFUNCTION("""COMPUTED_VALUE"""),43812.431805555556)</f>
        <v>43812.43181</v>
      </c>
      <c r="D203" s="4" t="str">
        <f>IFERROR(__xludf.DUMMYFUNCTION("""COMPUTED_VALUE"""),"VERIFIED")</f>
        <v>VERIFIED</v>
      </c>
      <c r="E203" s="6">
        <f>IFERROR(__xludf.DUMMYFUNCTION("""COMPUTED_VALUE"""),44006.47840277778)</f>
        <v>44006.4784</v>
      </c>
      <c r="F203" s="4" t="str">
        <f>IFERROR(__xludf.DUMMYFUNCTION("""COMPUTED_VALUE""")," ---")</f>
        <v> ---</v>
      </c>
      <c r="G203" s="4" t="str">
        <f>IFERROR(__xludf.DUMMYFUNCTION("""COMPUTED_VALUE"""),"SUSE Linux Enterprise Server 15 SP2")</f>
        <v>SUSE Linux Enterprise Server 15 SP2</v>
      </c>
      <c r="H203" s="7" t="str">
        <f t="shared" si="2"/>
        <v>NO</v>
      </c>
      <c r="I203" s="7" t="str">
        <f t="shared" si="3"/>
        <v>NO</v>
      </c>
    </row>
    <row r="204">
      <c r="A204" s="4">
        <f>IFERROR(__xludf.DUMMYFUNCTION("""COMPUTED_VALUE"""),1158050.0)</f>
        <v>1158050</v>
      </c>
      <c r="B204" s="4" t="str">
        <f>IFERROR(__xludf.DUMMYFUNCTION("""COMPUTED_VALUE"""),"P2 - High")</f>
        <v>P2 - High</v>
      </c>
      <c r="C204" s="5">
        <f>IFERROR(__xludf.DUMMYFUNCTION("""COMPUTED_VALUE"""),43798.31302083333)</f>
        <v>43798.31302</v>
      </c>
      <c r="D204" s="4" t="str">
        <f>IFERROR(__xludf.DUMMYFUNCTION("""COMPUTED_VALUE"""),"VERIFIED")</f>
        <v>VERIFIED</v>
      </c>
      <c r="E204" s="6">
        <f>IFERROR(__xludf.DUMMYFUNCTION("""COMPUTED_VALUE"""),44384.794074074074)</f>
        <v>44384.79407</v>
      </c>
      <c r="F204" s="4" t="str">
        <f>IFERROR(__xludf.DUMMYFUNCTION("""COMPUTED_VALUE""")," ---")</f>
        <v> ---</v>
      </c>
      <c r="G204" s="4" t="str">
        <f>IFERROR(__xludf.DUMMYFUNCTION("""COMPUTED_VALUE"""),"SUSE Linux Enterprise Server 15 SP2")</f>
        <v>SUSE Linux Enterprise Server 15 SP2</v>
      </c>
      <c r="H204" s="7" t="str">
        <f t="shared" si="2"/>
        <v>NO</v>
      </c>
      <c r="I204" s="7" t="str">
        <f t="shared" si="3"/>
        <v>NO</v>
      </c>
    </row>
    <row r="205">
      <c r="A205" s="4">
        <f>IFERROR(__xludf.DUMMYFUNCTION("""COMPUTED_VALUE"""),1167651.0)</f>
        <v>1167651</v>
      </c>
      <c r="B205" s="4" t="str">
        <f>IFERROR(__xludf.DUMMYFUNCTION("""COMPUTED_VALUE"""),"P2 - High")</f>
        <v>P2 - High</v>
      </c>
      <c r="C205" s="5">
        <f>IFERROR(__xludf.DUMMYFUNCTION("""COMPUTED_VALUE"""),43915.523194444446)</f>
        <v>43915.52319</v>
      </c>
      <c r="D205" s="4" t="str">
        <f>IFERROR(__xludf.DUMMYFUNCTION("""COMPUTED_VALUE"""),"VERIFIED")</f>
        <v>VERIFIED</v>
      </c>
      <c r="E205" s="6">
        <f>IFERROR(__xludf.DUMMYFUNCTION("""COMPUTED_VALUE"""),44384.822534722225)</f>
        <v>44384.82253</v>
      </c>
      <c r="F205" s="4" t="str">
        <f>IFERROR(__xludf.DUMMYFUNCTION("""COMPUTED_VALUE""")," ---")</f>
        <v> ---</v>
      </c>
      <c r="G205" s="4" t="str">
        <f>IFERROR(__xludf.DUMMYFUNCTION("""COMPUTED_VALUE"""),"SUSE Linux Enterprise Server 15 SP2")</f>
        <v>SUSE Linux Enterprise Server 15 SP2</v>
      </c>
      <c r="H205" s="7" t="str">
        <f t="shared" si="2"/>
        <v>NO</v>
      </c>
      <c r="I205" s="7" t="str">
        <f t="shared" si="3"/>
        <v>NO</v>
      </c>
    </row>
    <row r="206">
      <c r="A206" s="4">
        <f>IFERROR(__xludf.DUMMYFUNCTION("""COMPUTED_VALUE"""),1158765.0)</f>
        <v>1158765</v>
      </c>
      <c r="B206" s="4" t="str">
        <f>IFERROR(__xludf.DUMMYFUNCTION("""COMPUTED_VALUE"""),"P2 - High")</f>
        <v>P2 - High</v>
      </c>
      <c r="C206" s="5">
        <f>IFERROR(__xludf.DUMMYFUNCTION("""COMPUTED_VALUE"""),43808.40719907408)</f>
        <v>43808.4072</v>
      </c>
      <c r="D206" s="4" t="str">
        <f>IFERROR(__xludf.DUMMYFUNCTION("""COMPUTED_VALUE"""),"VERIFIED")</f>
        <v>VERIFIED</v>
      </c>
      <c r="E206" s="6">
        <f>IFERROR(__xludf.DUMMYFUNCTION("""COMPUTED_VALUE"""),44384.79630787037)</f>
        <v>44384.79631</v>
      </c>
      <c r="F206" s="4" t="str">
        <f>IFERROR(__xludf.DUMMYFUNCTION("""COMPUTED_VALUE""")," ---")</f>
        <v> ---</v>
      </c>
      <c r="G206" s="4" t="str">
        <f>IFERROR(__xludf.DUMMYFUNCTION("""COMPUTED_VALUE"""),"SUSE Linux Enterprise Server 15 SP2")</f>
        <v>SUSE Linux Enterprise Server 15 SP2</v>
      </c>
      <c r="H206" s="7" t="str">
        <f t="shared" si="2"/>
        <v>NO</v>
      </c>
      <c r="I206" s="7" t="str">
        <f t="shared" si="3"/>
        <v>NO</v>
      </c>
    </row>
    <row r="207">
      <c r="A207" s="4">
        <f>IFERROR(__xludf.DUMMYFUNCTION("""COMPUTED_VALUE"""),1158769.0)</f>
        <v>1158769</v>
      </c>
      <c r="B207" s="4" t="str">
        <f>IFERROR(__xludf.DUMMYFUNCTION("""COMPUTED_VALUE"""),"P2 - High")</f>
        <v>P2 - High</v>
      </c>
      <c r="C207" s="5">
        <f>IFERROR(__xludf.DUMMYFUNCTION("""COMPUTED_VALUE"""),43808.418032407404)</f>
        <v>43808.41803</v>
      </c>
      <c r="D207" s="4" t="str">
        <f>IFERROR(__xludf.DUMMYFUNCTION("""COMPUTED_VALUE"""),"VERIFIED")</f>
        <v>VERIFIED</v>
      </c>
      <c r="E207" s="6">
        <f>IFERROR(__xludf.DUMMYFUNCTION("""COMPUTED_VALUE"""),44010.342314814814)</f>
        <v>44010.34231</v>
      </c>
      <c r="F207" s="4" t="str">
        <f>IFERROR(__xludf.DUMMYFUNCTION("""COMPUTED_VALUE""")," ---")</f>
        <v> ---</v>
      </c>
      <c r="G207" s="4" t="str">
        <f>IFERROR(__xludf.DUMMYFUNCTION("""COMPUTED_VALUE"""),"SUSE Linux Enterprise Server 15 SP2")</f>
        <v>SUSE Linux Enterprise Server 15 SP2</v>
      </c>
      <c r="H207" s="7" t="str">
        <f t="shared" si="2"/>
        <v>NO</v>
      </c>
      <c r="I207" s="7" t="str">
        <f t="shared" si="3"/>
        <v>NO</v>
      </c>
    </row>
    <row r="208">
      <c r="A208" s="4">
        <f>IFERROR(__xludf.DUMMYFUNCTION("""COMPUTED_VALUE"""),1168423.0)</f>
        <v>1168423</v>
      </c>
      <c r="B208" s="4" t="str">
        <f>IFERROR(__xludf.DUMMYFUNCTION("""COMPUTED_VALUE"""),"P2 - High")</f>
        <v>P2 - High</v>
      </c>
      <c r="C208" s="5">
        <f>IFERROR(__xludf.DUMMYFUNCTION("""COMPUTED_VALUE"""),43923.40515046296)</f>
        <v>43923.40515</v>
      </c>
      <c r="D208" s="4" t="str">
        <f>IFERROR(__xludf.DUMMYFUNCTION("""COMPUTED_VALUE"""),"VERIFIED")</f>
        <v>VERIFIED</v>
      </c>
      <c r="E208" s="6">
        <f>IFERROR(__xludf.DUMMYFUNCTION("""COMPUTED_VALUE"""),44384.82344907407)</f>
        <v>44384.82345</v>
      </c>
      <c r="F208" s="4" t="str">
        <f>IFERROR(__xludf.DUMMYFUNCTION("""COMPUTED_VALUE""")," ---")</f>
        <v> ---</v>
      </c>
      <c r="G208" s="4" t="str">
        <f>IFERROR(__xludf.DUMMYFUNCTION("""COMPUTED_VALUE"""),"SUSE Linux Enterprise Server 15 SP2")</f>
        <v>SUSE Linux Enterprise Server 15 SP2</v>
      </c>
      <c r="H208" s="7" t="str">
        <f t="shared" si="2"/>
        <v>NO</v>
      </c>
      <c r="I208" s="7" t="str">
        <f t="shared" si="3"/>
        <v>NO</v>
      </c>
    </row>
    <row r="209">
      <c r="A209" s="4">
        <f>IFERROR(__xludf.DUMMYFUNCTION("""COMPUTED_VALUE"""),1168461.0)</f>
        <v>1168461</v>
      </c>
      <c r="B209" s="4" t="str">
        <f>IFERROR(__xludf.DUMMYFUNCTION("""COMPUTED_VALUE"""),"P2 - High")</f>
        <v>P2 - High</v>
      </c>
      <c r="C209" s="5">
        <f>IFERROR(__xludf.DUMMYFUNCTION("""COMPUTED_VALUE"""),43923.532546296294)</f>
        <v>43923.53255</v>
      </c>
      <c r="D209" s="4" t="str">
        <f>IFERROR(__xludf.DUMMYFUNCTION("""COMPUTED_VALUE"""),"VERIFIED")</f>
        <v>VERIFIED</v>
      </c>
      <c r="E209" s="6">
        <f>IFERROR(__xludf.DUMMYFUNCTION("""COMPUTED_VALUE"""),44384.823530092595)</f>
        <v>44384.82353</v>
      </c>
      <c r="F209" s="4" t="str">
        <f>IFERROR(__xludf.DUMMYFUNCTION("""COMPUTED_VALUE""")," ---")</f>
        <v> ---</v>
      </c>
      <c r="G209" s="4" t="str">
        <f>IFERROR(__xludf.DUMMYFUNCTION("""COMPUTED_VALUE"""),"SUSE Linux Enterprise Server 15 SP2")</f>
        <v>SUSE Linux Enterprise Server 15 SP2</v>
      </c>
      <c r="H209" s="7" t="str">
        <f t="shared" si="2"/>
        <v>NO</v>
      </c>
      <c r="I209" s="7" t="str">
        <f t="shared" si="3"/>
        <v>NO</v>
      </c>
    </row>
    <row r="210">
      <c r="A210" s="4">
        <f>IFERROR(__xludf.DUMMYFUNCTION("""COMPUTED_VALUE"""),1157432.0)</f>
        <v>1157432</v>
      </c>
      <c r="B210" s="4" t="str">
        <f>IFERROR(__xludf.DUMMYFUNCTION("""COMPUTED_VALUE"""),"P2 - High")</f>
        <v>P2 - High</v>
      </c>
      <c r="C210" s="5">
        <f>IFERROR(__xludf.DUMMYFUNCTION("""COMPUTED_VALUE"""),43790.39662037037)</f>
        <v>43790.39662</v>
      </c>
      <c r="D210" s="4" t="str">
        <f>IFERROR(__xludf.DUMMYFUNCTION("""COMPUTED_VALUE"""),"VERIFIED")</f>
        <v>VERIFIED</v>
      </c>
      <c r="E210" s="6">
        <f>IFERROR(__xludf.DUMMYFUNCTION("""COMPUTED_VALUE"""),44700.07994212963)</f>
        <v>44700.07994</v>
      </c>
      <c r="F210" s="4" t="str">
        <f>IFERROR(__xludf.DUMMYFUNCTION("""COMPUTED_VALUE""")," ---")</f>
        <v> ---</v>
      </c>
      <c r="G210" s="4" t="str">
        <f>IFERROR(__xludf.DUMMYFUNCTION("""COMPUTED_VALUE"""),"SUSE Linux Enterprise Server 15 SP2")</f>
        <v>SUSE Linux Enterprise Server 15 SP2</v>
      </c>
      <c r="H210" s="7" t="str">
        <f t="shared" si="2"/>
        <v>NO</v>
      </c>
      <c r="I210" s="7" t="str">
        <f t="shared" si="3"/>
        <v>NO</v>
      </c>
    </row>
    <row r="211">
      <c r="A211" s="4">
        <f>IFERROR(__xludf.DUMMYFUNCTION("""COMPUTED_VALUE"""),1158885.0)</f>
        <v>1158885</v>
      </c>
      <c r="B211" s="4" t="str">
        <f>IFERROR(__xludf.DUMMYFUNCTION("""COMPUTED_VALUE"""),"P2 - High")</f>
        <v>P2 - High</v>
      </c>
      <c r="C211" s="5">
        <f>IFERROR(__xludf.DUMMYFUNCTION("""COMPUTED_VALUE"""),43809.444652777776)</f>
        <v>43809.44465</v>
      </c>
      <c r="D211" s="4" t="str">
        <f>IFERROR(__xludf.DUMMYFUNCTION("""COMPUTED_VALUE"""),"VERIFIED")</f>
        <v>VERIFIED</v>
      </c>
      <c r="E211" s="6">
        <f>IFERROR(__xludf.DUMMYFUNCTION("""COMPUTED_VALUE"""),44006.16266203704)</f>
        <v>44006.16266</v>
      </c>
      <c r="F211" s="4" t="str">
        <f>IFERROR(__xludf.DUMMYFUNCTION("""COMPUTED_VALUE""")," ---")</f>
        <v> ---</v>
      </c>
      <c r="G211" s="4" t="str">
        <f>IFERROR(__xludf.DUMMYFUNCTION("""COMPUTED_VALUE"""),"SUSE Linux Enterprise Server 15 SP2")</f>
        <v>SUSE Linux Enterprise Server 15 SP2</v>
      </c>
      <c r="H211" s="7" t="str">
        <f t="shared" si="2"/>
        <v>NO</v>
      </c>
      <c r="I211" s="7" t="str">
        <f t="shared" si="3"/>
        <v>NO</v>
      </c>
    </row>
    <row r="212">
      <c r="A212" s="4">
        <f>IFERROR(__xludf.DUMMYFUNCTION("""COMPUTED_VALUE"""),1162983.0)</f>
        <v>1162983</v>
      </c>
      <c r="B212" s="4" t="str">
        <f>IFERROR(__xludf.DUMMYFUNCTION("""COMPUTED_VALUE"""),"P2 - High")</f>
        <v>P2 - High</v>
      </c>
      <c r="C212" s="5">
        <f>IFERROR(__xludf.DUMMYFUNCTION("""COMPUTED_VALUE"""),43867.510659722226)</f>
        <v>43867.51066</v>
      </c>
      <c r="D212" s="4" t="str">
        <f>IFERROR(__xludf.DUMMYFUNCTION("""COMPUTED_VALUE"""),"VERIFIED")</f>
        <v>VERIFIED</v>
      </c>
      <c r="E212" s="6">
        <f>IFERROR(__xludf.DUMMYFUNCTION("""COMPUTED_VALUE"""),44010.35011574074)</f>
        <v>44010.35012</v>
      </c>
      <c r="F212" s="4" t="str">
        <f>IFERROR(__xludf.DUMMYFUNCTION("""COMPUTED_VALUE""")," ---")</f>
        <v> ---</v>
      </c>
      <c r="G212" s="4" t="str">
        <f>IFERROR(__xludf.DUMMYFUNCTION("""COMPUTED_VALUE"""),"SUSE Linux Enterprise Server 15 SP2")</f>
        <v>SUSE Linux Enterprise Server 15 SP2</v>
      </c>
      <c r="H212" s="7" t="str">
        <f t="shared" si="2"/>
        <v>NO</v>
      </c>
      <c r="I212" s="7" t="str">
        <f t="shared" si="3"/>
        <v>NO</v>
      </c>
    </row>
    <row r="213">
      <c r="A213" s="4">
        <f>IFERROR(__xludf.DUMMYFUNCTION("""COMPUTED_VALUE"""),1166952.0)</f>
        <v>1166952</v>
      </c>
      <c r="B213" s="4" t="str">
        <f>IFERROR(__xludf.DUMMYFUNCTION("""COMPUTED_VALUE"""),"P2 - High")</f>
        <v>P2 - High</v>
      </c>
      <c r="C213" s="5">
        <f>IFERROR(__xludf.DUMMYFUNCTION("""COMPUTED_VALUE"""),43908.440358796295)</f>
        <v>43908.44036</v>
      </c>
      <c r="D213" s="4" t="str">
        <f>IFERROR(__xludf.DUMMYFUNCTION("""COMPUTED_VALUE"""),"VERIFIED")</f>
        <v>VERIFIED</v>
      </c>
      <c r="E213" s="6">
        <f>IFERROR(__xludf.DUMMYFUNCTION("""COMPUTED_VALUE"""),43914.00351851852)</f>
        <v>43914.00352</v>
      </c>
      <c r="F213" s="4" t="str">
        <f>IFERROR(__xludf.DUMMYFUNCTION("""COMPUTED_VALUE""")," ---")</f>
        <v> ---</v>
      </c>
      <c r="G213" s="4" t="str">
        <f>IFERROR(__xludf.DUMMYFUNCTION("""COMPUTED_VALUE"""),"SUSE Linux Enterprise Server 15 SP2")</f>
        <v>SUSE Linux Enterprise Server 15 SP2</v>
      </c>
      <c r="H213" s="7" t="str">
        <f t="shared" si="2"/>
        <v>NO</v>
      </c>
      <c r="I213" s="7" t="str">
        <f t="shared" si="3"/>
        <v>NO</v>
      </c>
    </row>
    <row r="214">
      <c r="A214" s="4">
        <f>IFERROR(__xludf.DUMMYFUNCTION("""COMPUTED_VALUE"""),1167649.0)</f>
        <v>1167649</v>
      </c>
      <c r="B214" s="4" t="str">
        <f>IFERROR(__xludf.DUMMYFUNCTION("""COMPUTED_VALUE"""),"P2 - High")</f>
        <v>P2 - High</v>
      </c>
      <c r="C214" s="5">
        <f>IFERROR(__xludf.DUMMYFUNCTION("""COMPUTED_VALUE"""),43915.52302083333)</f>
        <v>43915.52302</v>
      </c>
      <c r="D214" s="4" t="str">
        <f>IFERROR(__xludf.DUMMYFUNCTION("""COMPUTED_VALUE"""),"VERIFIED")</f>
        <v>VERIFIED</v>
      </c>
      <c r="E214" s="6">
        <f>IFERROR(__xludf.DUMMYFUNCTION("""COMPUTED_VALUE"""),44384.822384259256)</f>
        <v>44384.82238</v>
      </c>
      <c r="F214" s="4" t="str">
        <f>IFERROR(__xludf.DUMMYFUNCTION("""COMPUTED_VALUE""")," ---")</f>
        <v> ---</v>
      </c>
      <c r="G214" s="4" t="str">
        <f>IFERROR(__xludf.DUMMYFUNCTION("""COMPUTED_VALUE"""),"SUSE Linux Enterprise Server 15 SP2")</f>
        <v>SUSE Linux Enterprise Server 15 SP2</v>
      </c>
      <c r="H214" s="7" t="str">
        <f t="shared" si="2"/>
        <v>NO</v>
      </c>
      <c r="I214" s="7" t="str">
        <f t="shared" si="3"/>
        <v>NO</v>
      </c>
    </row>
    <row r="215">
      <c r="A215" s="4">
        <f>IFERROR(__xludf.DUMMYFUNCTION("""COMPUTED_VALUE"""),1167650.0)</f>
        <v>1167650</v>
      </c>
      <c r="B215" s="4" t="str">
        <f>IFERROR(__xludf.DUMMYFUNCTION("""COMPUTED_VALUE"""),"P2 - High")</f>
        <v>P2 - High</v>
      </c>
      <c r="C215" s="5">
        <f>IFERROR(__xludf.DUMMYFUNCTION("""COMPUTED_VALUE"""),43915.52309027778)</f>
        <v>43915.52309</v>
      </c>
      <c r="D215" s="4" t="str">
        <f>IFERROR(__xludf.DUMMYFUNCTION("""COMPUTED_VALUE"""),"VERIFIED")</f>
        <v>VERIFIED</v>
      </c>
      <c r="E215" s="6">
        <f>IFERROR(__xludf.DUMMYFUNCTION("""COMPUTED_VALUE"""),44384.82246527778)</f>
        <v>44384.82247</v>
      </c>
      <c r="F215" s="4" t="str">
        <f>IFERROR(__xludf.DUMMYFUNCTION("""COMPUTED_VALUE""")," ---")</f>
        <v> ---</v>
      </c>
      <c r="G215" s="4" t="str">
        <f>IFERROR(__xludf.DUMMYFUNCTION("""COMPUTED_VALUE"""),"SUSE Linux Enterprise Server 15 SP2")</f>
        <v>SUSE Linux Enterprise Server 15 SP2</v>
      </c>
      <c r="H215" s="7" t="str">
        <f t="shared" si="2"/>
        <v>NO</v>
      </c>
      <c r="I215" s="7" t="str">
        <f t="shared" si="3"/>
        <v>NO</v>
      </c>
    </row>
    <row r="216">
      <c r="A216" s="4">
        <f>IFERROR(__xludf.DUMMYFUNCTION("""COMPUTED_VALUE"""),1153192.0)</f>
        <v>1153192</v>
      </c>
      <c r="B216" s="4" t="str">
        <f>IFERROR(__xludf.DUMMYFUNCTION("""COMPUTED_VALUE"""),"P2 - High")</f>
        <v>P2 - High</v>
      </c>
      <c r="C216" s="5">
        <f>IFERROR(__xludf.DUMMYFUNCTION("""COMPUTED_VALUE"""),43745.4178125)</f>
        <v>43745.41781</v>
      </c>
      <c r="D216" s="4" t="str">
        <f>IFERROR(__xludf.DUMMYFUNCTION("""COMPUTED_VALUE"""),"VERIFIED")</f>
        <v>VERIFIED</v>
      </c>
      <c r="E216" s="6">
        <f>IFERROR(__xludf.DUMMYFUNCTION("""COMPUTED_VALUE"""),44384.78857638889)</f>
        <v>44384.78858</v>
      </c>
      <c r="F216" s="4" t="str">
        <f>IFERROR(__xludf.DUMMYFUNCTION("""COMPUTED_VALUE""")," ---")</f>
        <v> ---</v>
      </c>
      <c r="G216" s="4" t="str">
        <f>IFERROR(__xludf.DUMMYFUNCTION("""COMPUTED_VALUE"""),"SUSE Linux Enterprise Server 15 SP2")</f>
        <v>SUSE Linux Enterprise Server 15 SP2</v>
      </c>
      <c r="H216" s="7" t="str">
        <f t="shared" si="2"/>
        <v>NO</v>
      </c>
      <c r="I216" s="7" t="str">
        <f t="shared" si="3"/>
        <v>NO</v>
      </c>
    </row>
    <row r="217">
      <c r="A217" s="4">
        <f>IFERROR(__xludf.DUMMYFUNCTION("""COMPUTED_VALUE"""),1169827.0)</f>
        <v>1169827</v>
      </c>
      <c r="B217" s="4" t="str">
        <f>IFERROR(__xludf.DUMMYFUNCTION("""COMPUTED_VALUE"""),"P2 - High")</f>
        <v>P2 - High</v>
      </c>
      <c r="C217" s="5">
        <f>IFERROR(__xludf.DUMMYFUNCTION("""COMPUTED_VALUE"""),43940.076875)</f>
        <v>43940.07688</v>
      </c>
      <c r="D217" s="4" t="str">
        <f>IFERROR(__xludf.DUMMYFUNCTION("""COMPUTED_VALUE"""),"VERIFIED")</f>
        <v>VERIFIED</v>
      </c>
      <c r="E217" s="6">
        <f>IFERROR(__xludf.DUMMYFUNCTION("""COMPUTED_VALUE"""),43976.25561342593)</f>
        <v>43976.25561</v>
      </c>
      <c r="F217" s="4" t="str">
        <f>IFERROR(__xludf.DUMMYFUNCTION("""COMPUTED_VALUE""")," ---")</f>
        <v> ---</v>
      </c>
      <c r="G217" s="4" t="str">
        <f>IFERROR(__xludf.DUMMYFUNCTION("""COMPUTED_VALUE"""),"SUSE Linux Enterprise Server 15 SP2")</f>
        <v>SUSE Linux Enterprise Server 15 SP2</v>
      </c>
      <c r="H217" s="7" t="str">
        <f t="shared" si="2"/>
        <v>NO</v>
      </c>
      <c r="I217" s="7" t="str">
        <f t="shared" si="3"/>
        <v>NO</v>
      </c>
    </row>
    <row r="218">
      <c r="A218" s="4">
        <f>IFERROR(__xludf.DUMMYFUNCTION("""COMPUTED_VALUE"""),1171301.0)</f>
        <v>1171301</v>
      </c>
      <c r="B218" s="4" t="str">
        <f>IFERROR(__xludf.DUMMYFUNCTION("""COMPUTED_VALUE"""),"P2 - High")</f>
        <v>P2 - High</v>
      </c>
      <c r="C218" s="5">
        <f>IFERROR(__xludf.DUMMYFUNCTION("""COMPUTED_VALUE"""),43957.65430555555)</f>
        <v>43957.65431</v>
      </c>
      <c r="D218" s="4" t="str">
        <f>IFERROR(__xludf.DUMMYFUNCTION("""COMPUTED_VALUE"""),"VERIFIED")</f>
        <v>VERIFIED</v>
      </c>
      <c r="E218" s="6">
        <f>IFERROR(__xludf.DUMMYFUNCTION("""COMPUTED_VALUE"""),43978.15864583333)</f>
        <v>43978.15865</v>
      </c>
      <c r="F218" s="4" t="str">
        <f>IFERROR(__xludf.DUMMYFUNCTION("""COMPUTED_VALUE""")," ---")</f>
        <v> ---</v>
      </c>
      <c r="G218" s="4" t="str">
        <f>IFERROR(__xludf.DUMMYFUNCTION("""COMPUTED_VALUE"""),"SUSE Linux Enterprise Server 15 SP2")</f>
        <v>SUSE Linux Enterprise Server 15 SP2</v>
      </c>
      <c r="H218" s="7" t="str">
        <f t="shared" si="2"/>
        <v>NO</v>
      </c>
      <c r="I218" s="7" t="str">
        <f t="shared" si="3"/>
        <v>NO</v>
      </c>
    </row>
    <row r="219">
      <c r="A219" s="4">
        <f>IFERROR(__xludf.DUMMYFUNCTION("""COMPUTED_VALUE"""),1164564.0)</f>
        <v>1164564</v>
      </c>
      <c r="B219" s="4" t="str">
        <f>IFERROR(__xludf.DUMMYFUNCTION("""COMPUTED_VALUE"""),"P2 - High")</f>
        <v>P2 - High</v>
      </c>
      <c r="C219" s="5">
        <f>IFERROR(__xludf.DUMMYFUNCTION("""COMPUTED_VALUE"""),43882.598807870374)</f>
        <v>43882.59881</v>
      </c>
      <c r="D219" s="4" t="str">
        <f>IFERROR(__xludf.DUMMYFUNCTION("""COMPUTED_VALUE"""),"VERIFIED")</f>
        <v>VERIFIED</v>
      </c>
      <c r="E219" s="6">
        <f>IFERROR(__xludf.DUMMYFUNCTION("""COMPUTED_VALUE"""),44006.16491898148)</f>
        <v>44006.16492</v>
      </c>
      <c r="F219" s="4" t="str">
        <f>IFERROR(__xludf.DUMMYFUNCTION("""COMPUTED_VALUE""")," ---")</f>
        <v> ---</v>
      </c>
      <c r="G219" s="4" t="str">
        <f>IFERROR(__xludf.DUMMYFUNCTION("""COMPUTED_VALUE"""),"SUSE Linux Enterprise Server 15 SP2")</f>
        <v>SUSE Linux Enterprise Server 15 SP2</v>
      </c>
      <c r="H219" s="7" t="str">
        <f t="shared" si="2"/>
        <v>NO</v>
      </c>
      <c r="I219" s="7" t="str">
        <f t="shared" si="3"/>
        <v>NO</v>
      </c>
    </row>
    <row r="220">
      <c r="A220" s="4">
        <f>IFERROR(__xludf.DUMMYFUNCTION("""COMPUTED_VALUE"""),1162652.0)</f>
        <v>1162652</v>
      </c>
      <c r="B220" s="4" t="str">
        <f>IFERROR(__xludf.DUMMYFUNCTION("""COMPUTED_VALUE"""),"P2 - High")</f>
        <v>P2 - High</v>
      </c>
      <c r="C220" s="5">
        <f>IFERROR(__xludf.DUMMYFUNCTION("""COMPUTED_VALUE"""),43865.56997685185)</f>
        <v>43865.56998</v>
      </c>
      <c r="D220" s="4" t="str">
        <f>IFERROR(__xludf.DUMMYFUNCTION("""COMPUTED_VALUE"""),"VERIFIED")</f>
        <v>VERIFIED</v>
      </c>
      <c r="E220" s="6">
        <f>IFERROR(__xludf.DUMMYFUNCTION("""COMPUTED_VALUE"""),43908.555752314816)</f>
        <v>43908.55575</v>
      </c>
      <c r="F220" s="4" t="str">
        <f>IFERROR(__xludf.DUMMYFUNCTION("""COMPUTED_VALUE""")," ---")</f>
        <v> ---</v>
      </c>
      <c r="G220" s="4" t="str">
        <f>IFERROR(__xludf.DUMMYFUNCTION("""COMPUTED_VALUE"""),"SUSE Linux Enterprise Server 15 SP2")</f>
        <v>SUSE Linux Enterprise Server 15 SP2</v>
      </c>
      <c r="H220" s="7" t="str">
        <f t="shared" si="2"/>
        <v>NO</v>
      </c>
      <c r="I220" s="7" t="str">
        <f t="shared" si="3"/>
        <v>NO</v>
      </c>
    </row>
    <row r="221">
      <c r="A221" s="4">
        <f>IFERROR(__xludf.DUMMYFUNCTION("""COMPUTED_VALUE"""),1169625.0)</f>
        <v>1169625</v>
      </c>
      <c r="B221" s="4" t="str">
        <f>IFERROR(__xludf.DUMMYFUNCTION("""COMPUTED_VALUE"""),"P2 - High")</f>
        <v>P2 - High</v>
      </c>
      <c r="C221" s="5">
        <f>IFERROR(__xludf.DUMMYFUNCTION("""COMPUTED_VALUE"""),43937.35586805556)</f>
        <v>43937.35587</v>
      </c>
      <c r="D221" s="4" t="str">
        <f>IFERROR(__xludf.DUMMYFUNCTION("""COMPUTED_VALUE"""),"VERIFIED")</f>
        <v>VERIFIED</v>
      </c>
      <c r="E221" s="6">
        <f>IFERROR(__xludf.DUMMYFUNCTION("""COMPUTED_VALUE"""),44362.57061342592)</f>
        <v>44362.57061</v>
      </c>
      <c r="F221" s="4" t="str">
        <f>IFERROR(__xludf.DUMMYFUNCTION("""COMPUTED_VALUE"""),"Yes")</f>
        <v>Yes</v>
      </c>
      <c r="G221" s="4" t="str">
        <f>IFERROR(__xludf.DUMMYFUNCTION("""COMPUTED_VALUE"""),"SUSE Linux Enterprise Server 15 SP2")</f>
        <v>SUSE Linux Enterprise Server 15 SP2</v>
      </c>
      <c r="H221" s="7" t="str">
        <f t="shared" si="2"/>
        <v>NO</v>
      </c>
      <c r="I221" s="7" t="str">
        <f t="shared" si="3"/>
        <v>NO</v>
      </c>
    </row>
    <row r="222">
      <c r="A222" s="4">
        <f>IFERROR(__xludf.DUMMYFUNCTION("""COMPUTED_VALUE"""),1161926.0)</f>
        <v>1161926</v>
      </c>
      <c r="B222" s="4" t="str">
        <f>IFERROR(__xludf.DUMMYFUNCTION("""COMPUTED_VALUE"""),"P2 - High")</f>
        <v>P2 - High</v>
      </c>
      <c r="C222" s="5">
        <f>IFERROR(__xludf.DUMMYFUNCTION("""COMPUTED_VALUE"""),43857.67412037037)</f>
        <v>43857.67412</v>
      </c>
      <c r="D222" s="4" t="str">
        <f>IFERROR(__xludf.DUMMYFUNCTION("""COMPUTED_VALUE"""),"VERIFIED")</f>
        <v>VERIFIED</v>
      </c>
      <c r="E222" s="6">
        <f>IFERROR(__xludf.DUMMYFUNCTION("""COMPUTED_VALUE"""),43889.84616898148)</f>
        <v>43889.84617</v>
      </c>
      <c r="F222" s="4" t="str">
        <f>IFERROR(__xludf.DUMMYFUNCTION("""COMPUTED_VALUE""")," ---")</f>
        <v> ---</v>
      </c>
      <c r="G222" s="4" t="str">
        <f>IFERROR(__xludf.DUMMYFUNCTION("""COMPUTED_VALUE"""),"SUSE Linux Enterprise Server 15 SP2")</f>
        <v>SUSE Linux Enterprise Server 15 SP2</v>
      </c>
      <c r="H222" s="7" t="str">
        <f t="shared" si="2"/>
        <v>NO</v>
      </c>
      <c r="I222" s="7" t="str">
        <f t="shared" si="3"/>
        <v>YES</v>
      </c>
    </row>
    <row r="223">
      <c r="A223" s="4">
        <f>IFERROR(__xludf.DUMMYFUNCTION("""COMPUTED_VALUE"""),1165181.0)</f>
        <v>1165181</v>
      </c>
      <c r="B223" s="4" t="str">
        <f>IFERROR(__xludf.DUMMYFUNCTION("""COMPUTED_VALUE"""),"P2 - High")</f>
        <v>P2 - High</v>
      </c>
      <c r="C223" s="5">
        <f>IFERROR(__xludf.DUMMYFUNCTION("""COMPUTED_VALUE"""),43888.70208333333)</f>
        <v>43888.70208</v>
      </c>
      <c r="D223" s="4" t="str">
        <f>IFERROR(__xludf.DUMMYFUNCTION("""COMPUTED_VALUE"""),"VERIFIED")</f>
        <v>VERIFIED</v>
      </c>
      <c r="E223" s="6">
        <f>IFERROR(__xludf.DUMMYFUNCTION("""COMPUTED_VALUE"""),44384.817083333335)</f>
        <v>44384.81708</v>
      </c>
      <c r="F223" s="4" t="str">
        <f>IFERROR(__xludf.DUMMYFUNCTION("""COMPUTED_VALUE""")," ---")</f>
        <v> ---</v>
      </c>
      <c r="G223" s="4" t="str">
        <f>IFERROR(__xludf.DUMMYFUNCTION("""COMPUTED_VALUE"""),"SUSE Linux Enterprise Server 15 SP2")</f>
        <v>SUSE Linux Enterprise Server 15 SP2</v>
      </c>
      <c r="H223" s="7" t="str">
        <f t="shared" si="2"/>
        <v>NO</v>
      </c>
      <c r="I223" s="7" t="str">
        <f t="shared" si="3"/>
        <v>NO</v>
      </c>
    </row>
    <row r="224">
      <c r="A224" s="4">
        <f>IFERROR(__xludf.DUMMYFUNCTION("""COMPUTED_VALUE"""),1165187.0)</f>
        <v>1165187</v>
      </c>
      <c r="B224" s="4" t="str">
        <f>IFERROR(__xludf.DUMMYFUNCTION("""COMPUTED_VALUE"""),"P2 - High")</f>
        <v>P2 - High</v>
      </c>
      <c r="C224" s="5">
        <f>IFERROR(__xludf.DUMMYFUNCTION("""COMPUTED_VALUE"""),43888.717002314814)</f>
        <v>43888.717</v>
      </c>
      <c r="D224" s="4" t="str">
        <f>IFERROR(__xludf.DUMMYFUNCTION("""COMPUTED_VALUE"""),"VERIFIED")</f>
        <v>VERIFIED</v>
      </c>
      <c r="E224" s="6">
        <f>IFERROR(__xludf.DUMMYFUNCTION("""COMPUTED_VALUE"""),44384.81715277778)</f>
        <v>44384.81715</v>
      </c>
      <c r="F224" s="4" t="str">
        <f>IFERROR(__xludf.DUMMYFUNCTION("""COMPUTED_VALUE""")," ---")</f>
        <v> ---</v>
      </c>
      <c r="G224" s="4" t="str">
        <f>IFERROR(__xludf.DUMMYFUNCTION("""COMPUTED_VALUE"""),"SUSE Linux Enterprise Server 15 SP2")</f>
        <v>SUSE Linux Enterprise Server 15 SP2</v>
      </c>
      <c r="H224" s="7" t="str">
        <f t="shared" si="2"/>
        <v>NO</v>
      </c>
      <c r="I224" s="7" t="str">
        <f t="shared" si="3"/>
        <v>NO</v>
      </c>
    </row>
    <row r="225">
      <c r="A225" s="4">
        <f>IFERROR(__xludf.DUMMYFUNCTION("""COMPUTED_VALUE"""),1167197.0)</f>
        <v>1167197</v>
      </c>
      <c r="B225" s="4" t="str">
        <f>IFERROR(__xludf.DUMMYFUNCTION("""COMPUTED_VALUE"""),"P2 - High")</f>
        <v>P2 - High</v>
      </c>
      <c r="C225" s="5">
        <f>IFERROR(__xludf.DUMMYFUNCTION("""COMPUTED_VALUE"""),43910.299722222226)</f>
        <v>43910.29972</v>
      </c>
      <c r="D225" s="4" t="str">
        <f>IFERROR(__xludf.DUMMYFUNCTION("""COMPUTED_VALUE"""),"VERIFIED")</f>
        <v>VERIFIED</v>
      </c>
      <c r="E225" s="6">
        <f>IFERROR(__xludf.DUMMYFUNCTION("""COMPUTED_VALUE"""),44384.82168981482)</f>
        <v>44384.82169</v>
      </c>
      <c r="F225" s="4" t="str">
        <f>IFERROR(__xludf.DUMMYFUNCTION("""COMPUTED_VALUE""")," ---")</f>
        <v> ---</v>
      </c>
      <c r="G225" s="4" t="str">
        <f>IFERROR(__xludf.DUMMYFUNCTION("""COMPUTED_VALUE"""),"SUSE Linux Enterprise Server 15 SP2")</f>
        <v>SUSE Linux Enterprise Server 15 SP2</v>
      </c>
      <c r="H225" s="7" t="str">
        <f t="shared" si="2"/>
        <v>NO</v>
      </c>
      <c r="I225" s="7" t="str">
        <f t="shared" si="3"/>
        <v>NO</v>
      </c>
    </row>
    <row r="226">
      <c r="A226" s="4">
        <f>IFERROR(__xludf.DUMMYFUNCTION("""COMPUTED_VALUE"""),1168553.0)</f>
        <v>1168553</v>
      </c>
      <c r="B226" s="4" t="str">
        <f>IFERROR(__xludf.DUMMYFUNCTION("""COMPUTED_VALUE"""),"P2 - High")</f>
        <v>P2 - High</v>
      </c>
      <c r="C226" s="5">
        <f>IFERROR(__xludf.DUMMYFUNCTION("""COMPUTED_VALUE"""),43924.37825231482)</f>
        <v>43924.37825</v>
      </c>
      <c r="D226" s="4" t="str">
        <f>IFERROR(__xludf.DUMMYFUNCTION("""COMPUTED_VALUE"""),"VERIFIED")</f>
        <v>VERIFIED</v>
      </c>
      <c r="E226" s="6">
        <f>IFERROR(__xludf.DUMMYFUNCTION("""COMPUTED_VALUE"""),44384.82368055556)</f>
        <v>44384.82368</v>
      </c>
      <c r="F226" s="4" t="str">
        <f>IFERROR(__xludf.DUMMYFUNCTION("""COMPUTED_VALUE""")," ---")</f>
        <v> ---</v>
      </c>
      <c r="G226" s="4" t="str">
        <f>IFERROR(__xludf.DUMMYFUNCTION("""COMPUTED_VALUE"""),"SUSE Linux Enterprise Server 15 SP2")</f>
        <v>SUSE Linux Enterprise Server 15 SP2</v>
      </c>
      <c r="H226" s="7" t="str">
        <f t="shared" si="2"/>
        <v>NO</v>
      </c>
      <c r="I226" s="7" t="str">
        <f t="shared" si="3"/>
        <v>NO</v>
      </c>
    </row>
    <row r="227">
      <c r="A227" s="4">
        <f>IFERROR(__xludf.DUMMYFUNCTION("""COMPUTED_VALUE"""),1172543.0)</f>
        <v>1172543</v>
      </c>
      <c r="B227" s="4" t="str">
        <f>IFERROR(__xludf.DUMMYFUNCTION("""COMPUTED_VALUE"""),"P2 - High")</f>
        <v>P2 - High</v>
      </c>
      <c r="C227" s="5">
        <f>IFERROR(__xludf.DUMMYFUNCTION("""COMPUTED_VALUE"""),43987.28575231481)</f>
        <v>43987.28575</v>
      </c>
      <c r="D227" s="4" t="str">
        <f>IFERROR(__xludf.DUMMYFUNCTION("""COMPUTED_VALUE"""),"VERIFIED")</f>
        <v>VERIFIED</v>
      </c>
      <c r="E227" s="6">
        <f>IFERROR(__xludf.DUMMYFUNCTION("""COMPUTED_VALUE"""),44384.833969907406)</f>
        <v>44384.83397</v>
      </c>
      <c r="F227" s="4" t="str">
        <f>IFERROR(__xludf.DUMMYFUNCTION("""COMPUTED_VALUE""")," ---")</f>
        <v> ---</v>
      </c>
      <c r="G227" s="4" t="str">
        <f>IFERROR(__xludf.DUMMYFUNCTION("""COMPUTED_VALUE"""),"SUSE Linux Enterprise Server 15 SP2")</f>
        <v>SUSE Linux Enterprise Server 15 SP2</v>
      </c>
      <c r="H227" s="7" t="str">
        <f t="shared" si="2"/>
        <v>NO</v>
      </c>
      <c r="I227" s="7" t="str">
        <f t="shared" si="3"/>
        <v>NO</v>
      </c>
    </row>
    <row r="228">
      <c r="A228" s="4">
        <f>IFERROR(__xludf.DUMMYFUNCTION("""COMPUTED_VALUE"""),1161363.0)</f>
        <v>1161363</v>
      </c>
      <c r="B228" s="4" t="str">
        <f>IFERROR(__xludf.DUMMYFUNCTION("""COMPUTED_VALUE"""),"P2 - High")</f>
        <v>P2 - High</v>
      </c>
      <c r="C228" s="5">
        <f>IFERROR(__xludf.DUMMYFUNCTION("""COMPUTED_VALUE"""),43850.826875)</f>
        <v>43850.82688</v>
      </c>
      <c r="D228" s="4" t="str">
        <f>IFERROR(__xludf.DUMMYFUNCTION("""COMPUTED_VALUE"""),"VERIFIED")</f>
        <v>VERIFIED</v>
      </c>
      <c r="E228" s="6">
        <f>IFERROR(__xludf.DUMMYFUNCTION("""COMPUTED_VALUE"""),43925.055347222224)</f>
        <v>43925.05535</v>
      </c>
      <c r="F228" s="4" t="str">
        <f>IFERROR(__xludf.DUMMYFUNCTION("""COMPUTED_VALUE""")," ---")</f>
        <v> ---</v>
      </c>
      <c r="G228" s="4" t="str">
        <f>IFERROR(__xludf.DUMMYFUNCTION("""COMPUTED_VALUE"""),"SUSE Linux Enterprise Server 15 SP2")</f>
        <v>SUSE Linux Enterprise Server 15 SP2</v>
      </c>
      <c r="H228" s="7" t="str">
        <f t="shared" si="2"/>
        <v>NO</v>
      </c>
      <c r="I228" s="7" t="str">
        <f t="shared" si="3"/>
        <v>NO</v>
      </c>
    </row>
    <row r="229">
      <c r="A229" s="4">
        <f>IFERROR(__xludf.DUMMYFUNCTION("""COMPUTED_VALUE"""),1165069.0)</f>
        <v>1165069</v>
      </c>
      <c r="B229" s="4" t="str">
        <f>IFERROR(__xludf.DUMMYFUNCTION("""COMPUTED_VALUE"""),"P2 - High")</f>
        <v>P2 - High</v>
      </c>
      <c r="C229" s="5">
        <f>IFERROR(__xludf.DUMMYFUNCTION("""COMPUTED_VALUE"""),43887.963113425925)</f>
        <v>43887.96311</v>
      </c>
      <c r="D229" s="4" t="str">
        <f>IFERROR(__xludf.DUMMYFUNCTION("""COMPUTED_VALUE"""),"VERIFIED")</f>
        <v>VERIFIED</v>
      </c>
      <c r="E229" s="6">
        <f>IFERROR(__xludf.DUMMYFUNCTION("""COMPUTED_VALUE"""),43943.82678240741)</f>
        <v>43943.82678</v>
      </c>
      <c r="F229" s="4" t="str">
        <f>IFERROR(__xludf.DUMMYFUNCTION("""COMPUTED_VALUE""")," ---")</f>
        <v> ---</v>
      </c>
      <c r="G229" s="4" t="str">
        <f>IFERROR(__xludf.DUMMYFUNCTION("""COMPUTED_VALUE"""),"SUSE Linux Enterprise Server 15 SP2")</f>
        <v>SUSE Linux Enterprise Server 15 SP2</v>
      </c>
      <c r="H229" s="7" t="str">
        <f t="shared" si="2"/>
        <v>NO</v>
      </c>
      <c r="I229" s="7" t="str">
        <f t="shared" si="3"/>
        <v>NO</v>
      </c>
    </row>
    <row r="230">
      <c r="A230" s="4">
        <f>IFERROR(__xludf.DUMMYFUNCTION("""COMPUTED_VALUE"""),1169763.0)</f>
        <v>1169763</v>
      </c>
      <c r="B230" s="4" t="str">
        <f>IFERROR(__xludf.DUMMYFUNCTION("""COMPUTED_VALUE"""),"P2 - High")</f>
        <v>P2 - High</v>
      </c>
      <c r="C230" s="5">
        <f>IFERROR(__xludf.DUMMYFUNCTION("""COMPUTED_VALUE"""),43938.486712962964)</f>
        <v>43938.48671</v>
      </c>
      <c r="D230" s="4" t="str">
        <f>IFERROR(__xludf.DUMMYFUNCTION("""COMPUTED_VALUE"""),"VERIFIED")</f>
        <v>VERIFIED</v>
      </c>
      <c r="E230" s="6">
        <f>IFERROR(__xludf.DUMMYFUNCTION("""COMPUTED_VALUE"""),44384.82592592593)</f>
        <v>44384.82593</v>
      </c>
      <c r="F230" s="4" t="str">
        <f>IFERROR(__xludf.DUMMYFUNCTION("""COMPUTED_VALUE""")," ---")</f>
        <v> ---</v>
      </c>
      <c r="G230" s="4" t="str">
        <f>IFERROR(__xludf.DUMMYFUNCTION("""COMPUTED_VALUE"""),"SUSE Linux Enterprise Server 15 SP2")</f>
        <v>SUSE Linux Enterprise Server 15 SP2</v>
      </c>
      <c r="H230" s="7" t="str">
        <f t="shared" si="2"/>
        <v>NO</v>
      </c>
      <c r="I230" s="7" t="str">
        <f t="shared" si="3"/>
        <v>NO</v>
      </c>
    </row>
    <row r="231">
      <c r="A231" s="4">
        <f>IFERROR(__xludf.DUMMYFUNCTION("""COMPUTED_VALUE"""),1156898.0)</f>
        <v>1156898</v>
      </c>
      <c r="B231" s="4" t="str">
        <f>IFERROR(__xludf.DUMMYFUNCTION("""COMPUTED_VALUE"""),"P2 - High")</f>
        <v>P2 - High</v>
      </c>
      <c r="C231" s="5">
        <f>IFERROR(__xludf.DUMMYFUNCTION("""COMPUTED_VALUE"""),43784.57340277778)</f>
        <v>43784.5734</v>
      </c>
      <c r="D231" s="4" t="str">
        <f>IFERROR(__xludf.DUMMYFUNCTION("""COMPUTED_VALUE"""),"VERIFIED")</f>
        <v>VERIFIED</v>
      </c>
      <c r="E231" s="6">
        <f>IFERROR(__xludf.DUMMYFUNCTION("""COMPUTED_VALUE"""),44384.79282407407)</f>
        <v>44384.79282</v>
      </c>
      <c r="F231" s="4" t="str">
        <f>IFERROR(__xludf.DUMMYFUNCTION("""COMPUTED_VALUE""")," ---")</f>
        <v> ---</v>
      </c>
      <c r="G231" s="4" t="str">
        <f>IFERROR(__xludf.DUMMYFUNCTION("""COMPUTED_VALUE"""),"SUSE Linux Enterprise Server 15 SP2")</f>
        <v>SUSE Linux Enterprise Server 15 SP2</v>
      </c>
      <c r="H231" s="7" t="str">
        <f t="shared" si="2"/>
        <v>NO</v>
      </c>
      <c r="I231" s="7" t="str">
        <f t="shared" si="3"/>
        <v>NO</v>
      </c>
    </row>
    <row r="232">
      <c r="A232" s="4">
        <f>IFERROR(__xludf.DUMMYFUNCTION("""COMPUTED_VALUE"""),1158879.0)</f>
        <v>1158879</v>
      </c>
      <c r="B232" s="4" t="str">
        <f>IFERROR(__xludf.DUMMYFUNCTION("""COMPUTED_VALUE"""),"P3 - Medium")</f>
        <v>P3 - Medium</v>
      </c>
      <c r="C232" s="5">
        <f>IFERROR(__xludf.DUMMYFUNCTION("""COMPUTED_VALUE"""),43809.40665509259)</f>
        <v>43809.40666</v>
      </c>
      <c r="D232" s="4" t="str">
        <f>IFERROR(__xludf.DUMMYFUNCTION("""COMPUTED_VALUE"""),"NEW")</f>
        <v>NEW</v>
      </c>
      <c r="E232" s="6">
        <f>IFERROR(__xludf.DUMMYFUNCTION("""COMPUTED_VALUE"""),43817.585)</f>
        <v>43817.585</v>
      </c>
      <c r="F232" s="4" t="str">
        <f>IFERROR(__xludf.DUMMYFUNCTION("""COMPUTED_VALUE""")," ---")</f>
        <v> ---</v>
      </c>
      <c r="G232" s="4" t="str">
        <f>IFERROR(__xludf.DUMMYFUNCTION("""COMPUTED_VALUE"""),"SUSE Linux Enterprise Server 15 SP2")</f>
        <v>SUSE Linux Enterprise Server 15 SP2</v>
      </c>
      <c r="H232" s="7" t="str">
        <f t="shared" si="2"/>
        <v>NO</v>
      </c>
      <c r="I232" s="7" t="str">
        <f t="shared" si="3"/>
        <v>NO</v>
      </c>
    </row>
    <row r="233">
      <c r="A233" s="4">
        <f>IFERROR(__xludf.DUMMYFUNCTION("""COMPUTED_VALUE"""),1165234.0)</f>
        <v>1165234</v>
      </c>
      <c r="B233" s="4" t="str">
        <f>IFERROR(__xludf.DUMMYFUNCTION("""COMPUTED_VALUE"""),"P3 - Medium")</f>
        <v>P3 - Medium</v>
      </c>
      <c r="C233" s="5">
        <f>IFERROR(__xludf.DUMMYFUNCTION("""COMPUTED_VALUE"""),43889.38416666666)</f>
        <v>43889.38417</v>
      </c>
      <c r="D233" s="4" t="str">
        <f>IFERROR(__xludf.DUMMYFUNCTION("""COMPUTED_VALUE"""),"NEW")</f>
        <v>NEW</v>
      </c>
      <c r="E233" s="6">
        <f>IFERROR(__xludf.DUMMYFUNCTION("""COMPUTED_VALUE"""),44383.600486111114)</f>
        <v>44383.60049</v>
      </c>
      <c r="F233" s="4" t="str">
        <f>IFERROR(__xludf.DUMMYFUNCTION("""COMPUTED_VALUE""")," ---")</f>
        <v> ---</v>
      </c>
      <c r="G233" s="4" t="str">
        <f>IFERROR(__xludf.DUMMYFUNCTION("""COMPUTED_VALUE"""),"SUSE Linux Enterprise Server 15 SP2")</f>
        <v>SUSE Linux Enterprise Server 15 SP2</v>
      </c>
      <c r="H233" s="7" t="str">
        <f t="shared" si="2"/>
        <v>NO</v>
      </c>
      <c r="I233" s="7" t="str">
        <f t="shared" si="3"/>
        <v>NO</v>
      </c>
    </row>
    <row r="234">
      <c r="A234" s="4">
        <f>IFERROR(__xludf.DUMMYFUNCTION("""COMPUTED_VALUE"""),1166364.0)</f>
        <v>1166364</v>
      </c>
      <c r="B234" s="4" t="str">
        <f>IFERROR(__xludf.DUMMYFUNCTION("""COMPUTED_VALUE"""),"P3 - Medium")</f>
        <v>P3 - Medium</v>
      </c>
      <c r="C234" s="5">
        <f>IFERROR(__xludf.DUMMYFUNCTION("""COMPUTED_VALUE"""),43901.44474537037)</f>
        <v>43901.44475</v>
      </c>
      <c r="D234" s="4" t="str">
        <f>IFERROR(__xludf.DUMMYFUNCTION("""COMPUTED_VALUE"""),"NEW")</f>
        <v>NEW</v>
      </c>
      <c r="E234" s="6">
        <f>IFERROR(__xludf.DUMMYFUNCTION("""COMPUTED_VALUE"""),44356.47621527778)</f>
        <v>44356.47622</v>
      </c>
      <c r="F234" s="4" t="str">
        <f>IFERROR(__xludf.DUMMYFUNCTION("""COMPUTED_VALUE""")," ---")</f>
        <v> ---</v>
      </c>
      <c r="G234" s="4" t="str">
        <f>IFERROR(__xludf.DUMMYFUNCTION("""COMPUTED_VALUE"""),"SUSE Linux Enterprise Server 15 SP2")</f>
        <v>SUSE Linux Enterprise Server 15 SP2</v>
      </c>
      <c r="H234" s="7" t="str">
        <f t="shared" si="2"/>
        <v>NO</v>
      </c>
      <c r="I234" s="7" t="str">
        <f t="shared" si="3"/>
        <v>NO</v>
      </c>
    </row>
    <row r="235">
      <c r="A235" s="4">
        <f>IFERROR(__xludf.DUMMYFUNCTION("""COMPUTED_VALUE"""),1166369.0)</f>
        <v>1166369</v>
      </c>
      <c r="B235" s="4" t="str">
        <f>IFERROR(__xludf.DUMMYFUNCTION("""COMPUTED_VALUE"""),"P3 - Medium")</f>
        <v>P3 - Medium</v>
      </c>
      <c r="C235" s="5">
        <f>IFERROR(__xludf.DUMMYFUNCTION("""COMPUTED_VALUE"""),43901.45857638889)</f>
        <v>43901.45858</v>
      </c>
      <c r="D235" s="4" t="str">
        <f>IFERROR(__xludf.DUMMYFUNCTION("""COMPUTED_VALUE"""),"NEW")</f>
        <v>NEW</v>
      </c>
      <c r="E235" s="6">
        <f>IFERROR(__xludf.DUMMYFUNCTION("""COMPUTED_VALUE"""),44356.47678240741)</f>
        <v>44356.47678</v>
      </c>
      <c r="F235" s="4" t="str">
        <f>IFERROR(__xludf.DUMMYFUNCTION("""COMPUTED_VALUE""")," ---")</f>
        <v> ---</v>
      </c>
      <c r="G235" s="4" t="str">
        <f>IFERROR(__xludf.DUMMYFUNCTION("""COMPUTED_VALUE"""),"SUSE Linux Enterprise Server 15 SP2")</f>
        <v>SUSE Linux Enterprise Server 15 SP2</v>
      </c>
      <c r="H235" s="7" t="str">
        <f t="shared" si="2"/>
        <v>NO</v>
      </c>
      <c r="I235" s="7" t="str">
        <f t="shared" si="3"/>
        <v>NO</v>
      </c>
    </row>
    <row r="236">
      <c r="A236" s="4">
        <f>IFERROR(__xludf.DUMMYFUNCTION("""COMPUTED_VALUE"""),1171825.0)</f>
        <v>1171825</v>
      </c>
      <c r="B236" s="4" t="str">
        <f>IFERROR(__xludf.DUMMYFUNCTION("""COMPUTED_VALUE"""),"P3 - Medium")</f>
        <v>P3 - Medium</v>
      </c>
      <c r="C236" s="5">
        <f>IFERROR(__xludf.DUMMYFUNCTION("""COMPUTED_VALUE"""),43969.45920138889)</f>
        <v>43969.4592</v>
      </c>
      <c r="D236" s="4" t="str">
        <f>IFERROR(__xludf.DUMMYFUNCTION("""COMPUTED_VALUE"""),"NEW")</f>
        <v>NEW</v>
      </c>
      <c r="E236" s="6">
        <f>IFERROR(__xludf.DUMMYFUNCTION("""COMPUTED_VALUE"""),44236.89341435185)</f>
        <v>44236.89341</v>
      </c>
      <c r="F236" s="4" t="str">
        <f>IFERROR(__xludf.DUMMYFUNCTION("""COMPUTED_VALUE""")," ---")</f>
        <v> ---</v>
      </c>
      <c r="G236" s="4" t="str">
        <f>IFERROR(__xludf.DUMMYFUNCTION("""COMPUTED_VALUE"""),"SUSE Linux Enterprise Server 15 SP2")</f>
        <v>SUSE Linux Enterprise Server 15 SP2</v>
      </c>
      <c r="H236" s="7" t="str">
        <f t="shared" si="2"/>
        <v>NO</v>
      </c>
      <c r="I236" s="7" t="str">
        <f t="shared" si="3"/>
        <v>NO</v>
      </c>
    </row>
    <row r="237">
      <c r="A237" s="4">
        <f>IFERROR(__xludf.DUMMYFUNCTION("""COMPUTED_VALUE"""),1152489.0)</f>
        <v>1152489</v>
      </c>
      <c r="B237" s="4" t="str">
        <f>IFERROR(__xludf.DUMMYFUNCTION("""COMPUTED_VALUE"""),"P3 - Medium")</f>
        <v>P3 - Medium</v>
      </c>
      <c r="C237" s="5">
        <f>IFERROR(__xludf.DUMMYFUNCTION("""COMPUTED_VALUE"""),43738.45159722222)</f>
        <v>43738.4516</v>
      </c>
      <c r="D237" s="4" t="str">
        <f>IFERROR(__xludf.DUMMYFUNCTION("""COMPUTED_VALUE"""),"NEW")</f>
        <v>NEW</v>
      </c>
      <c r="E237" s="6">
        <f>IFERROR(__xludf.DUMMYFUNCTION("""COMPUTED_VALUE"""),44726.93759259259)</f>
        <v>44726.93759</v>
      </c>
      <c r="F237" s="4" t="str">
        <f>IFERROR(__xludf.DUMMYFUNCTION("""COMPUTED_VALUE""")," ---")</f>
        <v> ---</v>
      </c>
      <c r="G237" s="4" t="str">
        <f>IFERROR(__xludf.DUMMYFUNCTION("""COMPUTED_VALUE"""),"SUSE Linux Enterprise Server 15 SP2")</f>
        <v>SUSE Linux Enterprise Server 15 SP2</v>
      </c>
      <c r="H237" s="7" t="str">
        <f t="shared" si="2"/>
        <v>NO</v>
      </c>
      <c r="I237" s="7" t="str">
        <f t="shared" si="3"/>
        <v>NO</v>
      </c>
    </row>
    <row r="238">
      <c r="A238" s="4">
        <f>IFERROR(__xludf.DUMMYFUNCTION("""COMPUTED_VALUE"""),1161441.0)</f>
        <v>1161441</v>
      </c>
      <c r="B238" s="4" t="str">
        <f>IFERROR(__xludf.DUMMYFUNCTION("""COMPUTED_VALUE"""),"P3 - Medium")</f>
        <v>P3 - Medium</v>
      </c>
      <c r="C238" s="5">
        <f>IFERROR(__xludf.DUMMYFUNCTION("""COMPUTED_VALUE"""),43851.64325231482)</f>
        <v>43851.64325</v>
      </c>
      <c r="D238" s="4" t="str">
        <f>IFERROR(__xludf.DUMMYFUNCTION("""COMPUTED_VALUE"""),"NEW")</f>
        <v>NEW</v>
      </c>
      <c r="E238" s="6">
        <f>IFERROR(__xludf.DUMMYFUNCTION("""COMPUTED_VALUE"""),44228.45208333333)</f>
        <v>44228.45208</v>
      </c>
      <c r="F238" s="4" t="str">
        <f>IFERROR(__xludf.DUMMYFUNCTION("""COMPUTED_VALUE""")," ---")</f>
        <v> ---</v>
      </c>
      <c r="G238" s="4" t="str">
        <f>IFERROR(__xludf.DUMMYFUNCTION("""COMPUTED_VALUE"""),"SUSE Linux Enterprise Server 15 SP2")</f>
        <v>SUSE Linux Enterprise Server 15 SP2</v>
      </c>
      <c r="H238" s="7" t="str">
        <f t="shared" si="2"/>
        <v>NO</v>
      </c>
      <c r="I238" s="7" t="str">
        <f t="shared" si="3"/>
        <v>NO</v>
      </c>
    </row>
    <row r="239">
      <c r="A239" s="4">
        <f>IFERROR(__xludf.DUMMYFUNCTION("""COMPUTED_VALUE"""),1161948.0)</f>
        <v>1161948</v>
      </c>
      <c r="B239" s="4" t="str">
        <f>IFERROR(__xludf.DUMMYFUNCTION("""COMPUTED_VALUE"""),"P3 - Medium")</f>
        <v>P3 - Medium</v>
      </c>
      <c r="C239" s="5">
        <f>IFERROR(__xludf.DUMMYFUNCTION("""COMPUTED_VALUE"""),43857.76594907408)</f>
        <v>43857.76595</v>
      </c>
      <c r="D239" s="4" t="str">
        <f>IFERROR(__xludf.DUMMYFUNCTION("""COMPUTED_VALUE"""),"NEW")</f>
        <v>NEW</v>
      </c>
      <c r="E239" s="6">
        <f>IFERROR(__xludf.DUMMYFUNCTION("""COMPUTED_VALUE"""),44384.80278935185)</f>
        <v>44384.80279</v>
      </c>
      <c r="F239" s="4" t="str">
        <f>IFERROR(__xludf.DUMMYFUNCTION("""COMPUTED_VALUE""")," ---")</f>
        <v> ---</v>
      </c>
      <c r="G239" s="4" t="str">
        <f>IFERROR(__xludf.DUMMYFUNCTION("""COMPUTED_VALUE"""),"SUSE Linux Enterprise Server 15 SP2")</f>
        <v>SUSE Linux Enterprise Server 15 SP2</v>
      </c>
      <c r="H239" s="7" t="str">
        <f t="shared" si="2"/>
        <v>NO</v>
      </c>
      <c r="I239" s="7" t="str">
        <f t="shared" si="3"/>
        <v>YES</v>
      </c>
    </row>
    <row r="240">
      <c r="A240" s="4">
        <f>IFERROR(__xludf.DUMMYFUNCTION("""COMPUTED_VALUE"""),1172668.0)</f>
        <v>1172668</v>
      </c>
      <c r="B240" s="4" t="str">
        <f>IFERROR(__xludf.DUMMYFUNCTION("""COMPUTED_VALUE"""),"P3 - Medium")</f>
        <v>P3 - Medium</v>
      </c>
      <c r="C240" s="5">
        <f>IFERROR(__xludf.DUMMYFUNCTION("""COMPUTED_VALUE"""),43990.56857638889)</f>
        <v>43990.56858</v>
      </c>
      <c r="D240" s="4" t="str">
        <f>IFERROR(__xludf.DUMMYFUNCTION("""COMPUTED_VALUE"""),"NEW")</f>
        <v>NEW</v>
      </c>
      <c r="E240" s="6">
        <f>IFERROR(__xludf.DUMMYFUNCTION("""COMPUTED_VALUE"""),43997.2159837963)</f>
        <v>43997.21598</v>
      </c>
      <c r="F240" s="4" t="str">
        <f>IFERROR(__xludf.DUMMYFUNCTION("""COMPUTED_VALUE""")," ---")</f>
        <v> ---</v>
      </c>
      <c r="G240" s="4" t="str">
        <f>IFERROR(__xludf.DUMMYFUNCTION("""COMPUTED_VALUE"""),"SUSE Linux Enterprise Server 15 SP2")</f>
        <v>SUSE Linux Enterprise Server 15 SP2</v>
      </c>
      <c r="H240" s="7" t="str">
        <f t="shared" si="2"/>
        <v>NO</v>
      </c>
      <c r="I240" s="7" t="str">
        <f t="shared" si="3"/>
        <v>NO</v>
      </c>
    </row>
    <row r="241">
      <c r="A241" s="4">
        <f>IFERROR(__xludf.DUMMYFUNCTION("""COMPUTED_VALUE"""),1164580.0)</f>
        <v>1164580</v>
      </c>
      <c r="B241" s="4" t="str">
        <f>IFERROR(__xludf.DUMMYFUNCTION("""COMPUTED_VALUE"""),"P3 - Medium")</f>
        <v>P3 - Medium</v>
      </c>
      <c r="C241" s="5">
        <f>IFERROR(__xludf.DUMMYFUNCTION("""COMPUTED_VALUE"""),43882.6628125)</f>
        <v>43882.66281</v>
      </c>
      <c r="D241" s="4" t="str">
        <f>IFERROR(__xludf.DUMMYFUNCTION("""COMPUTED_VALUE"""),"NEW")</f>
        <v>NEW</v>
      </c>
      <c r="E241" s="6">
        <f>IFERROR(__xludf.DUMMYFUNCTION("""COMPUTED_VALUE"""),44047.25497685185)</f>
        <v>44047.25498</v>
      </c>
      <c r="F241" s="4" t="str">
        <f>IFERROR(__xludf.DUMMYFUNCTION("""COMPUTED_VALUE""")," ---")</f>
        <v> ---</v>
      </c>
      <c r="G241" s="4" t="str">
        <f>IFERROR(__xludf.DUMMYFUNCTION("""COMPUTED_VALUE"""),"SUSE Linux Enterprise Server 15 SP2")</f>
        <v>SUSE Linux Enterprise Server 15 SP2</v>
      </c>
      <c r="H241" s="7" t="str">
        <f t="shared" si="2"/>
        <v>NO</v>
      </c>
      <c r="I241" s="7" t="str">
        <f t="shared" si="3"/>
        <v>NO</v>
      </c>
    </row>
    <row r="242">
      <c r="A242" s="4">
        <f>IFERROR(__xludf.DUMMYFUNCTION("""COMPUTED_VALUE"""),1165417.0)</f>
        <v>1165417</v>
      </c>
      <c r="B242" s="4" t="str">
        <f>IFERROR(__xludf.DUMMYFUNCTION("""COMPUTED_VALUE"""),"P3 - Medium")</f>
        <v>P3 - Medium</v>
      </c>
      <c r="C242" s="5">
        <f>IFERROR(__xludf.DUMMYFUNCTION("""COMPUTED_VALUE"""),43892.43125)</f>
        <v>43892.43125</v>
      </c>
      <c r="D242" s="4" t="str">
        <f>IFERROR(__xludf.DUMMYFUNCTION("""COMPUTED_VALUE"""),"NEW")</f>
        <v>NEW</v>
      </c>
      <c r="E242" s="6">
        <f>IFERROR(__xludf.DUMMYFUNCTION("""COMPUTED_VALUE"""),43978.534050925926)</f>
        <v>43978.53405</v>
      </c>
      <c r="F242" s="4" t="str">
        <f>IFERROR(__xludf.DUMMYFUNCTION("""COMPUTED_VALUE""")," ---")</f>
        <v> ---</v>
      </c>
      <c r="G242" s="4" t="str">
        <f>IFERROR(__xludf.DUMMYFUNCTION("""COMPUTED_VALUE"""),"SUSE Linux Enterprise Server 15 SP2")</f>
        <v>SUSE Linux Enterprise Server 15 SP2</v>
      </c>
      <c r="H242" s="7" t="str">
        <f t="shared" si="2"/>
        <v>NO</v>
      </c>
      <c r="I242" s="7" t="str">
        <f t="shared" si="3"/>
        <v>NO</v>
      </c>
    </row>
    <row r="243">
      <c r="A243" s="4">
        <f>IFERROR(__xludf.DUMMYFUNCTION("""COMPUTED_VALUE"""),1172637.0)</f>
        <v>1172637</v>
      </c>
      <c r="B243" s="4" t="str">
        <f>IFERROR(__xludf.DUMMYFUNCTION("""COMPUTED_VALUE"""),"P3 - Medium")</f>
        <v>P3 - Medium</v>
      </c>
      <c r="C243" s="5">
        <f>IFERROR(__xludf.DUMMYFUNCTION("""COMPUTED_VALUE"""),43990.330983796295)</f>
        <v>43990.33098</v>
      </c>
      <c r="D243" s="4" t="str">
        <f>IFERROR(__xludf.DUMMYFUNCTION("""COMPUTED_VALUE"""),"NEW")</f>
        <v>NEW</v>
      </c>
      <c r="E243" s="6">
        <f>IFERROR(__xludf.DUMMYFUNCTION("""COMPUTED_VALUE"""),44000.05837962963)</f>
        <v>44000.05838</v>
      </c>
      <c r="F243" s="4" t="str">
        <f>IFERROR(__xludf.DUMMYFUNCTION("""COMPUTED_VALUE""")," ---")</f>
        <v> ---</v>
      </c>
      <c r="G243" s="4" t="str">
        <f>IFERROR(__xludf.DUMMYFUNCTION("""COMPUTED_VALUE"""),"SUSE Linux Enterprise Server 15 SP2")</f>
        <v>SUSE Linux Enterprise Server 15 SP2</v>
      </c>
      <c r="H243" s="7" t="str">
        <f t="shared" si="2"/>
        <v>NO</v>
      </c>
      <c r="I243" s="7" t="str">
        <f t="shared" si="3"/>
        <v>NO</v>
      </c>
    </row>
    <row r="244">
      <c r="A244" s="4">
        <f>IFERROR(__xludf.DUMMYFUNCTION("""COMPUTED_VALUE"""),1158545.0)</f>
        <v>1158545</v>
      </c>
      <c r="B244" s="4" t="str">
        <f>IFERROR(__xludf.DUMMYFUNCTION("""COMPUTED_VALUE"""),"P3 - Medium")</f>
        <v>P3 - Medium</v>
      </c>
      <c r="C244" s="5">
        <f>IFERROR(__xludf.DUMMYFUNCTION("""COMPUTED_VALUE"""),43804.55626157407)</f>
        <v>43804.55626</v>
      </c>
      <c r="D244" s="4" t="str">
        <f>IFERROR(__xludf.DUMMYFUNCTION("""COMPUTED_VALUE"""),"NEW")</f>
        <v>NEW</v>
      </c>
      <c r="E244" s="6">
        <f>IFERROR(__xludf.DUMMYFUNCTION("""COMPUTED_VALUE"""),43966.627430555556)</f>
        <v>43966.62743</v>
      </c>
      <c r="F244" s="4" t="str">
        <f>IFERROR(__xludf.DUMMYFUNCTION("""COMPUTED_VALUE""")," ---")</f>
        <v> ---</v>
      </c>
      <c r="G244" s="4" t="str">
        <f>IFERROR(__xludf.DUMMYFUNCTION("""COMPUTED_VALUE"""),"SUSE Linux Enterprise Server 15 SP2")</f>
        <v>SUSE Linux Enterprise Server 15 SP2</v>
      </c>
      <c r="H244" s="7" t="str">
        <f t="shared" si="2"/>
        <v>NO</v>
      </c>
      <c r="I244" s="7" t="str">
        <f t="shared" si="3"/>
        <v>NO</v>
      </c>
    </row>
    <row r="245">
      <c r="A245" s="4">
        <f>IFERROR(__xludf.DUMMYFUNCTION("""COMPUTED_VALUE"""),1172836.0)</f>
        <v>1172836</v>
      </c>
      <c r="B245" s="4" t="str">
        <f>IFERROR(__xludf.DUMMYFUNCTION("""COMPUTED_VALUE"""),"P3 - Medium")</f>
        <v>P3 - Medium</v>
      </c>
      <c r="C245" s="5">
        <f>IFERROR(__xludf.DUMMYFUNCTION("""COMPUTED_VALUE"""),43993.48841435185)</f>
        <v>43993.48841</v>
      </c>
      <c r="D245" s="4" t="str">
        <f>IFERROR(__xludf.DUMMYFUNCTION("""COMPUTED_VALUE"""),"NEW")</f>
        <v>NEW</v>
      </c>
      <c r="E245" s="6">
        <f>IFERROR(__xludf.DUMMYFUNCTION("""COMPUTED_VALUE"""),43997.216574074075)</f>
        <v>43997.21657</v>
      </c>
      <c r="F245" s="4" t="str">
        <f>IFERROR(__xludf.DUMMYFUNCTION("""COMPUTED_VALUE""")," ---")</f>
        <v> ---</v>
      </c>
      <c r="G245" s="4" t="str">
        <f>IFERROR(__xludf.DUMMYFUNCTION("""COMPUTED_VALUE"""),"SUSE Linux Enterprise Server 15 SP2")</f>
        <v>SUSE Linux Enterprise Server 15 SP2</v>
      </c>
      <c r="H245" s="7" t="str">
        <f t="shared" si="2"/>
        <v>NO</v>
      </c>
      <c r="I245" s="7" t="str">
        <f t="shared" si="3"/>
        <v>NO</v>
      </c>
    </row>
    <row r="246">
      <c r="A246" s="4">
        <f>IFERROR(__xludf.DUMMYFUNCTION("""COMPUTED_VALUE"""),1163000.0)</f>
        <v>1163000</v>
      </c>
      <c r="B246" s="4" t="str">
        <f>IFERROR(__xludf.DUMMYFUNCTION("""COMPUTED_VALUE"""),"P3 - Medium")</f>
        <v>P3 - Medium</v>
      </c>
      <c r="C246" s="5">
        <f>IFERROR(__xludf.DUMMYFUNCTION("""COMPUTED_VALUE"""),43867.566469907404)</f>
        <v>43867.56647</v>
      </c>
      <c r="D246" s="4" t="str">
        <f>IFERROR(__xludf.DUMMYFUNCTION("""COMPUTED_VALUE"""),"NEW")</f>
        <v>NEW</v>
      </c>
      <c r="E246" s="6">
        <f>IFERROR(__xludf.DUMMYFUNCTION("""COMPUTED_VALUE"""),44702.02587962963)</f>
        <v>44702.02588</v>
      </c>
      <c r="F246" s="4" t="str">
        <f>IFERROR(__xludf.DUMMYFUNCTION("""COMPUTED_VALUE"""),"Yes")</f>
        <v>Yes</v>
      </c>
      <c r="G246" s="4" t="str">
        <f>IFERROR(__xludf.DUMMYFUNCTION("""COMPUTED_VALUE"""),"SUSE Linux Enterprise Server 15 SP2")</f>
        <v>SUSE Linux Enterprise Server 15 SP2</v>
      </c>
      <c r="H246" s="7" t="str">
        <f t="shared" si="2"/>
        <v>NO</v>
      </c>
      <c r="I246" s="7" t="str">
        <f t="shared" si="3"/>
        <v>NO</v>
      </c>
    </row>
    <row r="247">
      <c r="A247" s="4">
        <f>IFERROR(__xludf.DUMMYFUNCTION("""COMPUTED_VALUE"""),1171317.0)</f>
        <v>1171317</v>
      </c>
      <c r="B247" s="4" t="str">
        <f>IFERROR(__xludf.DUMMYFUNCTION("""COMPUTED_VALUE"""),"P3 - Medium")</f>
        <v>P3 - Medium</v>
      </c>
      <c r="C247" s="5">
        <f>IFERROR(__xludf.DUMMYFUNCTION("""COMPUTED_VALUE"""),43957.90268518519)</f>
        <v>43957.90269</v>
      </c>
      <c r="D247" s="4" t="str">
        <f>IFERROR(__xludf.DUMMYFUNCTION("""COMPUTED_VALUE"""),"NEW")</f>
        <v>NEW</v>
      </c>
      <c r="E247" s="6">
        <f>IFERROR(__xludf.DUMMYFUNCTION("""COMPUTED_VALUE"""),44365.29738425926)</f>
        <v>44365.29738</v>
      </c>
      <c r="F247" s="4" t="str">
        <f>IFERROR(__xludf.DUMMYFUNCTION("""COMPUTED_VALUE""")," ---")</f>
        <v> ---</v>
      </c>
      <c r="G247" s="4" t="str">
        <f>IFERROR(__xludf.DUMMYFUNCTION("""COMPUTED_VALUE"""),"SUSE Linux Enterprise Server 15 SP2")</f>
        <v>SUSE Linux Enterprise Server 15 SP2</v>
      </c>
      <c r="H247" s="7" t="str">
        <f t="shared" si="2"/>
        <v>NO</v>
      </c>
      <c r="I247" s="7" t="str">
        <f t="shared" si="3"/>
        <v>NO</v>
      </c>
    </row>
    <row r="248">
      <c r="A248" s="4">
        <f>IFERROR(__xludf.DUMMYFUNCTION("""COMPUTED_VALUE"""),1158624.0)</f>
        <v>1158624</v>
      </c>
      <c r="B248" s="4" t="str">
        <f>IFERROR(__xludf.DUMMYFUNCTION("""COMPUTED_VALUE"""),"P3 - Medium")</f>
        <v>P3 - Medium</v>
      </c>
      <c r="C248" s="5">
        <f>IFERROR(__xludf.DUMMYFUNCTION("""COMPUTED_VALUE"""),43805.35621527778)</f>
        <v>43805.35622</v>
      </c>
      <c r="D248" s="4" t="str">
        <f>IFERROR(__xludf.DUMMYFUNCTION("""COMPUTED_VALUE"""),"NEW")</f>
        <v>NEW</v>
      </c>
      <c r="E248" s="6">
        <f>IFERROR(__xludf.DUMMYFUNCTION("""COMPUTED_VALUE"""),43859.250127314815)</f>
        <v>43859.25013</v>
      </c>
      <c r="F248" s="4" t="str">
        <f>IFERROR(__xludf.DUMMYFUNCTION("""COMPUTED_VALUE""")," ---")</f>
        <v> ---</v>
      </c>
      <c r="G248" s="4" t="str">
        <f>IFERROR(__xludf.DUMMYFUNCTION("""COMPUTED_VALUE"""),"SUSE Linux Enterprise Server 15 SP2")</f>
        <v>SUSE Linux Enterprise Server 15 SP2</v>
      </c>
      <c r="H248" s="7" t="str">
        <f t="shared" si="2"/>
        <v>NO</v>
      </c>
      <c r="I248" s="7" t="str">
        <f t="shared" si="3"/>
        <v>NO</v>
      </c>
    </row>
    <row r="249">
      <c r="A249" s="4">
        <f>IFERROR(__xludf.DUMMYFUNCTION("""COMPUTED_VALUE"""),1158657.0)</f>
        <v>1158657</v>
      </c>
      <c r="B249" s="4" t="str">
        <f>IFERROR(__xludf.DUMMYFUNCTION("""COMPUTED_VALUE"""),"P3 - Medium")</f>
        <v>P3 - Medium</v>
      </c>
      <c r="C249" s="5">
        <f>IFERROR(__xludf.DUMMYFUNCTION("""COMPUTED_VALUE"""),43805.45410879629)</f>
        <v>43805.45411</v>
      </c>
      <c r="D249" s="4" t="str">
        <f>IFERROR(__xludf.DUMMYFUNCTION("""COMPUTED_VALUE"""),"NEW")</f>
        <v>NEW</v>
      </c>
      <c r="E249" s="6">
        <f>IFERROR(__xludf.DUMMYFUNCTION("""COMPUTED_VALUE"""),44055.43716435185)</f>
        <v>44055.43716</v>
      </c>
      <c r="F249" s="4" t="str">
        <f>IFERROR(__xludf.DUMMYFUNCTION("""COMPUTED_VALUE""")," ---")</f>
        <v> ---</v>
      </c>
      <c r="G249" s="4" t="str">
        <f>IFERROR(__xludf.DUMMYFUNCTION("""COMPUTED_VALUE"""),"SUSE Linux Enterprise Server 15 SP2")</f>
        <v>SUSE Linux Enterprise Server 15 SP2</v>
      </c>
      <c r="H249" s="7" t="str">
        <f t="shared" si="2"/>
        <v>NO</v>
      </c>
      <c r="I249" s="7" t="str">
        <f t="shared" si="3"/>
        <v>NO</v>
      </c>
    </row>
    <row r="250">
      <c r="A250" s="4">
        <f>IFERROR(__xludf.DUMMYFUNCTION("""COMPUTED_VALUE"""),1159334.0)</f>
        <v>1159334</v>
      </c>
      <c r="B250" s="4" t="str">
        <f>IFERROR(__xludf.DUMMYFUNCTION("""COMPUTED_VALUE"""),"P3 - Medium")</f>
        <v>P3 - Medium</v>
      </c>
      <c r="C250" s="5">
        <f>IFERROR(__xludf.DUMMYFUNCTION("""COMPUTED_VALUE"""),43816.34820601852)</f>
        <v>43816.34821</v>
      </c>
      <c r="D250" s="4" t="str">
        <f>IFERROR(__xludf.DUMMYFUNCTION("""COMPUTED_VALUE"""),"NEW")</f>
        <v>NEW</v>
      </c>
      <c r="E250" s="6">
        <f>IFERROR(__xludf.DUMMYFUNCTION("""COMPUTED_VALUE"""),43954.250069444446)</f>
        <v>43954.25007</v>
      </c>
      <c r="F250" s="4" t="str">
        <f>IFERROR(__xludf.DUMMYFUNCTION("""COMPUTED_VALUE""")," ---")</f>
        <v> ---</v>
      </c>
      <c r="G250" s="4" t="str">
        <f>IFERROR(__xludf.DUMMYFUNCTION("""COMPUTED_VALUE"""),"SUSE Linux Enterprise Server 15 SP2")</f>
        <v>SUSE Linux Enterprise Server 15 SP2</v>
      </c>
      <c r="H250" s="7" t="str">
        <f t="shared" si="2"/>
        <v>NO</v>
      </c>
      <c r="I250" s="7" t="str">
        <f t="shared" si="3"/>
        <v>NO</v>
      </c>
    </row>
    <row r="251">
      <c r="A251" s="4">
        <f>IFERROR(__xludf.DUMMYFUNCTION("""COMPUTED_VALUE"""),1161507.0)</f>
        <v>1161507</v>
      </c>
      <c r="B251" s="4" t="str">
        <f>IFERROR(__xludf.DUMMYFUNCTION("""COMPUTED_VALUE"""),"P3 - Medium")</f>
        <v>P3 - Medium</v>
      </c>
      <c r="C251" s="5">
        <f>IFERROR(__xludf.DUMMYFUNCTION("""COMPUTED_VALUE"""),43852.39550925926)</f>
        <v>43852.39551</v>
      </c>
      <c r="D251" s="4" t="str">
        <f>IFERROR(__xludf.DUMMYFUNCTION("""COMPUTED_VALUE"""),"NEW")</f>
        <v>NEW</v>
      </c>
      <c r="E251" s="6">
        <f>IFERROR(__xludf.DUMMYFUNCTION("""COMPUTED_VALUE"""),43942.35780092593)</f>
        <v>43942.3578</v>
      </c>
      <c r="F251" s="4" t="str">
        <f>IFERROR(__xludf.DUMMYFUNCTION("""COMPUTED_VALUE""")," ---")</f>
        <v> ---</v>
      </c>
      <c r="G251" s="4" t="str">
        <f>IFERROR(__xludf.DUMMYFUNCTION("""COMPUTED_VALUE"""),"SUSE Linux Enterprise Server 15 SP2")</f>
        <v>SUSE Linux Enterprise Server 15 SP2</v>
      </c>
      <c r="H251" s="7" t="str">
        <f t="shared" si="2"/>
        <v>NO</v>
      </c>
      <c r="I251" s="7" t="str">
        <f t="shared" si="3"/>
        <v>NO</v>
      </c>
    </row>
    <row r="252">
      <c r="A252" s="4">
        <f>IFERROR(__xludf.DUMMYFUNCTION("""COMPUTED_VALUE"""),1169714.0)</f>
        <v>1169714</v>
      </c>
      <c r="B252" s="4" t="str">
        <f>IFERROR(__xludf.DUMMYFUNCTION("""COMPUTED_VALUE"""),"P3 - Medium")</f>
        <v>P3 - Medium</v>
      </c>
      <c r="C252" s="5">
        <f>IFERROR(__xludf.DUMMYFUNCTION("""COMPUTED_VALUE"""),43938.125127314815)</f>
        <v>43938.12513</v>
      </c>
      <c r="D252" s="4" t="str">
        <f>IFERROR(__xludf.DUMMYFUNCTION("""COMPUTED_VALUE"""),"CONFIRMED")</f>
        <v>CONFIRMED</v>
      </c>
      <c r="E252" s="6">
        <f>IFERROR(__xludf.DUMMYFUNCTION("""COMPUTED_VALUE"""),44701.0705787037)</f>
        <v>44701.07058</v>
      </c>
      <c r="F252" s="4" t="str">
        <f>IFERROR(__xludf.DUMMYFUNCTION("""COMPUTED_VALUE""")," ---")</f>
        <v> ---</v>
      </c>
      <c r="G252" s="4" t="str">
        <f>IFERROR(__xludf.DUMMYFUNCTION("""COMPUTED_VALUE"""),"SUSE Linux Enterprise Server 15 SP2")</f>
        <v>SUSE Linux Enterprise Server 15 SP2</v>
      </c>
      <c r="H252" s="7" t="str">
        <f t="shared" si="2"/>
        <v>NO</v>
      </c>
      <c r="I252" s="7" t="str">
        <f t="shared" si="3"/>
        <v>NO</v>
      </c>
    </row>
    <row r="253">
      <c r="A253" s="4">
        <f>IFERROR(__xludf.DUMMYFUNCTION("""COMPUTED_VALUE"""),1172930.0)</f>
        <v>1172930</v>
      </c>
      <c r="B253" s="4" t="str">
        <f>IFERROR(__xludf.DUMMYFUNCTION("""COMPUTED_VALUE"""),"P3 - Medium")</f>
        <v>P3 - Medium</v>
      </c>
      <c r="C253" s="5">
        <f>IFERROR(__xludf.DUMMYFUNCTION("""COMPUTED_VALUE"""),43997.550787037035)</f>
        <v>43997.55079</v>
      </c>
      <c r="D253" s="4" t="str">
        <f>IFERROR(__xludf.DUMMYFUNCTION("""COMPUTED_VALUE"""),"CONFIRMED")</f>
        <v>CONFIRMED</v>
      </c>
      <c r="E253" s="6">
        <f>IFERROR(__xludf.DUMMYFUNCTION("""COMPUTED_VALUE"""),44026.30085648148)</f>
        <v>44026.30086</v>
      </c>
      <c r="F253" s="4" t="str">
        <f>IFERROR(__xludf.DUMMYFUNCTION("""COMPUTED_VALUE""")," ---")</f>
        <v> ---</v>
      </c>
      <c r="G253" s="4" t="str">
        <f>IFERROR(__xludf.DUMMYFUNCTION("""COMPUTED_VALUE"""),"SUSE Linux Enterprise Server 15 SP2")</f>
        <v>SUSE Linux Enterprise Server 15 SP2</v>
      </c>
      <c r="H253" s="7" t="str">
        <f t="shared" si="2"/>
        <v>NO</v>
      </c>
      <c r="I253" s="7" t="str">
        <f t="shared" si="3"/>
        <v>NO</v>
      </c>
    </row>
    <row r="254">
      <c r="A254" s="4">
        <f>IFERROR(__xludf.DUMMYFUNCTION("""COMPUTED_VALUE"""),1172934.0)</f>
        <v>1172934</v>
      </c>
      <c r="B254" s="4" t="str">
        <f>IFERROR(__xludf.DUMMYFUNCTION("""COMPUTED_VALUE"""),"P3 - Medium")</f>
        <v>P3 - Medium</v>
      </c>
      <c r="C254" s="5">
        <f>IFERROR(__xludf.DUMMYFUNCTION("""COMPUTED_VALUE"""),43997.56518518519)</f>
        <v>43997.56519</v>
      </c>
      <c r="D254" s="4" t="str">
        <f>IFERROR(__xludf.DUMMYFUNCTION("""COMPUTED_VALUE"""),"CONFIRMED")</f>
        <v>CONFIRMED</v>
      </c>
      <c r="E254" s="6">
        <f>IFERROR(__xludf.DUMMYFUNCTION("""COMPUTED_VALUE"""),44018.11329861111)</f>
        <v>44018.1133</v>
      </c>
      <c r="F254" s="4" t="str">
        <f>IFERROR(__xludf.DUMMYFUNCTION("""COMPUTED_VALUE""")," ---")</f>
        <v> ---</v>
      </c>
      <c r="G254" s="4" t="str">
        <f>IFERROR(__xludf.DUMMYFUNCTION("""COMPUTED_VALUE"""),"SUSE Linux Enterprise Server 15 SP2")</f>
        <v>SUSE Linux Enterprise Server 15 SP2</v>
      </c>
      <c r="H254" s="7" t="str">
        <f t="shared" si="2"/>
        <v>NO</v>
      </c>
      <c r="I254" s="7" t="str">
        <f t="shared" si="3"/>
        <v>NO</v>
      </c>
    </row>
    <row r="255">
      <c r="A255" s="4">
        <f>IFERROR(__xludf.DUMMYFUNCTION("""COMPUTED_VALUE"""),1172832.0)</f>
        <v>1172832</v>
      </c>
      <c r="B255" s="4" t="str">
        <f>IFERROR(__xludf.DUMMYFUNCTION("""COMPUTED_VALUE"""),"P3 - Medium")</f>
        <v>P3 - Medium</v>
      </c>
      <c r="C255" s="5">
        <f>IFERROR(__xludf.DUMMYFUNCTION("""COMPUTED_VALUE"""),43993.456828703704)</f>
        <v>43993.45683</v>
      </c>
      <c r="D255" s="4" t="str">
        <f>IFERROR(__xludf.DUMMYFUNCTION("""COMPUTED_VALUE"""),"CONFIRMED")</f>
        <v>CONFIRMED</v>
      </c>
      <c r="E255" s="6">
        <f>IFERROR(__xludf.DUMMYFUNCTION("""COMPUTED_VALUE"""),44004.830775462964)</f>
        <v>44004.83078</v>
      </c>
      <c r="F255" s="4" t="str">
        <f>IFERROR(__xludf.DUMMYFUNCTION("""COMPUTED_VALUE""")," ---")</f>
        <v> ---</v>
      </c>
      <c r="G255" s="4" t="str">
        <f>IFERROR(__xludf.DUMMYFUNCTION("""COMPUTED_VALUE"""),"SUSE Linux Enterprise Server 15 SP2")</f>
        <v>SUSE Linux Enterprise Server 15 SP2</v>
      </c>
      <c r="H255" s="7" t="str">
        <f t="shared" si="2"/>
        <v>NO</v>
      </c>
      <c r="I255" s="7" t="str">
        <f t="shared" si="3"/>
        <v>NO</v>
      </c>
    </row>
    <row r="256">
      <c r="A256" s="4">
        <f>IFERROR(__xludf.DUMMYFUNCTION("""COMPUTED_VALUE"""),1165583.0)</f>
        <v>1165583</v>
      </c>
      <c r="B256" s="4" t="str">
        <f>IFERROR(__xludf.DUMMYFUNCTION("""COMPUTED_VALUE"""),"P3 - Medium")</f>
        <v>P3 - Medium</v>
      </c>
      <c r="C256" s="5">
        <f>IFERROR(__xludf.DUMMYFUNCTION("""COMPUTED_VALUE"""),43893.692777777775)</f>
        <v>43893.69278</v>
      </c>
      <c r="D256" s="4" t="str">
        <f>IFERROR(__xludf.DUMMYFUNCTION("""COMPUTED_VALUE"""),"CONFIRMED")</f>
        <v>CONFIRMED</v>
      </c>
      <c r="E256" s="6">
        <f>IFERROR(__xludf.DUMMYFUNCTION("""COMPUTED_VALUE"""),44047.25363425926)</f>
        <v>44047.25363</v>
      </c>
      <c r="F256" s="4" t="str">
        <f>IFERROR(__xludf.DUMMYFUNCTION("""COMPUTED_VALUE""")," ---")</f>
        <v> ---</v>
      </c>
      <c r="G256" s="4" t="str">
        <f>IFERROR(__xludf.DUMMYFUNCTION("""COMPUTED_VALUE"""),"SUSE Linux Enterprise Server 15 SP2")</f>
        <v>SUSE Linux Enterprise Server 15 SP2</v>
      </c>
      <c r="H256" s="7" t="str">
        <f t="shared" si="2"/>
        <v>NO</v>
      </c>
      <c r="I256" s="7" t="str">
        <f t="shared" si="3"/>
        <v>NO</v>
      </c>
    </row>
    <row r="257">
      <c r="A257" s="4">
        <f>IFERROR(__xludf.DUMMYFUNCTION("""COMPUTED_VALUE"""),1158210.0)</f>
        <v>1158210</v>
      </c>
      <c r="B257" s="4" t="str">
        <f>IFERROR(__xludf.DUMMYFUNCTION("""COMPUTED_VALUE"""),"P3 - Medium")</f>
        <v>P3 - Medium</v>
      </c>
      <c r="C257" s="5">
        <f>IFERROR(__xludf.DUMMYFUNCTION("""COMPUTED_VALUE"""),43801.67894675926)</f>
        <v>43801.67895</v>
      </c>
      <c r="D257" s="4" t="str">
        <f>IFERROR(__xludf.DUMMYFUNCTION("""COMPUTED_VALUE"""),"IN_PROGRESS")</f>
        <v>IN_PROGRESS</v>
      </c>
      <c r="E257" s="6">
        <f>IFERROR(__xludf.DUMMYFUNCTION("""COMPUTED_VALUE"""),44384.79436342593)</f>
        <v>44384.79436</v>
      </c>
      <c r="F257" s="4" t="str">
        <f>IFERROR(__xludf.DUMMYFUNCTION("""COMPUTED_VALUE""")," ---")</f>
        <v> ---</v>
      </c>
      <c r="G257" s="4" t="str">
        <f>IFERROR(__xludf.DUMMYFUNCTION("""COMPUTED_VALUE"""),"SUSE Linux Enterprise Server 15 SP2")</f>
        <v>SUSE Linux Enterprise Server 15 SP2</v>
      </c>
      <c r="H257" s="7" t="str">
        <f t="shared" si="2"/>
        <v>NO</v>
      </c>
      <c r="I257" s="7" t="str">
        <f t="shared" si="3"/>
        <v>NO</v>
      </c>
    </row>
    <row r="258">
      <c r="A258" s="4">
        <f>IFERROR(__xludf.DUMMYFUNCTION("""COMPUTED_VALUE"""),1163496.0)</f>
        <v>1163496</v>
      </c>
      <c r="B258" s="4" t="str">
        <f>IFERROR(__xludf.DUMMYFUNCTION("""COMPUTED_VALUE"""),"P3 - Medium")</f>
        <v>P3 - Medium</v>
      </c>
      <c r="C258" s="5">
        <f>IFERROR(__xludf.DUMMYFUNCTION("""COMPUTED_VALUE"""),43873.55535879629)</f>
        <v>43873.55536</v>
      </c>
      <c r="D258" s="4" t="str">
        <f>IFERROR(__xludf.DUMMYFUNCTION("""COMPUTED_VALUE"""),"IN_PROGRESS")</f>
        <v>IN_PROGRESS</v>
      </c>
      <c r="E258" s="6">
        <f>IFERROR(__xludf.DUMMYFUNCTION("""COMPUTED_VALUE"""),44384.80427083333)</f>
        <v>44384.80427</v>
      </c>
      <c r="F258" s="4" t="str">
        <f>IFERROR(__xludf.DUMMYFUNCTION("""COMPUTED_VALUE""")," ---")</f>
        <v> ---</v>
      </c>
      <c r="G258" s="4" t="str">
        <f>IFERROR(__xludf.DUMMYFUNCTION("""COMPUTED_VALUE"""),"SUSE Linux Enterprise Server 15 SP2")</f>
        <v>SUSE Linux Enterprise Server 15 SP2</v>
      </c>
      <c r="H258" s="7" t="str">
        <f t="shared" si="2"/>
        <v>NO</v>
      </c>
      <c r="I258" s="7" t="str">
        <f t="shared" si="3"/>
        <v>NO</v>
      </c>
    </row>
    <row r="259">
      <c r="A259" s="4">
        <f>IFERROR(__xludf.DUMMYFUNCTION("""COMPUTED_VALUE"""),1152472.0)</f>
        <v>1152472</v>
      </c>
      <c r="B259" s="4" t="str">
        <f>IFERROR(__xludf.DUMMYFUNCTION("""COMPUTED_VALUE"""),"P3 - Medium")</f>
        <v>P3 - Medium</v>
      </c>
      <c r="C259" s="5">
        <f>IFERROR(__xludf.DUMMYFUNCTION("""COMPUTED_VALUE"""),43738.417083333334)</f>
        <v>43738.41708</v>
      </c>
      <c r="D259" s="4" t="str">
        <f>IFERROR(__xludf.DUMMYFUNCTION("""COMPUTED_VALUE"""),"IN_PROGRESS")</f>
        <v>IN_PROGRESS</v>
      </c>
      <c r="E259" s="6">
        <f>IFERROR(__xludf.DUMMYFUNCTION("""COMPUTED_VALUE"""),44726.93753472222)</f>
        <v>44726.93753</v>
      </c>
      <c r="F259" s="4" t="str">
        <f>IFERROR(__xludf.DUMMYFUNCTION("""COMPUTED_VALUE""")," ---")</f>
        <v> ---</v>
      </c>
      <c r="G259" s="4" t="str">
        <f>IFERROR(__xludf.DUMMYFUNCTION("""COMPUTED_VALUE"""),"SUSE Linux Enterprise Server 15 SP2")</f>
        <v>SUSE Linux Enterprise Server 15 SP2</v>
      </c>
      <c r="H259" s="7" t="str">
        <f t="shared" si="2"/>
        <v>NO</v>
      </c>
      <c r="I259" s="7" t="str">
        <f t="shared" si="3"/>
        <v>NO</v>
      </c>
    </row>
    <row r="260">
      <c r="A260" s="4">
        <f>IFERROR(__xludf.DUMMYFUNCTION("""COMPUTED_VALUE"""),1164565.0)</f>
        <v>1164565</v>
      </c>
      <c r="B260" s="4" t="str">
        <f>IFERROR(__xludf.DUMMYFUNCTION("""COMPUTED_VALUE"""),"P3 - Medium")</f>
        <v>P3 - Medium</v>
      </c>
      <c r="C260" s="5">
        <f>IFERROR(__xludf.DUMMYFUNCTION("""COMPUTED_VALUE"""),43882.59894675926)</f>
        <v>43882.59895</v>
      </c>
      <c r="D260" s="4" t="str">
        <f>IFERROR(__xludf.DUMMYFUNCTION("""COMPUTED_VALUE"""),"RESOLVED")</f>
        <v>RESOLVED</v>
      </c>
      <c r="E260" s="6">
        <f>IFERROR(__xludf.DUMMYFUNCTION("""COMPUTED_VALUE"""),44688.67859953704)</f>
        <v>44688.6786</v>
      </c>
      <c r="F260" s="4" t="str">
        <f>IFERROR(__xludf.DUMMYFUNCTION("""COMPUTED_VALUE""")," ---")</f>
        <v> ---</v>
      </c>
      <c r="G260" s="4" t="str">
        <f>IFERROR(__xludf.DUMMYFUNCTION("""COMPUTED_VALUE"""),"SUSE Linux Enterprise Server 15 SP2")</f>
        <v>SUSE Linux Enterprise Server 15 SP2</v>
      </c>
      <c r="H260" s="7" t="str">
        <f t="shared" si="2"/>
        <v>NO</v>
      </c>
      <c r="I260" s="7" t="str">
        <f t="shared" si="3"/>
        <v>NO</v>
      </c>
    </row>
    <row r="261">
      <c r="A261" s="4">
        <f>IFERROR(__xludf.DUMMYFUNCTION("""COMPUTED_VALUE"""),1153917.0)</f>
        <v>1153917</v>
      </c>
      <c r="B261" s="4" t="str">
        <f>IFERROR(__xludf.DUMMYFUNCTION("""COMPUTED_VALUE"""),"P3 - Medium")</f>
        <v>P3 - Medium</v>
      </c>
      <c r="C261" s="5">
        <f>IFERROR(__xludf.DUMMYFUNCTION("""COMPUTED_VALUE"""),43752.51195601852)</f>
        <v>43752.51196</v>
      </c>
      <c r="D261" s="4" t="str">
        <f>IFERROR(__xludf.DUMMYFUNCTION("""COMPUTED_VALUE"""),"RESOLVED")</f>
        <v>RESOLVED</v>
      </c>
      <c r="E261" s="6">
        <f>IFERROR(__xludf.DUMMYFUNCTION("""COMPUTED_VALUE"""),44624.91011574074)</f>
        <v>44624.91012</v>
      </c>
      <c r="F261" s="4" t="str">
        <f>IFERROR(__xludf.DUMMYFUNCTION("""COMPUTED_VALUE""")," ---")</f>
        <v> ---</v>
      </c>
      <c r="G261" s="4" t="str">
        <f>IFERROR(__xludf.DUMMYFUNCTION("""COMPUTED_VALUE"""),"SUSE Linux Enterprise Server 15 SP2")</f>
        <v>SUSE Linux Enterprise Server 15 SP2</v>
      </c>
      <c r="H261" s="7" t="str">
        <f t="shared" si="2"/>
        <v>NO</v>
      </c>
      <c r="I261" s="7" t="str">
        <f t="shared" si="3"/>
        <v>NO</v>
      </c>
    </row>
    <row r="262">
      <c r="A262" s="4">
        <f>IFERROR(__xludf.DUMMYFUNCTION("""COMPUTED_VALUE"""),1153954.0)</f>
        <v>1153954</v>
      </c>
      <c r="B262" s="4" t="str">
        <f>IFERROR(__xludf.DUMMYFUNCTION("""COMPUTED_VALUE"""),"P3 - Medium")</f>
        <v>P3 - Medium</v>
      </c>
      <c r="C262" s="5">
        <f>IFERROR(__xludf.DUMMYFUNCTION("""COMPUTED_VALUE"""),43752.7178125)</f>
        <v>43752.71781</v>
      </c>
      <c r="D262" s="4" t="str">
        <f>IFERROR(__xludf.DUMMYFUNCTION("""COMPUTED_VALUE"""),"RESOLVED")</f>
        <v>RESOLVED</v>
      </c>
      <c r="E262" s="6">
        <f>IFERROR(__xludf.DUMMYFUNCTION("""COMPUTED_VALUE"""),44384.78886574074)</f>
        <v>44384.78887</v>
      </c>
      <c r="F262" s="4" t="str">
        <f>IFERROR(__xludf.DUMMYFUNCTION("""COMPUTED_VALUE""")," ---")</f>
        <v> ---</v>
      </c>
      <c r="G262" s="4" t="str">
        <f>IFERROR(__xludf.DUMMYFUNCTION("""COMPUTED_VALUE"""),"SUSE Linux Enterprise Server 15 SP2")</f>
        <v>SUSE Linux Enterprise Server 15 SP2</v>
      </c>
      <c r="H262" s="7" t="str">
        <f t="shared" si="2"/>
        <v>NO</v>
      </c>
      <c r="I262" s="7" t="str">
        <f t="shared" si="3"/>
        <v>NO</v>
      </c>
    </row>
    <row r="263">
      <c r="A263" s="4">
        <f>IFERROR(__xludf.DUMMYFUNCTION("""COMPUTED_VALUE"""),1153955.0)</f>
        <v>1153955</v>
      </c>
      <c r="B263" s="4" t="str">
        <f>IFERROR(__xludf.DUMMYFUNCTION("""COMPUTED_VALUE"""),"P3 - Medium")</f>
        <v>P3 - Medium</v>
      </c>
      <c r="C263" s="5">
        <f>IFERROR(__xludf.DUMMYFUNCTION("""COMPUTED_VALUE"""),43752.71789351852)</f>
        <v>43752.71789</v>
      </c>
      <c r="D263" s="4" t="str">
        <f>IFERROR(__xludf.DUMMYFUNCTION("""COMPUTED_VALUE"""),"RESOLVED")</f>
        <v>RESOLVED</v>
      </c>
      <c r="E263" s="6">
        <f>IFERROR(__xludf.DUMMYFUNCTION("""COMPUTED_VALUE"""),44384.788935185185)</f>
        <v>44384.78894</v>
      </c>
      <c r="F263" s="4" t="str">
        <f>IFERROR(__xludf.DUMMYFUNCTION("""COMPUTED_VALUE""")," ---")</f>
        <v> ---</v>
      </c>
      <c r="G263" s="4" t="str">
        <f>IFERROR(__xludf.DUMMYFUNCTION("""COMPUTED_VALUE"""),"SUSE Linux Enterprise Server 15 SP2")</f>
        <v>SUSE Linux Enterprise Server 15 SP2</v>
      </c>
      <c r="H263" s="7" t="str">
        <f t="shared" si="2"/>
        <v>NO</v>
      </c>
      <c r="I263" s="7" t="str">
        <f t="shared" si="3"/>
        <v>NO</v>
      </c>
    </row>
    <row r="264">
      <c r="A264" s="4">
        <f>IFERROR(__xludf.DUMMYFUNCTION("""COMPUTED_VALUE"""),1153956.0)</f>
        <v>1153956</v>
      </c>
      <c r="B264" s="4" t="str">
        <f>IFERROR(__xludf.DUMMYFUNCTION("""COMPUTED_VALUE"""),"P3 - Medium")</f>
        <v>P3 - Medium</v>
      </c>
      <c r="C264" s="5">
        <f>IFERROR(__xludf.DUMMYFUNCTION("""COMPUTED_VALUE"""),43752.71800925926)</f>
        <v>43752.71801</v>
      </c>
      <c r="D264" s="4" t="str">
        <f>IFERROR(__xludf.DUMMYFUNCTION("""COMPUTED_VALUE"""),"RESOLVED")</f>
        <v>RESOLVED</v>
      </c>
      <c r="E264" s="6">
        <f>IFERROR(__xludf.DUMMYFUNCTION("""COMPUTED_VALUE"""),44384.78900462963)</f>
        <v>44384.789</v>
      </c>
      <c r="F264" s="4" t="str">
        <f>IFERROR(__xludf.DUMMYFUNCTION("""COMPUTED_VALUE""")," ---")</f>
        <v> ---</v>
      </c>
      <c r="G264" s="4" t="str">
        <f>IFERROR(__xludf.DUMMYFUNCTION("""COMPUTED_VALUE"""),"SUSE Linux Enterprise Server 15 SP2")</f>
        <v>SUSE Linux Enterprise Server 15 SP2</v>
      </c>
      <c r="H264" s="7" t="str">
        <f t="shared" si="2"/>
        <v>NO</v>
      </c>
      <c r="I264" s="7" t="str">
        <f t="shared" si="3"/>
        <v>NO</v>
      </c>
    </row>
    <row r="265">
      <c r="A265" s="4">
        <f>IFERROR(__xludf.DUMMYFUNCTION("""COMPUTED_VALUE"""),1153957.0)</f>
        <v>1153957</v>
      </c>
      <c r="B265" s="4" t="str">
        <f>IFERROR(__xludf.DUMMYFUNCTION("""COMPUTED_VALUE"""),"P3 - Medium")</f>
        <v>P3 - Medium</v>
      </c>
      <c r="C265" s="5">
        <f>IFERROR(__xludf.DUMMYFUNCTION("""COMPUTED_VALUE"""),43752.72039351852)</f>
        <v>43752.72039</v>
      </c>
      <c r="D265" s="4" t="str">
        <f>IFERROR(__xludf.DUMMYFUNCTION("""COMPUTED_VALUE"""),"RESOLVED")</f>
        <v>RESOLVED</v>
      </c>
      <c r="E265" s="6">
        <f>IFERROR(__xludf.DUMMYFUNCTION("""COMPUTED_VALUE"""),44384.78907407408)</f>
        <v>44384.78907</v>
      </c>
      <c r="F265" s="4" t="str">
        <f>IFERROR(__xludf.DUMMYFUNCTION("""COMPUTED_VALUE""")," ---")</f>
        <v> ---</v>
      </c>
      <c r="G265" s="4" t="str">
        <f>IFERROR(__xludf.DUMMYFUNCTION("""COMPUTED_VALUE"""),"SUSE Linux Enterprise Server 15 SP2")</f>
        <v>SUSE Linux Enterprise Server 15 SP2</v>
      </c>
      <c r="H265" s="7" t="str">
        <f t="shared" si="2"/>
        <v>NO</v>
      </c>
      <c r="I265" s="7" t="str">
        <f t="shared" si="3"/>
        <v>NO</v>
      </c>
    </row>
    <row r="266">
      <c r="A266" s="4">
        <f>IFERROR(__xludf.DUMMYFUNCTION("""COMPUTED_VALUE"""),1153962.0)</f>
        <v>1153962</v>
      </c>
      <c r="B266" s="4" t="str">
        <f>IFERROR(__xludf.DUMMYFUNCTION("""COMPUTED_VALUE"""),"P3 - Medium")</f>
        <v>P3 - Medium</v>
      </c>
      <c r="C266" s="5">
        <f>IFERROR(__xludf.DUMMYFUNCTION("""COMPUTED_VALUE"""),43752.7912037037)</f>
        <v>43752.7912</v>
      </c>
      <c r="D266" s="4" t="str">
        <f>IFERROR(__xludf.DUMMYFUNCTION("""COMPUTED_VALUE"""),"RESOLVED")</f>
        <v>RESOLVED</v>
      </c>
      <c r="E266" s="6">
        <f>IFERROR(__xludf.DUMMYFUNCTION("""COMPUTED_VALUE"""),44384.78915509259)</f>
        <v>44384.78916</v>
      </c>
      <c r="F266" s="4" t="str">
        <f>IFERROR(__xludf.DUMMYFUNCTION("""COMPUTED_VALUE""")," ---")</f>
        <v> ---</v>
      </c>
      <c r="G266" s="4" t="str">
        <f>IFERROR(__xludf.DUMMYFUNCTION("""COMPUTED_VALUE"""),"SUSE Linux Enterprise Server 15 SP2")</f>
        <v>SUSE Linux Enterprise Server 15 SP2</v>
      </c>
      <c r="H266" s="7" t="str">
        <f t="shared" si="2"/>
        <v>NO</v>
      </c>
      <c r="I266" s="7" t="str">
        <f t="shared" si="3"/>
        <v>NO</v>
      </c>
    </row>
    <row r="267">
      <c r="A267" s="4">
        <f>IFERROR(__xludf.DUMMYFUNCTION("""COMPUTED_VALUE"""),1153963.0)</f>
        <v>1153963</v>
      </c>
      <c r="B267" s="4" t="str">
        <f>IFERROR(__xludf.DUMMYFUNCTION("""COMPUTED_VALUE"""),"P3 - Medium")</f>
        <v>P3 - Medium</v>
      </c>
      <c r="C267" s="5">
        <f>IFERROR(__xludf.DUMMYFUNCTION("""COMPUTED_VALUE"""),43752.791284722225)</f>
        <v>43752.79128</v>
      </c>
      <c r="D267" s="4" t="str">
        <f>IFERROR(__xludf.DUMMYFUNCTION("""COMPUTED_VALUE"""),"RESOLVED")</f>
        <v>RESOLVED</v>
      </c>
      <c r="E267" s="6">
        <f>IFERROR(__xludf.DUMMYFUNCTION("""COMPUTED_VALUE"""),44384.78922453704)</f>
        <v>44384.78922</v>
      </c>
      <c r="F267" s="4" t="str">
        <f>IFERROR(__xludf.DUMMYFUNCTION("""COMPUTED_VALUE""")," ---")</f>
        <v> ---</v>
      </c>
      <c r="G267" s="4" t="str">
        <f>IFERROR(__xludf.DUMMYFUNCTION("""COMPUTED_VALUE"""),"SUSE Linux Enterprise Server 15 SP2")</f>
        <v>SUSE Linux Enterprise Server 15 SP2</v>
      </c>
      <c r="H267" s="7" t="str">
        <f t="shared" si="2"/>
        <v>NO</v>
      </c>
      <c r="I267" s="7" t="str">
        <f t="shared" si="3"/>
        <v>NO</v>
      </c>
    </row>
    <row r="268">
      <c r="A268" s="4">
        <f>IFERROR(__xludf.DUMMYFUNCTION("""COMPUTED_VALUE"""),1153964.0)</f>
        <v>1153964</v>
      </c>
      <c r="B268" s="4" t="str">
        <f>IFERROR(__xludf.DUMMYFUNCTION("""COMPUTED_VALUE"""),"P3 - Medium")</f>
        <v>P3 - Medium</v>
      </c>
      <c r="C268" s="5">
        <f>IFERROR(__xludf.DUMMYFUNCTION("""COMPUTED_VALUE"""),43752.79138888889)</f>
        <v>43752.79139</v>
      </c>
      <c r="D268" s="4" t="str">
        <f>IFERROR(__xludf.DUMMYFUNCTION("""COMPUTED_VALUE"""),"RESOLVED")</f>
        <v>RESOLVED</v>
      </c>
      <c r="E268" s="6">
        <f>IFERROR(__xludf.DUMMYFUNCTION("""COMPUTED_VALUE"""),44384.789293981485)</f>
        <v>44384.78929</v>
      </c>
      <c r="F268" s="4" t="str">
        <f>IFERROR(__xludf.DUMMYFUNCTION("""COMPUTED_VALUE""")," ---")</f>
        <v> ---</v>
      </c>
      <c r="G268" s="4" t="str">
        <f>IFERROR(__xludf.DUMMYFUNCTION("""COMPUTED_VALUE"""),"SUSE Linux Enterprise Server 15 SP2")</f>
        <v>SUSE Linux Enterprise Server 15 SP2</v>
      </c>
      <c r="H268" s="7" t="str">
        <f t="shared" si="2"/>
        <v>NO</v>
      </c>
      <c r="I268" s="7" t="str">
        <f t="shared" si="3"/>
        <v>NO</v>
      </c>
    </row>
    <row r="269">
      <c r="A269" s="4">
        <f>IFERROR(__xludf.DUMMYFUNCTION("""COMPUTED_VALUE"""),1153965.0)</f>
        <v>1153965</v>
      </c>
      <c r="B269" s="4" t="str">
        <f>IFERROR(__xludf.DUMMYFUNCTION("""COMPUTED_VALUE"""),"P3 - Medium")</f>
        <v>P3 - Medium</v>
      </c>
      <c r="C269" s="5">
        <f>IFERROR(__xludf.DUMMYFUNCTION("""COMPUTED_VALUE"""),43752.79145833333)</f>
        <v>43752.79146</v>
      </c>
      <c r="D269" s="4" t="str">
        <f>IFERROR(__xludf.DUMMYFUNCTION("""COMPUTED_VALUE"""),"RESOLVED")</f>
        <v>RESOLVED</v>
      </c>
      <c r="E269" s="6">
        <f>IFERROR(__xludf.DUMMYFUNCTION("""COMPUTED_VALUE"""),44384.78936342592)</f>
        <v>44384.78936</v>
      </c>
      <c r="F269" s="4" t="str">
        <f>IFERROR(__xludf.DUMMYFUNCTION("""COMPUTED_VALUE""")," ---")</f>
        <v> ---</v>
      </c>
      <c r="G269" s="4" t="str">
        <f>IFERROR(__xludf.DUMMYFUNCTION("""COMPUTED_VALUE"""),"SUSE Linux Enterprise Server 15 SP2")</f>
        <v>SUSE Linux Enterprise Server 15 SP2</v>
      </c>
      <c r="H269" s="7" t="str">
        <f t="shared" si="2"/>
        <v>NO</v>
      </c>
      <c r="I269" s="7" t="str">
        <f t="shared" si="3"/>
        <v>NO</v>
      </c>
    </row>
    <row r="270">
      <c r="A270" s="4">
        <f>IFERROR(__xludf.DUMMYFUNCTION("""COMPUTED_VALUE"""),1158242.0)</f>
        <v>1158242</v>
      </c>
      <c r="B270" s="4" t="str">
        <f>IFERROR(__xludf.DUMMYFUNCTION("""COMPUTED_VALUE"""),"P3 - Medium")</f>
        <v>P3 - Medium</v>
      </c>
      <c r="C270" s="5">
        <f>IFERROR(__xludf.DUMMYFUNCTION("""COMPUTED_VALUE"""),43802.31076388889)</f>
        <v>43802.31076</v>
      </c>
      <c r="D270" s="4" t="str">
        <f>IFERROR(__xludf.DUMMYFUNCTION("""COMPUTED_VALUE"""),"RESOLVED")</f>
        <v>RESOLVED</v>
      </c>
      <c r="E270" s="6">
        <f>IFERROR(__xludf.DUMMYFUNCTION("""COMPUTED_VALUE"""),44384.79443287037)</f>
        <v>44384.79443</v>
      </c>
      <c r="F270" s="4" t="str">
        <f>IFERROR(__xludf.DUMMYFUNCTION("""COMPUTED_VALUE""")," ---")</f>
        <v> ---</v>
      </c>
      <c r="G270" s="4" t="str">
        <f>IFERROR(__xludf.DUMMYFUNCTION("""COMPUTED_VALUE"""),"SUSE Linux Enterprise Server 15 SP2")</f>
        <v>SUSE Linux Enterprise Server 15 SP2</v>
      </c>
      <c r="H270" s="7" t="str">
        <f t="shared" si="2"/>
        <v>NO</v>
      </c>
      <c r="I270" s="7" t="str">
        <f t="shared" si="3"/>
        <v>NO</v>
      </c>
    </row>
    <row r="271">
      <c r="A271" s="4">
        <f>IFERROR(__xludf.DUMMYFUNCTION("""COMPUTED_VALUE"""),1158630.0)</f>
        <v>1158630</v>
      </c>
      <c r="B271" s="4" t="str">
        <f>IFERROR(__xludf.DUMMYFUNCTION("""COMPUTED_VALUE"""),"P3 - Medium")</f>
        <v>P3 - Medium</v>
      </c>
      <c r="C271" s="5">
        <f>IFERROR(__xludf.DUMMYFUNCTION("""COMPUTED_VALUE"""),43805.369467592594)</f>
        <v>43805.36947</v>
      </c>
      <c r="D271" s="4" t="str">
        <f>IFERROR(__xludf.DUMMYFUNCTION("""COMPUTED_VALUE"""),"RESOLVED")</f>
        <v>RESOLVED</v>
      </c>
      <c r="E271" s="6">
        <f>IFERROR(__xludf.DUMMYFUNCTION("""COMPUTED_VALUE"""),44447.77539351852)</f>
        <v>44447.77539</v>
      </c>
      <c r="F271" s="4" t="str">
        <f>IFERROR(__xludf.DUMMYFUNCTION("""COMPUTED_VALUE""")," ---")</f>
        <v> ---</v>
      </c>
      <c r="G271" s="4" t="str">
        <f>IFERROR(__xludf.DUMMYFUNCTION("""COMPUTED_VALUE"""),"SUSE Linux Enterprise Server 15 SP2")</f>
        <v>SUSE Linux Enterprise Server 15 SP2</v>
      </c>
      <c r="H271" s="7" t="str">
        <f t="shared" si="2"/>
        <v>NO</v>
      </c>
      <c r="I271" s="7" t="str">
        <f t="shared" si="3"/>
        <v>NO</v>
      </c>
    </row>
    <row r="272">
      <c r="A272" s="4">
        <f>IFERROR(__xludf.DUMMYFUNCTION("""COMPUTED_VALUE"""),1164095.0)</f>
        <v>1164095</v>
      </c>
      <c r="B272" s="4" t="str">
        <f>IFERROR(__xludf.DUMMYFUNCTION("""COMPUTED_VALUE"""),"P3 - Medium")</f>
        <v>P3 - Medium</v>
      </c>
      <c r="C272" s="5">
        <f>IFERROR(__xludf.DUMMYFUNCTION("""COMPUTED_VALUE"""),43879.43226851852)</f>
        <v>43879.43227</v>
      </c>
      <c r="D272" s="4" t="str">
        <f>IFERROR(__xludf.DUMMYFUNCTION("""COMPUTED_VALUE"""),"RESOLVED")</f>
        <v>RESOLVED</v>
      </c>
      <c r="E272" s="6">
        <f>IFERROR(__xludf.DUMMYFUNCTION("""COMPUTED_VALUE"""),44384.80667824074)</f>
        <v>44384.80668</v>
      </c>
      <c r="F272" s="4" t="str">
        <f>IFERROR(__xludf.DUMMYFUNCTION("""COMPUTED_VALUE""")," ---")</f>
        <v> ---</v>
      </c>
      <c r="G272" s="4" t="str">
        <f>IFERROR(__xludf.DUMMYFUNCTION("""COMPUTED_VALUE"""),"SUSE Linux Enterprise Server 15 SP2")</f>
        <v>SUSE Linux Enterprise Server 15 SP2</v>
      </c>
      <c r="H272" s="7" t="str">
        <f t="shared" si="2"/>
        <v>NO</v>
      </c>
      <c r="I272" s="7" t="str">
        <f t="shared" si="3"/>
        <v>NO</v>
      </c>
    </row>
    <row r="273">
      <c r="A273" s="4">
        <f>IFERROR(__xludf.DUMMYFUNCTION("""COMPUTED_VALUE"""),1164482.0)</f>
        <v>1164482</v>
      </c>
      <c r="B273" s="4" t="str">
        <f>IFERROR(__xludf.DUMMYFUNCTION("""COMPUTED_VALUE"""),"P3 - Medium")</f>
        <v>P3 - Medium</v>
      </c>
      <c r="C273" s="5">
        <f>IFERROR(__xludf.DUMMYFUNCTION("""COMPUTED_VALUE"""),43881.568449074075)</f>
        <v>43881.56845</v>
      </c>
      <c r="D273" s="4" t="str">
        <f>IFERROR(__xludf.DUMMYFUNCTION("""COMPUTED_VALUE"""),"RESOLVED")</f>
        <v>RESOLVED</v>
      </c>
      <c r="E273" s="6">
        <f>IFERROR(__xludf.DUMMYFUNCTION("""COMPUTED_VALUE"""),44384.81628472222)</f>
        <v>44384.81628</v>
      </c>
      <c r="F273" s="4" t="str">
        <f>IFERROR(__xludf.DUMMYFUNCTION("""COMPUTED_VALUE""")," ---")</f>
        <v> ---</v>
      </c>
      <c r="G273" s="4" t="str">
        <f>IFERROR(__xludf.DUMMYFUNCTION("""COMPUTED_VALUE"""),"SUSE Linux Enterprise Server 15 SP2")</f>
        <v>SUSE Linux Enterprise Server 15 SP2</v>
      </c>
      <c r="H273" s="7" t="str">
        <f t="shared" si="2"/>
        <v>NO</v>
      </c>
      <c r="I273" s="7" t="str">
        <f t="shared" si="3"/>
        <v>NO</v>
      </c>
    </row>
    <row r="274">
      <c r="A274" s="4">
        <f>IFERROR(__xludf.DUMMYFUNCTION("""COMPUTED_VALUE"""),1166685.0)</f>
        <v>1166685</v>
      </c>
      <c r="B274" s="4" t="str">
        <f>IFERROR(__xludf.DUMMYFUNCTION("""COMPUTED_VALUE"""),"P3 - Medium")</f>
        <v>P3 - Medium</v>
      </c>
      <c r="C274" s="5">
        <f>IFERROR(__xludf.DUMMYFUNCTION("""COMPUTED_VALUE"""),43905.52693287037)</f>
        <v>43905.52693</v>
      </c>
      <c r="D274" s="4" t="str">
        <f>IFERROR(__xludf.DUMMYFUNCTION("""COMPUTED_VALUE"""),"RESOLVED")</f>
        <v>RESOLVED</v>
      </c>
      <c r="E274" s="6">
        <f>IFERROR(__xludf.DUMMYFUNCTION("""COMPUTED_VALUE"""),44384.82011574074)</f>
        <v>44384.82012</v>
      </c>
      <c r="F274" s="4" t="str">
        <f>IFERROR(__xludf.DUMMYFUNCTION("""COMPUTED_VALUE""")," ---")</f>
        <v> ---</v>
      </c>
      <c r="G274" s="4" t="str">
        <f>IFERROR(__xludf.DUMMYFUNCTION("""COMPUTED_VALUE"""),"SUSE Linux Enterprise Server 15 SP2")</f>
        <v>SUSE Linux Enterprise Server 15 SP2</v>
      </c>
      <c r="H274" s="7" t="str">
        <f t="shared" si="2"/>
        <v>NO</v>
      </c>
      <c r="I274" s="7" t="str">
        <f t="shared" si="3"/>
        <v>NO</v>
      </c>
    </row>
    <row r="275">
      <c r="A275" s="4">
        <f>IFERROR(__xludf.DUMMYFUNCTION("""COMPUTED_VALUE"""),1166686.0)</f>
        <v>1166686</v>
      </c>
      <c r="B275" s="4" t="str">
        <f>IFERROR(__xludf.DUMMYFUNCTION("""COMPUTED_VALUE"""),"P3 - Medium")</f>
        <v>P3 - Medium</v>
      </c>
      <c r="C275" s="5">
        <f>IFERROR(__xludf.DUMMYFUNCTION("""COMPUTED_VALUE"""),43905.52701388889)</f>
        <v>43905.52701</v>
      </c>
      <c r="D275" s="4" t="str">
        <f>IFERROR(__xludf.DUMMYFUNCTION("""COMPUTED_VALUE"""),"RESOLVED")</f>
        <v>RESOLVED</v>
      </c>
      <c r="E275" s="6">
        <f>IFERROR(__xludf.DUMMYFUNCTION("""COMPUTED_VALUE"""),44384.820185185185)</f>
        <v>44384.82019</v>
      </c>
      <c r="F275" s="4" t="str">
        <f>IFERROR(__xludf.DUMMYFUNCTION("""COMPUTED_VALUE""")," ---")</f>
        <v> ---</v>
      </c>
      <c r="G275" s="4" t="str">
        <f>IFERROR(__xludf.DUMMYFUNCTION("""COMPUTED_VALUE"""),"SUSE Linux Enterprise Server 15 SP2")</f>
        <v>SUSE Linux Enterprise Server 15 SP2</v>
      </c>
      <c r="H275" s="7" t="str">
        <f t="shared" si="2"/>
        <v>NO</v>
      </c>
      <c r="I275" s="7" t="str">
        <f t="shared" si="3"/>
        <v>NO</v>
      </c>
    </row>
    <row r="276">
      <c r="A276" s="4">
        <f>IFERROR(__xludf.DUMMYFUNCTION("""COMPUTED_VALUE"""),1166687.0)</f>
        <v>1166687</v>
      </c>
      <c r="B276" s="4" t="str">
        <f>IFERROR(__xludf.DUMMYFUNCTION("""COMPUTED_VALUE"""),"P3 - Medium")</f>
        <v>P3 - Medium</v>
      </c>
      <c r="C276" s="5">
        <f>IFERROR(__xludf.DUMMYFUNCTION("""COMPUTED_VALUE"""),43905.52715277778)</f>
        <v>43905.52715</v>
      </c>
      <c r="D276" s="4" t="str">
        <f>IFERROR(__xludf.DUMMYFUNCTION("""COMPUTED_VALUE"""),"RESOLVED")</f>
        <v>RESOLVED</v>
      </c>
      <c r="E276" s="6">
        <f>IFERROR(__xludf.DUMMYFUNCTION("""COMPUTED_VALUE"""),44384.82025462963)</f>
        <v>44384.82025</v>
      </c>
      <c r="F276" s="4" t="str">
        <f>IFERROR(__xludf.DUMMYFUNCTION("""COMPUTED_VALUE""")," ---")</f>
        <v> ---</v>
      </c>
      <c r="G276" s="4" t="str">
        <f>IFERROR(__xludf.DUMMYFUNCTION("""COMPUTED_VALUE"""),"SUSE Linux Enterprise Server 15 SP2")</f>
        <v>SUSE Linux Enterprise Server 15 SP2</v>
      </c>
      <c r="H276" s="7" t="str">
        <f t="shared" si="2"/>
        <v>NO</v>
      </c>
      <c r="I276" s="7" t="str">
        <f t="shared" si="3"/>
        <v>NO</v>
      </c>
    </row>
    <row r="277">
      <c r="A277" s="4">
        <f>IFERROR(__xludf.DUMMYFUNCTION("""COMPUTED_VALUE"""),1172169.0)</f>
        <v>1172169</v>
      </c>
      <c r="B277" s="4" t="str">
        <f>IFERROR(__xludf.DUMMYFUNCTION("""COMPUTED_VALUE"""),"P3 - Medium")</f>
        <v>P3 - Medium</v>
      </c>
      <c r="C277" s="5">
        <f>IFERROR(__xludf.DUMMYFUNCTION("""COMPUTED_VALUE"""),43978.43751157408)</f>
        <v>43978.43751</v>
      </c>
      <c r="D277" s="4" t="str">
        <f>IFERROR(__xludf.DUMMYFUNCTION("""COMPUTED_VALUE"""),"RESOLVED")</f>
        <v>RESOLVED</v>
      </c>
      <c r="E277" s="6">
        <f>IFERROR(__xludf.DUMMYFUNCTION("""COMPUTED_VALUE"""),44384.83298611111)</f>
        <v>44384.83299</v>
      </c>
      <c r="F277" s="4" t="str">
        <f>IFERROR(__xludf.DUMMYFUNCTION("""COMPUTED_VALUE""")," ---")</f>
        <v> ---</v>
      </c>
      <c r="G277" s="4" t="str">
        <f>IFERROR(__xludf.DUMMYFUNCTION("""COMPUTED_VALUE"""),"SUSE Linux Enterprise Server 15 SP2")</f>
        <v>SUSE Linux Enterprise Server 15 SP2</v>
      </c>
      <c r="H277" s="7" t="str">
        <f t="shared" si="2"/>
        <v>NO</v>
      </c>
      <c r="I277" s="7" t="str">
        <f t="shared" si="3"/>
        <v>NO</v>
      </c>
    </row>
    <row r="278">
      <c r="A278" s="4">
        <f>IFERROR(__xludf.DUMMYFUNCTION("""COMPUTED_VALUE"""),1172170.0)</f>
        <v>1172170</v>
      </c>
      <c r="B278" s="4" t="str">
        <f>IFERROR(__xludf.DUMMYFUNCTION("""COMPUTED_VALUE"""),"P3 - Medium")</f>
        <v>P3 - Medium</v>
      </c>
      <c r="C278" s="5">
        <f>IFERROR(__xludf.DUMMYFUNCTION("""COMPUTED_VALUE"""),43978.43923611111)</f>
        <v>43978.43924</v>
      </c>
      <c r="D278" s="4" t="str">
        <f>IFERROR(__xludf.DUMMYFUNCTION("""COMPUTED_VALUE"""),"RESOLVED")</f>
        <v>RESOLVED</v>
      </c>
      <c r="E278" s="6">
        <f>IFERROR(__xludf.DUMMYFUNCTION("""COMPUTED_VALUE"""),44384.83305555556)</f>
        <v>44384.83306</v>
      </c>
      <c r="F278" s="4" t="str">
        <f>IFERROR(__xludf.DUMMYFUNCTION("""COMPUTED_VALUE""")," ---")</f>
        <v> ---</v>
      </c>
      <c r="G278" s="4" t="str">
        <f>IFERROR(__xludf.DUMMYFUNCTION("""COMPUTED_VALUE"""),"SUSE Linux Enterprise Server 15 SP2")</f>
        <v>SUSE Linux Enterprise Server 15 SP2</v>
      </c>
      <c r="H278" s="7" t="str">
        <f t="shared" si="2"/>
        <v>NO</v>
      </c>
      <c r="I278" s="7" t="str">
        <f t="shared" si="3"/>
        <v>NO</v>
      </c>
    </row>
    <row r="279">
      <c r="A279" s="4">
        <f>IFERROR(__xludf.DUMMYFUNCTION("""COMPUTED_VALUE"""),1159522.0)</f>
        <v>1159522</v>
      </c>
      <c r="B279" s="4" t="str">
        <f>IFERROR(__xludf.DUMMYFUNCTION("""COMPUTED_VALUE"""),"P3 - Medium")</f>
        <v>P3 - Medium</v>
      </c>
      <c r="C279" s="5">
        <f>IFERROR(__xludf.DUMMYFUNCTION("""COMPUTED_VALUE"""),43818.244166666664)</f>
        <v>43818.24417</v>
      </c>
      <c r="D279" s="4" t="str">
        <f>IFERROR(__xludf.DUMMYFUNCTION("""COMPUTED_VALUE"""),"RESOLVED")</f>
        <v>RESOLVED</v>
      </c>
      <c r="E279" s="6">
        <f>IFERROR(__xludf.DUMMYFUNCTION("""COMPUTED_VALUE"""),44384.797326388885)</f>
        <v>44384.79733</v>
      </c>
      <c r="F279" s="4" t="str">
        <f>IFERROR(__xludf.DUMMYFUNCTION("""COMPUTED_VALUE""")," ---")</f>
        <v> ---</v>
      </c>
      <c r="G279" s="4" t="str">
        <f>IFERROR(__xludf.DUMMYFUNCTION("""COMPUTED_VALUE"""),"SUSE Linux Enterprise Server 15 SP2")</f>
        <v>SUSE Linux Enterprise Server 15 SP2</v>
      </c>
      <c r="H279" s="7" t="str">
        <f t="shared" si="2"/>
        <v>NO</v>
      </c>
      <c r="I279" s="7" t="str">
        <f t="shared" si="3"/>
        <v>NO</v>
      </c>
    </row>
    <row r="280">
      <c r="A280" s="4">
        <f>IFERROR(__xludf.DUMMYFUNCTION("""COMPUTED_VALUE"""),1171544.0)</f>
        <v>1171544</v>
      </c>
      <c r="B280" s="4" t="str">
        <f>IFERROR(__xludf.DUMMYFUNCTION("""COMPUTED_VALUE"""),"P3 - Medium")</f>
        <v>P3 - Medium</v>
      </c>
      <c r="C280" s="5">
        <f>IFERROR(__xludf.DUMMYFUNCTION("""COMPUTED_VALUE"""),43964.27559027778)</f>
        <v>43964.27559</v>
      </c>
      <c r="D280" s="4" t="str">
        <f>IFERROR(__xludf.DUMMYFUNCTION("""COMPUTED_VALUE"""),"RESOLVED")</f>
        <v>RESOLVED</v>
      </c>
      <c r="E280" s="6">
        <f>IFERROR(__xludf.DUMMYFUNCTION("""COMPUTED_VALUE"""),44097.18711805555)</f>
        <v>44097.18712</v>
      </c>
      <c r="F280" s="4" t="str">
        <f>IFERROR(__xludf.DUMMYFUNCTION("""COMPUTED_VALUE""")," ---")</f>
        <v> ---</v>
      </c>
      <c r="G280" s="4" t="str">
        <f>IFERROR(__xludf.DUMMYFUNCTION("""COMPUTED_VALUE"""),"SUSE Linux Enterprise Server 15 SP2")</f>
        <v>SUSE Linux Enterprise Server 15 SP2</v>
      </c>
      <c r="H280" s="7" t="str">
        <f t="shared" si="2"/>
        <v>NO</v>
      </c>
      <c r="I280" s="7" t="str">
        <f t="shared" si="3"/>
        <v>NO</v>
      </c>
    </row>
    <row r="281">
      <c r="A281" s="4">
        <f>IFERROR(__xludf.DUMMYFUNCTION("""COMPUTED_VALUE"""),1162732.0)</f>
        <v>1162732</v>
      </c>
      <c r="B281" s="4" t="str">
        <f>IFERROR(__xludf.DUMMYFUNCTION("""COMPUTED_VALUE"""),"P3 - Medium")</f>
        <v>P3 - Medium</v>
      </c>
      <c r="C281" s="5">
        <f>IFERROR(__xludf.DUMMYFUNCTION("""COMPUTED_VALUE"""),43866.05005787037)</f>
        <v>43866.05006</v>
      </c>
      <c r="D281" s="4" t="str">
        <f>IFERROR(__xludf.DUMMYFUNCTION("""COMPUTED_VALUE"""),"RESOLVED")</f>
        <v>RESOLVED</v>
      </c>
      <c r="E281" s="6">
        <f>IFERROR(__xludf.DUMMYFUNCTION("""COMPUTED_VALUE"""),44435.2896412037)</f>
        <v>44435.28964</v>
      </c>
      <c r="F281" s="4" t="str">
        <f>IFERROR(__xludf.DUMMYFUNCTION("""COMPUTED_VALUE""")," ---")</f>
        <v> ---</v>
      </c>
      <c r="G281" s="4" t="str">
        <f>IFERROR(__xludf.DUMMYFUNCTION("""COMPUTED_VALUE"""),"SUSE Linux Enterprise Server 15 SP2")</f>
        <v>SUSE Linux Enterprise Server 15 SP2</v>
      </c>
      <c r="H281" s="7" t="str">
        <f t="shared" si="2"/>
        <v>NO</v>
      </c>
      <c r="I281" s="7" t="str">
        <f t="shared" si="3"/>
        <v>NO</v>
      </c>
    </row>
    <row r="282">
      <c r="A282" s="4">
        <f>IFERROR(__xludf.DUMMYFUNCTION("""COMPUTED_VALUE"""),1163762.0)</f>
        <v>1163762</v>
      </c>
      <c r="B282" s="4" t="str">
        <f>IFERROR(__xludf.DUMMYFUNCTION("""COMPUTED_VALUE"""),"P3 - Medium")</f>
        <v>P3 - Medium</v>
      </c>
      <c r="C282" s="5">
        <f>IFERROR(__xludf.DUMMYFUNCTION("""COMPUTED_VALUE"""),43877.58059027778)</f>
        <v>43877.58059</v>
      </c>
      <c r="D282" s="4" t="str">
        <f>IFERROR(__xludf.DUMMYFUNCTION("""COMPUTED_VALUE"""),"RESOLVED")</f>
        <v>RESOLVED</v>
      </c>
      <c r="E282" s="6">
        <f>IFERROR(__xludf.DUMMYFUNCTION("""COMPUTED_VALUE"""),44624.91748842593)</f>
        <v>44624.91749</v>
      </c>
      <c r="F282" s="4" t="str">
        <f>IFERROR(__xludf.DUMMYFUNCTION("""COMPUTED_VALUE""")," ---")</f>
        <v> ---</v>
      </c>
      <c r="G282" s="4" t="str">
        <f>IFERROR(__xludf.DUMMYFUNCTION("""COMPUTED_VALUE"""),"SUSE Linux Enterprise Server 15 SP2")</f>
        <v>SUSE Linux Enterprise Server 15 SP2</v>
      </c>
      <c r="H282" s="7" t="str">
        <f t="shared" si="2"/>
        <v>NO</v>
      </c>
      <c r="I282" s="7" t="str">
        <f t="shared" si="3"/>
        <v>NO</v>
      </c>
    </row>
    <row r="283">
      <c r="A283" s="4">
        <f>IFERROR(__xludf.DUMMYFUNCTION("""COMPUTED_VALUE"""),1169493.0)</f>
        <v>1169493</v>
      </c>
      <c r="B283" s="4" t="str">
        <f>IFERROR(__xludf.DUMMYFUNCTION("""COMPUTED_VALUE"""),"P3 - Medium")</f>
        <v>P3 - Medium</v>
      </c>
      <c r="C283" s="5">
        <f>IFERROR(__xludf.DUMMYFUNCTION("""COMPUTED_VALUE"""),43936.04782407408)</f>
        <v>43936.04782</v>
      </c>
      <c r="D283" s="4" t="str">
        <f>IFERROR(__xludf.DUMMYFUNCTION("""COMPUTED_VALUE"""),"RESOLVED")</f>
        <v>RESOLVED</v>
      </c>
      <c r="E283" s="6">
        <f>IFERROR(__xludf.DUMMYFUNCTION("""COMPUTED_VALUE"""),44384.82555555556)</f>
        <v>44384.82556</v>
      </c>
      <c r="F283" s="4" t="str">
        <f>IFERROR(__xludf.DUMMYFUNCTION("""COMPUTED_VALUE""")," ---")</f>
        <v> ---</v>
      </c>
      <c r="G283" s="4" t="str">
        <f>IFERROR(__xludf.DUMMYFUNCTION("""COMPUTED_VALUE"""),"SUSE Linux Enterprise Server 15 SP2")</f>
        <v>SUSE Linux Enterprise Server 15 SP2</v>
      </c>
      <c r="H283" s="7" t="str">
        <f t="shared" si="2"/>
        <v>NO</v>
      </c>
      <c r="I283" s="7" t="str">
        <f t="shared" si="3"/>
        <v>NO</v>
      </c>
    </row>
    <row r="284">
      <c r="A284" s="4">
        <f>IFERROR(__xludf.DUMMYFUNCTION("""COMPUTED_VALUE"""),1171073.0)</f>
        <v>1171073</v>
      </c>
      <c r="B284" s="4" t="str">
        <f>IFERROR(__xludf.DUMMYFUNCTION("""COMPUTED_VALUE"""),"P3 - Medium")</f>
        <v>P3 - Medium</v>
      </c>
      <c r="C284" s="5">
        <f>IFERROR(__xludf.DUMMYFUNCTION("""COMPUTED_VALUE"""),43955.53417824074)</f>
        <v>43955.53418</v>
      </c>
      <c r="D284" s="4" t="str">
        <f>IFERROR(__xludf.DUMMYFUNCTION("""COMPUTED_VALUE"""),"RESOLVED")</f>
        <v>RESOLVED</v>
      </c>
      <c r="E284" s="6">
        <f>IFERROR(__xludf.DUMMYFUNCTION("""COMPUTED_VALUE"""),44384.82678240741)</f>
        <v>44384.82678</v>
      </c>
      <c r="F284" s="4" t="str">
        <f>IFERROR(__xludf.DUMMYFUNCTION("""COMPUTED_VALUE""")," ---")</f>
        <v> ---</v>
      </c>
      <c r="G284" s="4" t="str">
        <f>IFERROR(__xludf.DUMMYFUNCTION("""COMPUTED_VALUE"""),"SUSE Linux Enterprise Server 15 SP2")</f>
        <v>SUSE Linux Enterprise Server 15 SP2</v>
      </c>
      <c r="H284" s="7" t="str">
        <f t="shared" si="2"/>
        <v>NO</v>
      </c>
      <c r="I284" s="7" t="str">
        <f t="shared" si="3"/>
        <v>NO</v>
      </c>
    </row>
    <row r="285">
      <c r="A285" s="4">
        <f>IFERROR(__xludf.DUMMYFUNCTION("""COMPUTED_VALUE"""),1162702.0)</f>
        <v>1162702</v>
      </c>
      <c r="B285" s="4" t="str">
        <f>IFERROR(__xludf.DUMMYFUNCTION("""COMPUTED_VALUE"""),"P3 - Medium")</f>
        <v>P3 - Medium</v>
      </c>
      <c r="C285" s="5">
        <f>IFERROR(__xludf.DUMMYFUNCTION("""COMPUTED_VALUE"""),43865.72201388889)</f>
        <v>43865.72201</v>
      </c>
      <c r="D285" s="4" t="str">
        <f>IFERROR(__xludf.DUMMYFUNCTION("""COMPUTED_VALUE"""),"RESOLVED")</f>
        <v>RESOLVED</v>
      </c>
      <c r="E285" s="6">
        <f>IFERROR(__xludf.DUMMYFUNCTION("""COMPUTED_VALUE"""),44384.80353009259)</f>
        <v>44384.80353</v>
      </c>
      <c r="F285" s="4" t="str">
        <f>IFERROR(__xludf.DUMMYFUNCTION("""COMPUTED_VALUE""")," ---")</f>
        <v> ---</v>
      </c>
      <c r="G285" s="4" t="str">
        <f>IFERROR(__xludf.DUMMYFUNCTION("""COMPUTED_VALUE"""),"SUSE Linux Enterprise Real Time 15 SP2")</f>
        <v>SUSE Linux Enterprise Real Time 15 SP2</v>
      </c>
      <c r="H285" s="7" t="str">
        <f t="shared" si="2"/>
        <v>NO</v>
      </c>
      <c r="I285" s="7" t="str">
        <f t="shared" si="3"/>
        <v>NO</v>
      </c>
    </row>
    <row r="286">
      <c r="A286" s="4">
        <f>IFERROR(__xludf.DUMMYFUNCTION("""COMPUTED_VALUE"""),1170891.0)</f>
        <v>1170891</v>
      </c>
      <c r="B286" s="4" t="str">
        <f>IFERROR(__xludf.DUMMYFUNCTION("""COMPUTED_VALUE"""),"P3 - Medium")</f>
        <v>P3 - Medium</v>
      </c>
      <c r="C286" s="5">
        <f>IFERROR(__xludf.DUMMYFUNCTION("""COMPUTED_VALUE"""),43951.332291666666)</f>
        <v>43951.33229</v>
      </c>
      <c r="D286" s="4" t="str">
        <f>IFERROR(__xludf.DUMMYFUNCTION("""COMPUTED_VALUE"""),"RESOLVED")</f>
        <v>RESOLVED</v>
      </c>
      <c r="E286" s="6">
        <f>IFERROR(__xludf.DUMMYFUNCTION("""COMPUTED_VALUE"""),44384.82645833334)</f>
        <v>44384.82646</v>
      </c>
      <c r="F286" s="4" t="str">
        <f>IFERROR(__xludf.DUMMYFUNCTION("""COMPUTED_VALUE""")," ---")</f>
        <v> ---</v>
      </c>
      <c r="G286" s="4" t="str">
        <f>IFERROR(__xludf.DUMMYFUNCTION("""COMPUTED_VALUE"""),"SUSE Linux Enterprise Server 15 SP2")</f>
        <v>SUSE Linux Enterprise Server 15 SP2</v>
      </c>
      <c r="H286" s="7" t="str">
        <f t="shared" si="2"/>
        <v>NO</v>
      </c>
      <c r="I286" s="7" t="str">
        <f t="shared" si="3"/>
        <v>NO</v>
      </c>
    </row>
    <row r="287">
      <c r="A287" s="4">
        <f>IFERROR(__xludf.DUMMYFUNCTION("""COMPUTED_VALUE"""),1171828.0)</f>
        <v>1171828</v>
      </c>
      <c r="B287" s="4" t="str">
        <f>IFERROR(__xludf.DUMMYFUNCTION("""COMPUTED_VALUE"""),"P3 - Medium")</f>
        <v>P3 - Medium</v>
      </c>
      <c r="C287" s="5">
        <f>IFERROR(__xludf.DUMMYFUNCTION("""COMPUTED_VALUE"""),43969.472905092596)</f>
        <v>43969.47291</v>
      </c>
      <c r="D287" s="4" t="str">
        <f>IFERROR(__xludf.DUMMYFUNCTION("""COMPUTED_VALUE"""),"RESOLVED")</f>
        <v>RESOLVED</v>
      </c>
      <c r="E287" s="6">
        <f>IFERROR(__xludf.DUMMYFUNCTION("""COMPUTED_VALUE"""),44384.83128472222)</f>
        <v>44384.83128</v>
      </c>
      <c r="F287" s="4" t="str">
        <f>IFERROR(__xludf.DUMMYFUNCTION("""COMPUTED_VALUE""")," ---")</f>
        <v> ---</v>
      </c>
      <c r="G287" s="4" t="str">
        <f>IFERROR(__xludf.DUMMYFUNCTION("""COMPUTED_VALUE"""),"SUSE Linux Enterprise Server 15 SP2")</f>
        <v>SUSE Linux Enterprise Server 15 SP2</v>
      </c>
      <c r="H287" s="7" t="str">
        <f t="shared" si="2"/>
        <v>NO</v>
      </c>
      <c r="I287" s="7" t="str">
        <f t="shared" si="3"/>
        <v>NO</v>
      </c>
    </row>
    <row r="288">
      <c r="A288" s="4">
        <f>IFERROR(__xludf.DUMMYFUNCTION("""COMPUTED_VALUE"""),1173068.0)</f>
        <v>1173068</v>
      </c>
      <c r="B288" s="4" t="str">
        <f>IFERROR(__xludf.DUMMYFUNCTION("""COMPUTED_VALUE"""),"P3 - Medium")</f>
        <v>P3 - Medium</v>
      </c>
      <c r="C288" s="5">
        <f>IFERROR(__xludf.DUMMYFUNCTION("""COMPUTED_VALUE"""),43999.50534722222)</f>
        <v>43999.50535</v>
      </c>
      <c r="D288" s="4" t="str">
        <f>IFERROR(__xludf.DUMMYFUNCTION("""COMPUTED_VALUE"""),"RESOLVED")</f>
        <v>RESOLVED</v>
      </c>
      <c r="E288" s="6">
        <f>IFERROR(__xludf.DUMMYFUNCTION("""COMPUTED_VALUE"""),44384.83557870371)</f>
        <v>44384.83558</v>
      </c>
      <c r="F288" s="4" t="str">
        <f>IFERROR(__xludf.DUMMYFUNCTION("""COMPUTED_VALUE""")," ---")</f>
        <v> ---</v>
      </c>
      <c r="G288" s="4" t="str">
        <f>IFERROR(__xludf.DUMMYFUNCTION("""COMPUTED_VALUE"""),"SUSE Linux Enterprise Server 15 SP2")</f>
        <v>SUSE Linux Enterprise Server 15 SP2</v>
      </c>
      <c r="H288" s="7" t="str">
        <f t="shared" si="2"/>
        <v>NO</v>
      </c>
      <c r="I288" s="7" t="str">
        <f t="shared" si="3"/>
        <v>NO</v>
      </c>
    </row>
    <row r="289">
      <c r="A289" s="4">
        <f>IFERROR(__xludf.DUMMYFUNCTION("""COMPUTED_VALUE"""),1149032.0)</f>
        <v>1149032</v>
      </c>
      <c r="B289" s="4" t="str">
        <f>IFERROR(__xludf.DUMMYFUNCTION("""COMPUTED_VALUE"""),"P3 - Medium")</f>
        <v>P3 - Medium</v>
      </c>
      <c r="C289" s="5">
        <f>IFERROR(__xludf.DUMMYFUNCTION("""COMPUTED_VALUE"""),43707.76163194444)</f>
        <v>43707.76163</v>
      </c>
      <c r="D289" s="4" t="str">
        <f>IFERROR(__xludf.DUMMYFUNCTION("""COMPUTED_VALUE"""),"RESOLVED")</f>
        <v>RESOLVED</v>
      </c>
      <c r="E289" s="6">
        <f>IFERROR(__xludf.DUMMYFUNCTION("""COMPUTED_VALUE"""),44624.90675925926)</f>
        <v>44624.90676</v>
      </c>
      <c r="F289" s="4" t="str">
        <f>IFERROR(__xludf.DUMMYFUNCTION("""COMPUTED_VALUE""")," ---")</f>
        <v> ---</v>
      </c>
      <c r="G289" s="4" t="str">
        <f>IFERROR(__xludf.DUMMYFUNCTION("""COMPUTED_VALUE"""),"SUSE Linux Enterprise Server 15 SP2")</f>
        <v>SUSE Linux Enterprise Server 15 SP2</v>
      </c>
      <c r="H289" s="7" t="str">
        <f t="shared" si="2"/>
        <v>NO</v>
      </c>
      <c r="I289" s="7" t="str">
        <f t="shared" si="3"/>
        <v>NO</v>
      </c>
    </row>
    <row r="290">
      <c r="A290" s="4">
        <f>IFERROR(__xludf.DUMMYFUNCTION("""COMPUTED_VALUE"""),1154536.0)</f>
        <v>1154536</v>
      </c>
      <c r="B290" s="4" t="str">
        <f>IFERROR(__xludf.DUMMYFUNCTION("""COMPUTED_VALUE"""),"P3 - Medium")</f>
        <v>P3 - Medium</v>
      </c>
      <c r="C290" s="5">
        <f>IFERROR(__xludf.DUMMYFUNCTION("""COMPUTED_VALUE"""),43757.755844907406)</f>
        <v>43757.75584</v>
      </c>
      <c r="D290" s="4" t="str">
        <f>IFERROR(__xludf.DUMMYFUNCTION("""COMPUTED_VALUE"""),"RESOLVED")</f>
        <v>RESOLVED</v>
      </c>
      <c r="E290" s="6">
        <f>IFERROR(__xludf.DUMMYFUNCTION("""COMPUTED_VALUE"""),44384.78994212963)</f>
        <v>44384.78994</v>
      </c>
      <c r="F290" s="4" t="str">
        <f>IFERROR(__xludf.DUMMYFUNCTION("""COMPUTED_VALUE""")," ---")</f>
        <v> ---</v>
      </c>
      <c r="G290" s="4" t="str">
        <f>IFERROR(__xludf.DUMMYFUNCTION("""COMPUTED_VALUE"""),"SUSE Linux Enterprise Server 15 SP2")</f>
        <v>SUSE Linux Enterprise Server 15 SP2</v>
      </c>
      <c r="H290" s="7" t="str">
        <f t="shared" si="2"/>
        <v>NO</v>
      </c>
      <c r="I290" s="7" t="str">
        <f t="shared" si="3"/>
        <v>NO</v>
      </c>
    </row>
    <row r="291">
      <c r="A291" s="4">
        <f>IFERROR(__xludf.DUMMYFUNCTION("""COMPUTED_VALUE"""),1154772.0)</f>
        <v>1154772</v>
      </c>
      <c r="B291" s="4" t="str">
        <f>IFERROR(__xludf.DUMMYFUNCTION("""COMPUTED_VALUE"""),"P3 - Medium")</f>
        <v>P3 - Medium</v>
      </c>
      <c r="C291" s="5">
        <f>IFERROR(__xludf.DUMMYFUNCTION("""COMPUTED_VALUE"""),43760.69527777778)</f>
        <v>43760.69528</v>
      </c>
      <c r="D291" s="4" t="str">
        <f>IFERROR(__xludf.DUMMYFUNCTION("""COMPUTED_VALUE"""),"RESOLVED")</f>
        <v>RESOLVED</v>
      </c>
      <c r="E291" s="6">
        <f>IFERROR(__xludf.DUMMYFUNCTION("""COMPUTED_VALUE"""),44384.79112268519)</f>
        <v>44384.79112</v>
      </c>
      <c r="F291" s="4" t="str">
        <f>IFERROR(__xludf.DUMMYFUNCTION("""COMPUTED_VALUE""")," ---")</f>
        <v> ---</v>
      </c>
      <c r="G291" s="4" t="str">
        <f>IFERROR(__xludf.DUMMYFUNCTION("""COMPUTED_VALUE"""),"SUSE Linux Enterprise Server 15 SP2")</f>
        <v>SUSE Linux Enterprise Server 15 SP2</v>
      </c>
      <c r="H291" s="7" t="str">
        <f t="shared" si="2"/>
        <v>NO</v>
      </c>
      <c r="I291" s="7" t="str">
        <f t="shared" si="3"/>
        <v>NO</v>
      </c>
    </row>
    <row r="292">
      <c r="A292" s="4">
        <f>IFERROR(__xludf.DUMMYFUNCTION("""COMPUTED_VALUE"""),1155364.0)</f>
        <v>1155364</v>
      </c>
      <c r="B292" s="4" t="str">
        <f>IFERROR(__xludf.DUMMYFUNCTION("""COMPUTED_VALUE"""),"P3 - Medium")</f>
        <v>P3 - Medium</v>
      </c>
      <c r="C292" s="5">
        <f>IFERROR(__xludf.DUMMYFUNCTION("""COMPUTED_VALUE"""),43767.820243055554)</f>
        <v>43767.82024</v>
      </c>
      <c r="D292" s="4" t="str">
        <f>IFERROR(__xludf.DUMMYFUNCTION("""COMPUTED_VALUE"""),"RESOLVED")</f>
        <v>RESOLVED</v>
      </c>
      <c r="E292" s="6">
        <f>IFERROR(__xludf.DUMMYFUNCTION("""COMPUTED_VALUE"""),44384.79133101852)</f>
        <v>44384.79133</v>
      </c>
      <c r="F292" s="4" t="str">
        <f>IFERROR(__xludf.DUMMYFUNCTION("""COMPUTED_VALUE""")," ---")</f>
        <v> ---</v>
      </c>
      <c r="G292" s="4" t="str">
        <f>IFERROR(__xludf.DUMMYFUNCTION("""COMPUTED_VALUE"""),"SUSE Linux Enterprise Server 15 SP2")</f>
        <v>SUSE Linux Enterprise Server 15 SP2</v>
      </c>
      <c r="H292" s="7" t="str">
        <f t="shared" si="2"/>
        <v>NO</v>
      </c>
      <c r="I292" s="7" t="str">
        <f t="shared" si="3"/>
        <v>NO</v>
      </c>
    </row>
    <row r="293">
      <c r="A293" s="4">
        <f>IFERROR(__xludf.DUMMYFUNCTION("""COMPUTED_VALUE"""),1159886.0)</f>
        <v>1159886</v>
      </c>
      <c r="B293" s="4" t="str">
        <f>IFERROR(__xludf.DUMMYFUNCTION("""COMPUTED_VALUE"""),"P3 - Medium")</f>
        <v>P3 - Medium</v>
      </c>
      <c r="C293" s="5">
        <f>IFERROR(__xludf.DUMMYFUNCTION("""COMPUTED_VALUE"""),43828.84539351852)</f>
        <v>43828.84539</v>
      </c>
      <c r="D293" s="4" t="str">
        <f>IFERROR(__xludf.DUMMYFUNCTION("""COMPUTED_VALUE"""),"RESOLVED")</f>
        <v>RESOLVED</v>
      </c>
      <c r="E293" s="6">
        <f>IFERROR(__xludf.DUMMYFUNCTION("""COMPUTED_VALUE"""),44487.683287037034)</f>
        <v>44487.68329</v>
      </c>
      <c r="F293" s="4" t="str">
        <f>IFERROR(__xludf.DUMMYFUNCTION("""COMPUTED_VALUE""")," ---")</f>
        <v> ---</v>
      </c>
      <c r="G293" s="4" t="str">
        <f>IFERROR(__xludf.DUMMYFUNCTION("""COMPUTED_VALUE"""),"SUSE Linux Enterprise Server 15 SP2")</f>
        <v>SUSE Linux Enterprise Server 15 SP2</v>
      </c>
      <c r="H293" s="7" t="str">
        <f t="shared" si="2"/>
        <v>YES</v>
      </c>
      <c r="I293" s="7" t="str">
        <f t="shared" si="3"/>
        <v>NO</v>
      </c>
    </row>
    <row r="294">
      <c r="A294" s="4">
        <f>IFERROR(__xludf.DUMMYFUNCTION("""COMPUTED_VALUE"""),1163388.0)</f>
        <v>1163388</v>
      </c>
      <c r="B294" s="4" t="str">
        <f>IFERROR(__xludf.DUMMYFUNCTION("""COMPUTED_VALUE"""),"P3 - Medium")</f>
        <v>P3 - Medium</v>
      </c>
      <c r="C294" s="5">
        <f>IFERROR(__xludf.DUMMYFUNCTION("""COMPUTED_VALUE"""),43872.666550925926)</f>
        <v>43872.66655</v>
      </c>
      <c r="D294" s="4" t="str">
        <f>IFERROR(__xludf.DUMMYFUNCTION("""COMPUTED_VALUE"""),"RESOLVED")</f>
        <v>RESOLVED</v>
      </c>
      <c r="E294" s="6">
        <f>IFERROR(__xludf.DUMMYFUNCTION("""COMPUTED_VALUE"""),44384.80383101852)</f>
        <v>44384.80383</v>
      </c>
      <c r="F294" s="4" t="str">
        <f>IFERROR(__xludf.DUMMYFUNCTION("""COMPUTED_VALUE""")," ---")</f>
        <v> ---</v>
      </c>
      <c r="G294" s="4" t="str">
        <f>IFERROR(__xludf.DUMMYFUNCTION("""COMPUTED_VALUE"""),"SUSE Linux Enterprise Server 15 SP2")</f>
        <v>SUSE Linux Enterprise Server 15 SP2</v>
      </c>
      <c r="H294" s="7" t="str">
        <f t="shared" si="2"/>
        <v>NO</v>
      </c>
      <c r="I294" s="7" t="str">
        <f t="shared" si="3"/>
        <v>NO</v>
      </c>
    </row>
    <row r="295">
      <c r="A295" s="4">
        <f>IFERROR(__xludf.DUMMYFUNCTION("""COMPUTED_VALUE"""),1164648.0)</f>
        <v>1164648</v>
      </c>
      <c r="B295" s="4" t="str">
        <f>IFERROR(__xludf.DUMMYFUNCTION("""COMPUTED_VALUE"""),"P3 - Medium")</f>
        <v>P3 - Medium</v>
      </c>
      <c r="C295" s="5">
        <f>IFERROR(__xludf.DUMMYFUNCTION("""COMPUTED_VALUE"""),43885.037881944445)</f>
        <v>43885.03788</v>
      </c>
      <c r="D295" s="4" t="str">
        <f>IFERROR(__xludf.DUMMYFUNCTION("""COMPUTED_VALUE"""),"RESOLVED")</f>
        <v>RESOLVED</v>
      </c>
      <c r="E295" s="6">
        <f>IFERROR(__xludf.DUMMYFUNCTION("""COMPUTED_VALUE"""),44398.5681712963)</f>
        <v>44398.56817</v>
      </c>
      <c r="F295" s="4" t="str">
        <f>IFERROR(__xludf.DUMMYFUNCTION("""COMPUTED_VALUE""")," ---")</f>
        <v> ---</v>
      </c>
      <c r="G295" s="4" t="str">
        <f>IFERROR(__xludf.DUMMYFUNCTION("""COMPUTED_VALUE"""),"SUSE Linux Enterprise Server 15 SP2")</f>
        <v>SUSE Linux Enterprise Server 15 SP2</v>
      </c>
      <c r="H295" s="7" t="str">
        <f t="shared" si="2"/>
        <v>NO</v>
      </c>
      <c r="I295" s="7" t="str">
        <f t="shared" si="3"/>
        <v>NO</v>
      </c>
    </row>
    <row r="296">
      <c r="A296" s="4">
        <f>IFERROR(__xludf.DUMMYFUNCTION("""COMPUTED_VALUE"""),1167594.0)</f>
        <v>1167594</v>
      </c>
      <c r="B296" s="4" t="str">
        <f>IFERROR(__xludf.DUMMYFUNCTION("""COMPUTED_VALUE"""),"P3 - Medium")</f>
        <v>P3 - Medium</v>
      </c>
      <c r="C296" s="5">
        <f>IFERROR(__xludf.DUMMYFUNCTION("""COMPUTED_VALUE"""),43914.77342592592)</f>
        <v>43914.77343</v>
      </c>
      <c r="D296" s="4" t="str">
        <f>IFERROR(__xludf.DUMMYFUNCTION("""COMPUTED_VALUE"""),"RESOLVED")</f>
        <v>RESOLVED</v>
      </c>
      <c r="E296" s="6">
        <f>IFERROR(__xludf.DUMMYFUNCTION("""COMPUTED_VALUE"""),44384.82231481482)</f>
        <v>44384.82231</v>
      </c>
      <c r="F296" s="4" t="str">
        <f>IFERROR(__xludf.DUMMYFUNCTION("""COMPUTED_VALUE""")," ---")</f>
        <v> ---</v>
      </c>
      <c r="G296" s="4" t="str">
        <f>IFERROR(__xludf.DUMMYFUNCTION("""COMPUTED_VALUE"""),"SUSE Linux Enterprise Server 15 SP2")</f>
        <v>SUSE Linux Enterprise Server 15 SP2</v>
      </c>
      <c r="H296" s="7" t="str">
        <f t="shared" si="2"/>
        <v>NO</v>
      </c>
      <c r="I296" s="7" t="str">
        <f t="shared" si="3"/>
        <v>NO</v>
      </c>
    </row>
    <row r="297">
      <c r="A297" s="4">
        <f>IFERROR(__xludf.DUMMYFUNCTION("""COMPUTED_VALUE"""),1171236.0)</f>
        <v>1171236</v>
      </c>
      <c r="B297" s="4" t="str">
        <f>IFERROR(__xludf.DUMMYFUNCTION("""COMPUTED_VALUE"""),"P3 - Medium")</f>
        <v>P3 - Medium</v>
      </c>
      <c r="C297" s="5">
        <f>IFERROR(__xludf.DUMMYFUNCTION("""COMPUTED_VALUE"""),43957.14438657407)</f>
        <v>43957.14439</v>
      </c>
      <c r="D297" s="4" t="str">
        <f>IFERROR(__xludf.DUMMYFUNCTION("""COMPUTED_VALUE"""),"RESOLVED")</f>
        <v>RESOLVED</v>
      </c>
      <c r="E297" s="6">
        <f>IFERROR(__xludf.DUMMYFUNCTION("""COMPUTED_VALUE"""),44384.82770833333)</f>
        <v>44384.82771</v>
      </c>
      <c r="F297" s="4" t="str">
        <f>IFERROR(__xludf.DUMMYFUNCTION("""COMPUTED_VALUE""")," ---")</f>
        <v> ---</v>
      </c>
      <c r="G297" s="4" t="str">
        <f>IFERROR(__xludf.DUMMYFUNCTION("""COMPUTED_VALUE"""),"SUSE Linux Enterprise Server 15 SP2")</f>
        <v>SUSE Linux Enterprise Server 15 SP2</v>
      </c>
      <c r="H297" s="7" t="str">
        <f t="shared" si="2"/>
        <v>NO</v>
      </c>
      <c r="I297" s="7" t="str">
        <f t="shared" si="3"/>
        <v>NO</v>
      </c>
    </row>
    <row r="298">
      <c r="A298" s="4">
        <f>IFERROR(__xludf.DUMMYFUNCTION("""COMPUTED_VALUE"""),1169162.0)</f>
        <v>1169162</v>
      </c>
      <c r="B298" s="4" t="str">
        <f>IFERROR(__xludf.DUMMYFUNCTION("""COMPUTED_VALUE"""),"P3 - Medium")</f>
        <v>P3 - Medium</v>
      </c>
      <c r="C298" s="5">
        <f>IFERROR(__xludf.DUMMYFUNCTION("""COMPUTED_VALUE"""),43931.15423611111)</f>
        <v>43931.15424</v>
      </c>
      <c r="D298" s="4" t="str">
        <f>IFERROR(__xludf.DUMMYFUNCTION("""COMPUTED_VALUE"""),"RESOLVED")</f>
        <v>RESOLVED</v>
      </c>
      <c r="E298" s="6">
        <f>IFERROR(__xludf.DUMMYFUNCTION("""COMPUTED_VALUE"""),44165.458969907406)</f>
        <v>44165.45897</v>
      </c>
      <c r="F298" s="4" t="str">
        <f>IFERROR(__xludf.DUMMYFUNCTION("""COMPUTED_VALUE""")," ---")</f>
        <v> ---</v>
      </c>
      <c r="G298" s="4" t="str">
        <f>IFERROR(__xludf.DUMMYFUNCTION("""COMPUTED_VALUE"""),"SUSE Linux Enterprise Server 15 SP2")</f>
        <v>SUSE Linux Enterprise Server 15 SP2</v>
      </c>
      <c r="H298" s="7" t="str">
        <f t="shared" si="2"/>
        <v>NO</v>
      </c>
      <c r="I298" s="7" t="str">
        <f t="shared" si="3"/>
        <v>NO</v>
      </c>
    </row>
    <row r="299">
      <c r="A299" s="4">
        <f>IFERROR(__xludf.DUMMYFUNCTION("""COMPUTED_VALUE"""),1163930.0)</f>
        <v>1163930</v>
      </c>
      <c r="B299" s="4" t="str">
        <f>IFERROR(__xludf.DUMMYFUNCTION("""COMPUTED_VALUE"""),"P3 - Medium")</f>
        <v>P3 - Medium</v>
      </c>
      <c r="C299" s="5">
        <f>IFERROR(__xludf.DUMMYFUNCTION("""COMPUTED_VALUE"""),43878.56452546296)</f>
        <v>43878.56453</v>
      </c>
      <c r="D299" s="4" t="str">
        <f>IFERROR(__xludf.DUMMYFUNCTION("""COMPUTED_VALUE"""),"RESOLVED")</f>
        <v>RESOLVED</v>
      </c>
      <c r="E299" s="6">
        <f>IFERROR(__xludf.DUMMYFUNCTION("""COMPUTED_VALUE"""),44384.80637731482)</f>
        <v>44384.80638</v>
      </c>
      <c r="F299" s="4" t="str">
        <f>IFERROR(__xludf.DUMMYFUNCTION("""COMPUTED_VALUE""")," ---")</f>
        <v> ---</v>
      </c>
      <c r="G299" s="4" t="str">
        <f>IFERROR(__xludf.DUMMYFUNCTION("""COMPUTED_VALUE"""),"SUSE Linux Enterprise Server 15 SP2")</f>
        <v>SUSE Linux Enterprise Server 15 SP2</v>
      </c>
      <c r="H299" s="7" t="str">
        <f t="shared" si="2"/>
        <v>NO</v>
      </c>
      <c r="I299" s="7" t="str">
        <f t="shared" si="3"/>
        <v>NO</v>
      </c>
    </row>
    <row r="300">
      <c r="A300" s="4">
        <f>IFERROR(__xludf.DUMMYFUNCTION("""COMPUTED_VALUE"""),1160102.0)</f>
        <v>1160102</v>
      </c>
      <c r="B300" s="4" t="str">
        <f>IFERROR(__xludf.DUMMYFUNCTION("""COMPUTED_VALUE"""),"P3 - Medium")</f>
        <v>P3 - Medium</v>
      </c>
      <c r="C300" s="5">
        <f>IFERROR(__xludf.DUMMYFUNCTION("""COMPUTED_VALUE"""),43836.12228009259)</f>
        <v>43836.12228</v>
      </c>
      <c r="D300" s="4" t="str">
        <f>IFERROR(__xludf.DUMMYFUNCTION("""COMPUTED_VALUE"""),"RESOLVED")</f>
        <v>RESOLVED</v>
      </c>
      <c r="E300" s="6">
        <f>IFERROR(__xludf.DUMMYFUNCTION("""COMPUTED_VALUE"""),44384.798946759256)</f>
        <v>44384.79895</v>
      </c>
      <c r="F300" s="4" t="str">
        <f>IFERROR(__xludf.DUMMYFUNCTION("""COMPUTED_VALUE""")," ---")</f>
        <v> ---</v>
      </c>
      <c r="G300" s="4" t="str">
        <f>IFERROR(__xludf.DUMMYFUNCTION("""COMPUTED_VALUE"""),"SUSE Linux Enterprise Server 15 SP2")</f>
        <v>SUSE Linux Enterprise Server 15 SP2</v>
      </c>
      <c r="H300" s="7" t="str">
        <f t="shared" si="2"/>
        <v>NO</v>
      </c>
      <c r="I300" s="7" t="str">
        <f t="shared" si="3"/>
        <v>NO</v>
      </c>
    </row>
    <row r="301">
      <c r="A301" s="4">
        <f>IFERROR(__xludf.DUMMYFUNCTION("""COMPUTED_VALUE"""),1172230.0)</f>
        <v>1172230</v>
      </c>
      <c r="B301" s="4" t="str">
        <f>IFERROR(__xludf.DUMMYFUNCTION("""COMPUTED_VALUE"""),"P3 - Medium")</f>
        <v>P3 - Medium</v>
      </c>
      <c r="C301" s="5">
        <f>IFERROR(__xludf.DUMMYFUNCTION("""COMPUTED_VALUE"""),43979.4428125)</f>
        <v>43979.44281</v>
      </c>
      <c r="D301" s="4" t="str">
        <f>IFERROR(__xludf.DUMMYFUNCTION("""COMPUTED_VALUE"""),"RESOLVED")</f>
        <v>RESOLVED</v>
      </c>
      <c r="E301" s="6">
        <f>IFERROR(__xludf.DUMMYFUNCTION("""COMPUTED_VALUE"""),44112.2315625)</f>
        <v>44112.23156</v>
      </c>
      <c r="F301" s="4" t="str">
        <f>IFERROR(__xludf.DUMMYFUNCTION("""COMPUTED_VALUE""")," ---")</f>
        <v> ---</v>
      </c>
      <c r="G301" s="4" t="str">
        <f>IFERROR(__xludf.DUMMYFUNCTION("""COMPUTED_VALUE"""),"SUSE Linux Enterprise Server 15 SP2")</f>
        <v>SUSE Linux Enterprise Server 15 SP2</v>
      </c>
      <c r="H301" s="7" t="str">
        <f t="shared" si="2"/>
        <v>NO</v>
      </c>
      <c r="I301" s="7" t="str">
        <f t="shared" si="3"/>
        <v>NO</v>
      </c>
    </row>
    <row r="302">
      <c r="A302" s="4">
        <f>IFERROR(__xludf.DUMMYFUNCTION("""COMPUTED_VALUE"""),1156632.0)</f>
        <v>1156632</v>
      </c>
      <c r="B302" s="4" t="str">
        <f>IFERROR(__xludf.DUMMYFUNCTION("""COMPUTED_VALUE"""),"P3 - Medium")</f>
        <v>P3 - Medium</v>
      </c>
      <c r="C302" s="5">
        <f>IFERROR(__xludf.DUMMYFUNCTION("""COMPUTED_VALUE"""),43782.52143518518)</f>
        <v>43782.52144</v>
      </c>
      <c r="D302" s="4" t="str">
        <f>IFERROR(__xludf.DUMMYFUNCTION("""COMPUTED_VALUE"""),"RESOLVED")</f>
        <v>RESOLVED</v>
      </c>
      <c r="E302" s="6">
        <f>IFERROR(__xludf.DUMMYFUNCTION("""COMPUTED_VALUE"""),44384.792604166665)</f>
        <v>44384.7926</v>
      </c>
      <c r="F302" s="4" t="str">
        <f>IFERROR(__xludf.DUMMYFUNCTION("""COMPUTED_VALUE""")," ---")</f>
        <v> ---</v>
      </c>
      <c r="G302" s="4" t="str">
        <f>IFERROR(__xludf.DUMMYFUNCTION("""COMPUTED_VALUE"""),"SUSE Linux Enterprise Server 15 SP2")</f>
        <v>SUSE Linux Enterprise Server 15 SP2</v>
      </c>
      <c r="H302" s="7" t="str">
        <f t="shared" si="2"/>
        <v>NO</v>
      </c>
      <c r="I302" s="7" t="str">
        <f t="shared" si="3"/>
        <v>NO</v>
      </c>
    </row>
    <row r="303">
      <c r="A303" s="4">
        <f>IFERROR(__xludf.DUMMYFUNCTION("""COMPUTED_VALUE"""),1160329.0)</f>
        <v>1160329</v>
      </c>
      <c r="B303" s="4" t="str">
        <f>IFERROR(__xludf.DUMMYFUNCTION("""COMPUTED_VALUE"""),"P3 - Medium")</f>
        <v>P3 - Medium</v>
      </c>
      <c r="C303" s="5">
        <f>IFERROR(__xludf.DUMMYFUNCTION("""COMPUTED_VALUE"""),43837.75900462963)</f>
        <v>43837.759</v>
      </c>
      <c r="D303" s="4" t="str">
        <f>IFERROR(__xludf.DUMMYFUNCTION("""COMPUTED_VALUE"""),"RESOLVED")</f>
        <v>RESOLVED</v>
      </c>
      <c r="E303" s="6">
        <f>IFERROR(__xludf.DUMMYFUNCTION("""COMPUTED_VALUE"""),44147.32303240741)</f>
        <v>44147.32303</v>
      </c>
      <c r="F303" s="4" t="str">
        <f>IFERROR(__xludf.DUMMYFUNCTION("""COMPUTED_VALUE""")," ---")</f>
        <v> ---</v>
      </c>
      <c r="G303" s="4" t="str">
        <f>IFERROR(__xludf.DUMMYFUNCTION("""COMPUTED_VALUE"""),"SUSE Linux Enterprise Server 15 SP2")</f>
        <v>SUSE Linux Enterprise Server 15 SP2</v>
      </c>
      <c r="H303" s="7" t="str">
        <f t="shared" si="2"/>
        <v>NO</v>
      </c>
      <c r="I303" s="7" t="str">
        <f t="shared" si="3"/>
        <v>NO</v>
      </c>
    </row>
    <row r="304">
      <c r="A304" s="4">
        <f>IFERROR(__xludf.DUMMYFUNCTION("""COMPUTED_VALUE"""),1167644.0)</f>
        <v>1167644</v>
      </c>
      <c r="B304" s="4" t="str">
        <f>IFERROR(__xludf.DUMMYFUNCTION("""COMPUTED_VALUE"""),"P3 - Medium")</f>
        <v>P3 - Medium</v>
      </c>
      <c r="C304" s="5">
        <f>IFERROR(__xludf.DUMMYFUNCTION("""COMPUTED_VALUE"""),43915.492256944446)</f>
        <v>43915.49226</v>
      </c>
      <c r="D304" s="4" t="str">
        <f>IFERROR(__xludf.DUMMYFUNCTION("""COMPUTED_VALUE"""),"RESOLVED")</f>
        <v>RESOLVED</v>
      </c>
      <c r="E304" s="6">
        <f>IFERROR(__xludf.DUMMYFUNCTION("""COMPUTED_VALUE"""),44015.4771875)</f>
        <v>44015.47719</v>
      </c>
      <c r="F304" s="4" t="str">
        <f>IFERROR(__xludf.DUMMYFUNCTION("""COMPUTED_VALUE""")," ---")</f>
        <v> ---</v>
      </c>
      <c r="G304" s="4" t="str">
        <f>IFERROR(__xludf.DUMMYFUNCTION("""COMPUTED_VALUE"""),"SUSE Linux Enterprise Server 15 SP2")</f>
        <v>SUSE Linux Enterprise Server 15 SP2</v>
      </c>
      <c r="H304" s="7" t="str">
        <f t="shared" si="2"/>
        <v>NO</v>
      </c>
      <c r="I304" s="7" t="str">
        <f t="shared" si="3"/>
        <v>NO</v>
      </c>
    </row>
    <row r="305">
      <c r="A305" s="4">
        <f>IFERROR(__xludf.DUMMYFUNCTION("""COMPUTED_VALUE"""),1171000.0)</f>
        <v>1171000</v>
      </c>
      <c r="B305" s="4" t="str">
        <f>IFERROR(__xludf.DUMMYFUNCTION("""COMPUTED_VALUE"""),"P3 - Medium")</f>
        <v>P3 - Medium</v>
      </c>
      <c r="C305" s="5">
        <f>IFERROR(__xludf.DUMMYFUNCTION("""COMPUTED_VALUE"""),43952.893842592595)</f>
        <v>43952.89384</v>
      </c>
      <c r="D305" s="4" t="str">
        <f>IFERROR(__xludf.DUMMYFUNCTION("""COMPUTED_VALUE"""),"RESOLVED")</f>
        <v>RESOLVED</v>
      </c>
      <c r="E305" s="6">
        <f>IFERROR(__xludf.DUMMYFUNCTION("""COMPUTED_VALUE"""),44384.82662037037)</f>
        <v>44384.82662</v>
      </c>
      <c r="F305" s="4" t="str">
        <f>IFERROR(__xludf.DUMMYFUNCTION("""COMPUTED_VALUE""")," ---")</f>
        <v> ---</v>
      </c>
      <c r="G305" s="4" t="str">
        <f>IFERROR(__xludf.DUMMYFUNCTION("""COMPUTED_VALUE"""),"SUSE Linux Enterprise Server 15 SP2")</f>
        <v>SUSE Linux Enterprise Server 15 SP2</v>
      </c>
      <c r="H305" s="7" t="str">
        <f t="shared" si="2"/>
        <v>NO</v>
      </c>
      <c r="I305" s="7" t="str">
        <f t="shared" si="3"/>
        <v>NO</v>
      </c>
    </row>
    <row r="306">
      <c r="A306" s="4">
        <f>IFERROR(__xludf.DUMMYFUNCTION("""COMPUTED_VALUE"""),1172355.0)</f>
        <v>1172355</v>
      </c>
      <c r="B306" s="4" t="str">
        <f>IFERROR(__xludf.DUMMYFUNCTION("""COMPUTED_VALUE"""),"P3 - Medium")</f>
        <v>P3 - Medium</v>
      </c>
      <c r="C306" s="5">
        <f>IFERROR(__xludf.DUMMYFUNCTION("""COMPUTED_VALUE"""),43983.663125)</f>
        <v>43983.66313</v>
      </c>
      <c r="D306" s="4" t="str">
        <f>IFERROR(__xludf.DUMMYFUNCTION("""COMPUTED_VALUE"""),"RESOLVED")</f>
        <v>RESOLVED</v>
      </c>
      <c r="E306" s="6">
        <f>IFERROR(__xludf.DUMMYFUNCTION("""COMPUTED_VALUE"""),44384.83346064815)</f>
        <v>44384.83346</v>
      </c>
      <c r="F306" s="4" t="str">
        <f>IFERROR(__xludf.DUMMYFUNCTION("""COMPUTED_VALUE""")," ---")</f>
        <v> ---</v>
      </c>
      <c r="G306" s="4" t="str">
        <f>IFERROR(__xludf.DUMMYFUNCTION("""COMPUTED_VALUE"""),"SUSE Linux Enterprise Server 15 SP2")</f>
        <v>SUSE Linux Enterprise Server 15 SP2</v>
      </c>
      <c r="H306" s="7" t="str">
        <f t="shared" si="2"/>
        <v>NO</v>
      </c>
      <c r="I306" s="7" t="str">
        <f t="shared" si="3"/>
        <v>NO</v>
      </c>
    </row>
    <row r="307">
      <c r="A307" s="4">
        <f>IFERROR(__xludf.DUMMYFUNCTION("""COMPUTED_VALUE"""),1173206.0)</f>
        <v>1173206</v>
      </c>
      <c r="B307" s="4" t="str">
        <f>IFERROR(__xludf.DUMMYFUNCTION("""COMPUTED_VALUE"""),"P3 - Medium")</f>
        <v>P3 - Medium</v>
      </c>
      <c r="C307" s="5">
        <f>IFERROR(__xludf.DUMMYFUNCTION("""COMPUTED_VALUE"""),44004.50975694445)</f>
        <v>44004.50976</v>
      </c>
      <c r="D307" s="4" t="str">
        <f>IFERROR(__xludf.DUMMYFUNCTION("""COMPUTED_VALUE"""),"RESOLVED")</f>
        <v>RESOLVED</v>
      </c>
      <c r="E307" s="6">
        <f>IFERROR(__xludf.DUMMYFUNCTION("""COMPUTED_VALUE"""),44446.41480324074)</f>
        <v>44446.4148</v>
      </c>
      <c r="F307" s="4" t="str">
        <f>IFERROR(__xludf.DUMMYFUNCTION("""COMPUTED_VALUE""")," ---")</f>
        <v> ---</v>
      </c>
      <c r="G307" s="4" t="str">
        <f>IFERROR(__xludf.DUMMYFUNCTION("""COMPUTED_VALUE"""),"SUSE Linux Enterprise Server 15 SP2")</f>
        <v>SUSE Linux Enterprise Server 15 SP2</v>
      </c>
      <c r="H307" s="7" t="str">
        <f t="shared" si="2"/>
        <v>NO</v>
      </c>
      <c r="I307" s="7" t="str">
        <f t="shared" si="3"/>
        <v>NO</v>
      </c>
    </row>
    <row r="308">
      <c r="A308" s="4">
        <f>IFERROR(__xludf.DUMMYFUNCTION("""COMPUTED_VALUE"""),1163285.0)</f>
        <v>1163285</v>
      </c>
      <c r="B308" s="4" t="str">
        <f>IFERROR(__xludf.DUMMYFUNCTION("""COMPUTED_VALUE"""),"P3 - Medium")</f>
        <v>P3 - Medium</v>
      </c>
      <c r="C308" s="5">
        <f>IFERROR(__xludf.DUMMYFUNCTION("""COMPUTED_VALUE"""),43871.63685185185)</f>
        <v>43871.63685</v>
      </c>
      <c r="D308" s="4" t="str">
        <f>IFERROR(__xludf.DUMMYFUNCTION("""COMPUTED_VALUE"""),"RESOLVED")</f>
        <v>RESOLVED</v>
      </c>
      <c r="E308" s="6">
        <f>IFERROR(__xludf.DUMMYFUNCTION("""COMPUTED_VALUE"""),44137.51550925926)</f>
        <v>44137.51551</v>
      </c>
      <c r="F308" s="4" t="str">
        <f>IFERROR(__xludf.DUMMYFUNCTION("""COMPUTED_VALUE""")," ---")</f>
        <v> ---</v>
      </c>
      <c r="G308" s="4" t="str">
        <f>IFERROR(__xludf.DUMMYFUNCTION("""COMPUTED_VALUE"""),"SUSE Linux Enterprise Server 15 SP2")</f>
        <v>SUSE Linux Enterprise Server 15 SP2</v>
      </c>
      <c r="H308" s="7" t="str">
        <f t="shared" si="2"/>
        <v>NO</v>
      </c>
      <c r="I308" s="7" t="str">
        <f t="shared" si="3"/>
        <v>NO</v>
      </c>
    </row>
    <row r="309">
      <c r="A309" s="4">
        <f>IFERROR(__xludf.DUMMYFUNCTION("""COMPUTED_VALUE"""),1159336.0)</f>
        <v>1159336</v>
      </c>
      <c r="B309" s="4" t="str">
        <f>IFERROR(__xludf.DUMMYFUNCTION("""COMPUTED_VALUE"""),"P3 - Medium")</f>
        <v>P3 - Medium</v>
      </c>
      <c r="C309" s="5">
        <f>IFERROR(__xludf.DUMMYFUNCTION("""COMPUTED_VALUE"""),43816.36042824074)</f>
        <v>43816.36043</v>
      </c>
      <c r="D309" s="4" t="str">
        <f>IFERROR(__xludf.DUMMYFUNCTION("""COMPUTED_VALUE"""),"RESOLVED")</f>
        <v>RESOLVED</v>
      </c>
      <c r="E309" s="6">
        <f>IFERROR(__xludf.DUMMYFUNCTION("""COMPUTED_VALUE"""),43816.40466435185)</f>
        <v>43816.40466</v>
      </c>
      <c r="F309" s="4" t="str">
        <f>IFERROR(__xludf.DUMMYFUNCTION("""COMPUTED_VALUE""")," ---")</f>
        <v> ---</v>
      </c>
      <c r="G309" s="4" t="str">
        <f>IFERROR(__xludf.DUMMYFUNCTION("""COMPUTED_VALUE"""),"SUSE Linux Enterprise Server 15 SP2")</f>
        <v>SUSE Linux Enterprise Server 15 SP2</v>
      </c>
      <c r="H309" s="7" t="str">
        <f t="shared" si="2"/>
        <v>NO</v>
      </c>
      <c r="I309" s="7" t="str">
        <f t="shared" si="3"/>
        <v>NO</v>
      </c>
    </row>
    <row r="310">
      <c r="A310" s="4">
        <f>IFERROR(__xludf.DUMMYFUNCTION("""COMPUTED_VALUE"""),1164460.0)</f>
        <v>1164460</v>
      </c>
      <c r="B310" s="4" t="str">
        <f>IFERROR(__xludf.DUMMYFUNCTION("""COMPUTED_VALUE"""),"P3 - Medium")</f>
        <v>P3 - Medium</v>
      </c>
      <c r="C310" s="5">
        <f>IFERROR(__xludf.DUMMYFUNCTION("""COMPUTED_VALUE"""),43881.43819444445)</f>
        <v>43881.43819</v>
      </c>
      <c r="D310" s="4" t="str">
        <f>IFERROR(__xludf.DUMMYFUNCTION("""COMPUTED_VALUE"""),"RESOLVED")</f>
        <v>RESOLVED</v>
      </c>
      <c r="E310" s="6">
        <f>IFERROR(__xludf.DUMMYFUNCTION("""COMPUTED_VALUE"""),43924.4318287037)</f>
        <v>43924.43183</v>
      </c>
      <c r="F310" s="4" t="str">
        <f>IFERROR(__xludf.DUMMYFUNCTION("""COMPUTED_VALUE""")," ---")</f>
        <v> ---</v>
      </c>
      <c r="G310" s="4" t="str">
        <f>IFERROR(__xludf.DUMMYFUNCTION("""COMPUTED_VALUE"""),"SUSE Linux Enterprise Server 15 SP2")</f>
        <v>SUSE Linux Enterprise Server 15 SP2</v>
      </c>
      <c r="H310" s="7" t="str">
        <f t="shared" si="2"/>
        <v>NO</v>
      </c>
      <c r="I310" s="7" t="str">
        <f t="shared" si="3"/>
        <v>NO</v>
      </c>
    </row>
    <row r="311">
      <c r="A311" s="4">
        <f>IFERROR(__xludf.DUMMYFUNCTION("""COMPUTED_VALUE"""),1168838.0)</f>
        <v>1168838</v>
      </c>
      <c r="B311" s="4" t="str">
        <f>IFERROR(__xludf.DUMMYFUNCTION("""COMPUTED_VALUE"""),"P3 - Medium")</f>
        <v>P3 - Medium</v>
      </c>
      <c r="C311" s="5">
        <f>IFERROR(__xludf.DUMMYFUNCTION("""COMPUTED_VALUE"""),43928.3975462963)</f>
        <v>43928.39755</v>
      </c>
      <c r="D311" s="4" t="str">
        <f>IFERROR(__xludf.DUMMYFUNCTION("""COMPUTED_VALUE"""),"RESOLVED")</f>
        <v>RESOLVED</v>
      </c>
      <c r="E311" s="6">
        <f>IFERROR(__xludf.DUMMYFUNCTION("""COMPUTED_VALUE"""),44388.71747685185)</f>
        <v>44388.71748</v>
      </c>
      <c r="F311" s="4" t="str">
        <f>IFERROR(__xludf.DUMMYFUNCTION("""COMPUTED_VALUE""")," ---")</f>
        <v> ---</v>
      </c>
      <c r="G311" s="4" t="str">
        <f>IFERROR(__xludf.DUMMYFUNCTION("""COMPUTED_VALUE"""),"SUSE Linux Enterprise Server 15 SP2")</f>
        <v>SUSE Linux Enterprise Server 15 SP2</v>
      </c>
      <c r="H311" s="7" t="str">
        <f t="shared" si="2"/>
        <v>NO</v>
      </c>
      <c r="I311" s="7" t="str">
        <f t="shared" si="3"/>
        <v>NO</v>
      </c>
    </row>
    <row r="312">
      <c r="A312" s="4">
        <f>IFERROR(__xludf.DUMMYFUNCTION("""COMPUTED_VALUE"""),1168852.0)</f>
        <v>1168852</v>
      </c>
      <c r="B312" s="4" t="str">
        <f>IFERROR(__xludf.DUMMYFUNCTION("""COMPUTED_VALUE"""),"P3 - Medium")</f>
        <v>P3 - Medium</v>
      </c>
      <c r="C312" s="5">
        <f>IFERROR(__xludf.DUMMYFUNCTION("""COMPUTED_VALUE"""),43928.47788194445)</f>
        <v>43928.47788</v>
      </c>
      <c r="D312" s="4" t="str">
        <f>IFERROR(__xludf.DUMMYFUNCTION("""COMPUTED_VALUE"""),"RESOLVED")</f>
        <v>RESOLVED</v>
      </c>
      <c r="E312" s="6">
        <f>IFERROR(__xludf.DUMMYFUNCTION("""COMPUTED_VALUE"""),44071.329050925924)</f>
        <v>44071.32905</v>
      </c>
      <c r="F312" s="4" t="str">
        <f>IFERROR(__xludf.DUMMYFUNCTION("""COMPUTED_VALUE""")," ---")</f>
        <v> ---</v>
      </c>
      <c r="G312" s="4" t="str">
        <f>IFERROR(__xludf.DUMMYFUNCTION("""COMPUTED_VALUE"""),"SUSE Linux Enterprise Server 15 SP2")</f>
        <v>SUSE Linux Enterprise Server 15 SP2</v>
      </c>
      <c r="H312" s="7" t="str">
        <f t="shared" si="2"/>
        <v>NO</v>
      </c>
      <c r="I312" s="7" t="str">
        <f t="shared" si="3"/>
        <v>NO</v>
      </c>
    </row>
    <row r="313">
      <c r="A313" s="4">
        <f>IFERROR(__xludf.DUMMYFUNCTION("""COMPUTED_VALUE"""),1171285.0)</f>
        <v>1171285</v>
      </c>
      <c r="B313" s="4" t="str">
        <f>IFERROR(__xludf.DUMMYFUNCTION("""COMPUTED_VALUE"""),"P3 - Medium")</f>
        <v>P3 - Medium</v>
      </c>
      <c r="C313" s="5">
        <f>IFERROR(__xludf.DUMMYFUNCTION("""COMPUTED_VALUE"""),43957.56711805556)</f>
        <v>43957.56712</v>
      </c>
      <c r="D313" s="4" t="str">
        <f>IFERROR(__xludf.DUMMYFUNCTION("""COMPUTED_VALUE"""),"RESOLVED")</f>
        <v>RESOLVED</v>
      </c>
      <c r="E313" s="6">
        <f>IFERROR(__xludf.DUMMYFUNCTION("""COMPUTED_VALUE"""),44455.615590277775)</f>
        <v>44455.61559</v>
      </c>
      <c r="F313" s="4" t="str">
        <f>IFERROR(__xludf.DUMMYFUNCTION("""COMPUTED_VALUE""")," ---")</f>
        <v> ---</v>
      </c>
      <c r="G313" s="4" t="str">
        <f>IFERROR(__xludf.DUMMYFUNCTION("""COMPUTED_VALUE"""),"SUSE Linux Enterprise Server 15 SP2")</f>
        <v>SUSE Linux Enterprise Server 15 SP2</v>
      </c>
      <c r="H313" s="7" t="str">
        <f t="shared" si="2"/>
        <v>NO</v>
      </c>
      <c r="I313" s="7" t="str">
        <f t="shared" si="3"/>
        <v>NO</v>
      </c>
    </row>
    <row r="314">
      <c r="A314" s="4">
        <f>IFERROR(__xludf.DUMMYFUNCTION("""COMPUTED_VALUE"""),1171513.0)</f>
        <v>1171513</v>
      </c>
      <c r="B314" s="4" t="str">
        <f>IFERROR(__xludf.DUMMYFUNCTION("""COMPUTED_VALUE"""),"P3 - Medium")</f>
        <v>P3 - Medium</v>
      </c>
      <c r="C314" s="5">
        <f>IFERROR(__xludf.DUMMYFUNCTION("""COMPUTED_VALUE"""),43963.4721412037)</f>
        <v>43963.47214</v>
      </c>
      <c r="D314" s="4" t="str">
        <f>IFERROR(__xludf.DUMMYFUNCTION("""COMPUTED_VALUE"""),"RESOLVED")</f>
        <v>RESOLVED</v>
      </c>
      <c r="E314" s="6">
        <f>IFERROR(__xludf.DUMMYFUNCTION("""COMPUTED_VALUE"""),44384.828622685185)</f>
        <v>44384.82862</v>
      </c>
      <c r="F314" s="4" t="str">
        <f>IFERROR(__xludf.DUMMYFUNCTION("""COMPUTED_VALUE""")," ---")</f>
        <v> ---</v>
      </c>
      <c r="G314" s="4" t="str">
        <f>IFERROR(__xludf.DUMMYFUNCTION("""COMPUTED_VALUE"""),"SUSE Linux Enterprise Server 15 SP2")</f>
        <v>SUSE Linux Enterprise Server 15 SP2</v>
      </c>
      <c r="H314" s="7" t="str">
        <f t="shared" si="2"/>
        <v>NO</v>
      </c>
      <c r="I314" s="7" t="str">
        <f t="shared" si="3"/>
        <v>NO</v>
      </c>
    </row>
    <row r="315">
      <c r="A315" s="4">
        <f>IFERROR(__xludf.DUMMYFUNCTION("""COMPUTED_VALUE"""),1171634.0)</f>
        <v>1171634</v>
      </c>
      <c r="B315" s="4" t="str">
        <f>IFERROR(__xludf.DUMMYFUNCTION("""COMPUTED_VALUE"""),"P3 - Medium")</f>
        <v>P3 - Medium</v>
      </c>
      <c r="C315" s="5">
        <f>IFERROR(__xludf.DUMMYFUNCTION("""COMPUTED_VALUE"""),43964.81270833333)</f>
        <v>43964.81271</v>
      </c>
      <c r="D315" s="4" t="str">
        <f>IFERROR(__xludf.DUMMYFUNCTION("""COMPUTED_VALUE"""),"RESOLVED")</f>
        <v>RESOLVED</v>
      </c>
      <c r="E315" s="6">
        <f>IFERROR(__xludf.DUMMYFUNCTION("""COMPUTED_VALUE"""),44384.828784722224)</f>
        <v>44384.82878</v>
      </c>
      <c r="F315" s="4" t="str">
        <f>IFERROR(__xludf.DUMMYFUNCTION("""COMPUTED_VALUE""")," ---")</f>
        <v> ---</v>
      </c>
      <c r="G315" s="4" t="str">
        <f>IFERROR(__xludf.DUMMYFUNCTION("""COMPUTED_VALUE"""),"SUSE Linux Enterprise Server 15 SP2")</f>
        <v>SUSE Linux Enterprise Server 15 SP2</v>
      </c>
      <c r="H315" s="7" t="str">
        <f t="shared" si="2"/>
        <v>NO</v>
      </c>
      <c r="I315" s="7" t="str">
        <f t="shared" si="3"/>
        <v>NO</v>
      </c>
    </row>
    <row r="316">
      <c r="A316" s="4">
        <f>IFERROR(__xludf.DUMMYFUNCTION("""COMPUTED_VALUE"""),1172719.0)</f>
        <v>1172719</v>
      </c>
      <c r="B316" s="4" t="str">
        <f>IFERROR(__xludf.DUMMYFUNCTION("""COMPUTED_VALUE"""),"P3 - Medium")</f>
        <v>P3 - Medium</v>
      </c>
      <c r="C316" s="5">
        <f>IFERROR(__xludf.DUMMYFUNCTION("""COMPUTED_VALUE"""),43991.436574074076)</f>
        <v>43991.43657</v>
      </c>
      <c r="D316" s="4" t="str">
        <f>IFERROR(__xludf.DUMMYFUNCTION("""COMPUTED_VALUE"""),"RESOLVED")</f>
        <v>RESOLVED</v>
      </c>
      <c r="E316" s="6">
        <f>IFERROR(__xludf.DUMMYFUNCTION("""COMPUTED_VALUE"""),44362.584965277776)</f>
        <v>44362.58497</v>
      </c>
      <c r="F316" s="4" t="str">
        <f>IFERROR(__xludf.DUMMYFUNCTION("""COMPUTED_VALUE""")," ---")</f>
        <v> ---</v>
      </c>
      <c r="G316" s="4" t="str">
        <f>IFERROR(__xludf.DUMMYFUNCTION("""COMPUTED_VALUE"""),"SUSE Linux Enterprise Server 15 SP2")</f>
        <v>SUSE Linux Enterprise Server 15 SP2</v>
      </c>
      <c r="H316" s="7" t="str">
        <f t="shared" si="2"/>
        <v>NO</v>
      </c>
      <c r="I316" s="7" t="str">
        <f t="shared" si="3"/>
        <v>NO</v>
      </c>
    </row>
    <row r="317">
      <c r="A317" s="4">
        <f>IFERROR(__xludf.DUMMYFUNCTION("""COMPUTED_VALUE"""),1171253.0)</f>
        <v>1171253</v>
      </c>
      <c r="B317" s="4" t="str">
        <f>IFERROR(__xludf.DUMMYFUNCTION("""COMPUTED_VALUE"""),"P3 - Medium")</f>
        <v>P3 - Medium</v>
      </c>
      <c r="C317" s="5">
        <f>IFERROR(__xludf.DUMMYFUNCTION("""COMPUTED_VALUE"""),43957.37835648148)</f>
        <v>43957.37836</v>
      </c>
      <c r="D317" s="4" t="str">
        <f>IFERROR(__xludf.DUMMYFUNCTION("""COMPUTED_VALUE"""),"RESOLVED")</f>
        <v>RESOLVED</v>
      </c>
      <c r="E317" s="6">
        <f>IFERROR(__xludf.DUMMYFUNCTION("""COMPUTED_VALUE"""),43985.21271990741)</f>
        <v>43985.21272</v>
      </c>
      <c r="F317" s="4" t="str">
        <f>IFERROR(__xludf.DUMMYFUNCTION("""COMPUTED_VALUE""")," ---")</f>
        <v> ---</v>
      </c>
      <c r="G317" s="4" t="str">
        <f>IFERROR(__xludf.DUMMYFUNCTION("""COMPUTED_VALUE"""),"SUSE Linux Enterprise Server 15 SP2")</f>
        <v>SUSE Linux Enterprise Server 15 SP2</v>
      </c>
      <c r="H317" s="7" t="str">
        <f t="shared" si="2"/>
        <v>NO</v>
      </c>
      <c r="I317" s="7" t="str">
        <f t="shared" si="3"/>
        <v>NO</v>
      </c>
    </row>
    <row r="318">
      <c r="A318" s="4">
        <f>IFERROR(__xludf.DUMMYFUNCTION("""COMPUTED_VALUE"""),1165950.0)</f>
        <v>1165950</v>
      </c>
      <c r="B318" s="4" t="str">
        <f>IFERROR(__xludf.DUMMYFUNCTION("""COMPUTED_VALUE"""),"P3 - Medium")</f>
        <v>P3 - Medium</v>
      </c>
      <c r="C318" s="5">
        <f>IFERROR(__xludf.DUMMYFUNCTION("""COMPUTED_VALUE"""),43896.73755787037)</f>
        <v>43896.73756</v>
      </c>
      <c r="D318" s="4" t="str">
        <f>IFERROR(__xludf.DUMMYFUNCTION("""COMPUTED_VALUE"""),"RESOLVED")</f>
        <v>RESOLVED</v>
      </c>
      <c r="E318" s="6">
        <f>IFERROR(__xludf.DUMMYFUNCTION("""COMPUTED_VALUE"""),44362.558912037035)</f>
        <v>44362.55891</v>
      </c>
      <c r="F318" s="4" t="str">
        <f>IFERROR(__xludf.DUMMYFUNCTION("""COMPUTED_VALUE""")," ---")</f>
        <v> ---</v>
      </c>
      <c r="G318" s="4" t="str">
        <f>IFERROR(__xludf.DUMMYFUNCTION("""COMPUTED_VALUE"""),"SUSE Linux Enterprise Server 15 SP2")</f>
        <v>SUSE Linux Enterprise Server 15 SP2</v>
      </c>
      <c r="H318" s="7" t="str">
        <f t="shared" si="2"/>
        <v>NO</v>
      </c>
      <c r="I318" s="7" t="str">
        <f t="shared" si="3"/>
        <v>NO</v>
      </c>
    </row>
    <row r="319">
      <c r="A319" s="4">
        <f>IFERROR(__xludf.DUMMYFUNCTION("""COMPUTED_VALUE"""),1168929.0)</f>
        <v>1168929</v>
      </c>
      <c r="B319" s="4" t="str">
        <f>IFERROR(__xludf.DUMMYFUNCTION("""COMPUTED_VALUE"""),"P3 - Medium")</f>
        <v>P3 - Medium</v>
      </c>
      <c r="C319" s="5">
        <f>IFERROR(__xludf.DUMMYFUNCTION("""COMPUTED_VALUE"""),43929.24872685185)</f>
        <v>43929.24873</v>
      </c>
      <c r="D319" s="4" t="str">
        <f>IFERROR(__xludf.DUMMYFUNCTION("""COMPUTED_VALUE"""),"RESOLVED")</f>
        <v>RESOLVED</v>
      </c>
      <c r="E319" s="6">
        <f>IFERROR(__xludf.DUMMYFUNCTION("""COMPUTED_VALUE"""),43969.576203703706)</f>
        <v>43969.5762</v>
      </c>
      <c r="F319" s="4" t="str">
        <f>IFERROR(__xludf.DUMMYFUNCTION("""COMPUTED_VALUE""")," ---")</f>
        <v> ---</v>
      </c>
      <c r="G319" s="4" t="str">
        <f>IFERROR(__xludf.DUMMYFUNCTION("""COMPUTED_VALUE"""),"SUSE Linux Enterprise Server 15 SP2")</f>
        <v>SUSE Linux Enterprise Server 15 SP2</v>
      </c>
      <c r="H319" s="7" t="str">
        <f t="shared" si="2"/>
        <v>NO</v>
      </c>
      <c r="I319" s="7" t="str">
        <f t="shared" si="3"/>
        <v>NO</v>
      </c>
    </row>
    <row r="320">
      <c r="A320" s="4">
        <f>IFERROR(__xludf.DUMMYFUNCTION("""COMPUTED_VALUE"""),1151674.0)</f>
        <v>1151674</v>
      </c>
      <c r="B320" s="4" t="str">
        <f>IFERROR(__xludf.DUMMYFUNCTION("""COMPUTED_VALUE"""),"P3 - Medium")</f>
        <v>P3 - Medium</v>
      </c>
      <c r="C320" s="5">
        <f>IFERROR(__xludf.DUMMYFUNCTION("""COMPUTED_VALUE"""),43731.56354166667)</f>
        <v>43731.56354</v>
      </c>
      <c r="D320" s="4" t="str">
        <f>IFERROR(__xludf.DUMMYFUNCTION("""COMPUTED_VALUE"""),"RESOLVED")</f>
        <v>RESOLVED</v>
      </c>
      <c r="E320" s="6">
        <f>IFERROR(__xludf.DUMMYFUNCTION("""COMPUTED_VALUE"""),44384.78758101852)</f>
        <v>44384.78758</v>
      </c>
      <c r="F320" s="4" t="str">
        <f>IFERROR(__xludf.DUMMYFUNCTION("""COMPUTED_VALUE""")," ---")</f>
        <v> ---</v>
      </c>
      <c r="G320" s="4" t="str">
        <f>IFERROR(__xludf.DUMMYFUNCTION("""COMPUTED_VALUE"""),"SUSE Linux Enterprise Server 15 SP2")</f>
        <v>SUSE Linux Enterprise Server 15 SP2</v>
      </c>
      <c r="H320" s="7" t="str">
        <f t="shared" si="2"/>
        <v>NO</v>
      </c>
      <c r="I320" s="7" t="str">
        <f t="shared" si="3"/>
        <v>NO</v>
      </c>
    </row>
    <row r="321">
      <c r="A321" s="4">
        <f>IFERROR(__xludf.DUMMYFUNCTION("""COMPUTED_VALUE"""),1151675.0)</f>
        <v>1151675</v>
      </c>
      <c r="B321" s="4" t="str">
        <f>IFERROR(__xludf.DUMMYFUNCTION("""COMPUTED_VALUE"""),"P3 - Medium")</f>
        <v>P3 - Medium</v>
      </c>
      <c r="C321" s="5">
        <f>IFERROR(__xludf.DUMMYFUNCTION("""COMPUTED_VALUE"""),43731.563622685186)</f>
        <v>43731.56362</v>
      </c>
      <c r="D321" s="4" t="str">
        <f>IFERROR(__xludf.DUMMYFUNCTION("""COMPUTED_VALUE"""),"RESOLVED")</f>
        <v>RESOLVED</v>
      </c>
      <c r="E321" s="6">
        <f>IFERROR(__xludf.DUMMYFUNCTION("""COMPUTED_VALUE"""),44384.78765046296)</f>
        <v>44384.78765</v>
      </c>
      <c r="F321" s="4" t="str">
        <f>IFERROR(__xludf.DUMMYFUNCTION("""COMPUTED_VALUE""")," ---")</f>
        <v> ---</v>
      </c>
      <c r="G321" s="4" t="str">
        <f>IFERROR(__xludf.DUMMYFUNCTION("""COMPUTED_VALUE"""),"SUSE Linux Enterprise Server 15 SP2")</f>
        <v>SUSE Linux Enterprise Server 15 SP2</v>
      </c>
      <c r="H321" s="7" t="str">
        <f t="shared" si="2"/>
        <v>NO</v>
      </c>
      <c r="I321" s="7" t="str">
        <f t="shared" si="3"/>
        <v>NO</v>
      </c>
    </row>
    <row r="322">
      <c r="A322" s="4">
        <f>IFERROR(__xludf.DUMMYFUNCTION("""COMPUTED_VALUE"""),1151676.0)</f>
        <v>1151676</v>
      </c>
      <c r="B322" s="4" t="str">
        <f>IFERROR(__xludf.DUMMYFUNCTION("""COMPUTED_VALUE"""),"P3 - Medium")</f>
        <v>P3 - Medium</v>
      </c>
      <c r="C322" s="5">
        <f>IFERROR(__xludf.DUMMYFUNCTION("""COMPUTED_VALUE"""),43731.56369212963)</f>
        <v>43731.56369</v>
      </c>
      <c r="D322" s="4" t="str">
        <f>IFERROR(__xludf.DUMMYFUNCTION("""COMPUTED_VALUE"""),"RESOLVED")</f>
        <v>RESOLVED</v>
      </c>
      <c r="E322" s="6">
        <f>IFERROR(__xludf.DUMMYFUNCTION("""COMPUTED_VALUE"""),44384.78771990741)</f>
        <v>44384.78772</v>
      </c>
      <c r="F322" s="4" t="str">
        <f>IFERROR(__xludf.DUMMYFUNCTION("""COMPUTED_VALUE""")," ---")</f>
        <v> ---</v>
      </c>
      <c r="G322" s="4" t="str">
        <f>IFERROR(__xludf.DUMMYFUNCTION("""COMPUTED_VALUE"""),"SUSE Linux Enterprise Server 15 SP2")</f>
        <v>SUSE Linux Enterprise Server 15 SP2</v>
      </c>
      <c r="H322" s="7" t="str">
        <f t="shared" si="2"/>
        <v>NO</v>
      </c>
      <c r="I322" s="7" t="str">
        <f t="shared" si="3"/>
        <v>NO</v>
      </c>
    </row>
    <row r="323">
      <c r="A323" s="4">
        <f>IFERROR(__xludf.DUMMYFUNCTION("""COMPUTED_VALUE"""),1151677.0)</f>
        <v>1151677</v>
      </c>
      <c r="B323" s="4" t="str">
        <f>IFERROR(__xludf.DUMMYFUNCTION("""COMPUTED_VALUE"""),"P3 - Medium")</f>
        <v>P3 - Medium</v>
      </c>
      <c r="C323" s="5">
        <f>IFERROR(__xludf.DUMMYFUNCTION("""COMPUTED_VALUE"""),43731.56387731482)</f>
        <v>43731.56388</v>
      </c>
      <c r="D323" s="4" t="str">
        <f>IFERROR(__xludf.DUMMYFUNCTION("""COMPUTED_VALUE"""),"RESOLVED")</f>
        <v>RESOLVED</v>
      </c>
      <c r="E323" s="6">
        <f>IFERROR(__xludf.DUMMYFUNCTION("""COMPUTED_VALUE"""),44384.78778935185)</f>
        <v>44384.78779</v>
      </c>
      <c r="F323" s="4" t="str">
        <f>IFERROR(__xludf.DUMMYFUNCTION("""COMPUTED_VALUE""")," ---")</f>
        <v> ---</v>
      </c>
      <c r="G323" s="4" t="str">
        <f>IFERROR(__xludf.DUMMYFUNCTION("""COMPUTED_VALUE"""),"SUSE Linux Enterprise Server 15 SP2")</f>
        <v>SUSE Linux Enterprise Server 15 SP2</v>
      </c>
      <c r="H323" s="7" t="str">
        <f t="shared" si="2"/>
        <v>NO</v>
      </c>
      <c r="I323" s="7" t="str">
        <f t="shared" si="3"/>
        <v>NO</v>
      </c>
    </row>
    <row r="324">
      <c r="A324" s="4">
        <f>IFERROR(__xludf.DUMMYFUNCTION("""COMPUTED_VALUE"""),1151678.0)</f>
        <v>1151678</v>
      </c>
      <c r="B324" s="4" t="str">
        <f>IFERROR(__xludf.DUMMYFUNCTION("""COMPUTED_VALUE"""),"P3 - Medium")</f>
        <v>P3 - Medium</v>
      </c>
      <c r="C324" s="5">
        <f>IFERROR(__xludf.DUMMYFUNCTION("""COMPUTED_VALUE"""),43731.56400462963)</f>
        <v>43731.564</v>
      </c>
      <c r="D324" s="4" t="str">
        <f>IFERROR(__xludf.DUMMYFUNCTION("""COMPUTED_VALUE"""),"RESOLVED")</f>
        <v>RESOLVED</v>
      </c>
      <c r="E324" s="6">
        <f>IFERROR(__xludf.DUMMYFUNCTION("""COMPUTED_VALUE"""),44384.7878587963)</f>
        <v>44384.78786</v>
      </c>
      <c r="F324" s="4" t="str">
        <f>IFERROR(__xludf.DUMMYFUNCTION("""COMPUTED_VALUE""")," ---")</f>
        <v> ---</v>
      </c>
      <c r="G324" s="4" t="str">
        <f>IFERROR(__xludf.DUMMYFUNCTION("""COMPUTED_VALUE"""),"SUSE Linux Enterprise Server 15 SP2")</f>
        <v>SUSE Linux Enterprise Server 15 SP2</v>
      </c>
      <c r="H324" s="7" t="str">
        <f t="shared" si="2"/>
        <v>NO</v>
      </c>
      <c r="I324" s="7" t="str">
        <f t="shared" si="3"/>
        <v>NO</v>
      </c>
    </row>
    <row r="325">
      <c r="A325" s="4">
        <f>IFERROR(__xludf.DUMMYFUNCTION("""COMPUTED_VALUE"""),1151679.0)</f>
        <v>1151679</v>
      </c>
      <c r="B325" s="4" t="str">
        <f>IFERROR(__xludf.DUMMYFUNCTION("""COMPUTED_VALUE"""),"P3 - Medium")</f>
        <v>P3 - Medium</v>
      </c>
      <c r="C325" s="5">
        <f>IFERROR(__xludf.DUMMYFUNCTION("""COMPUTED_VALUE"""),43731.56417824074)</f>
        <v>43731.56418</v>
      </c>
      <c r="D325" s="4" t="str">
        <f>IFERROR(__xludf.DUMMYFUNCTION("""COMPUTED_VALUE"""),"RESOLVED")</f>
        <v>RESOLVED</v>
      </c>
      <c r="E325" s="6">
        <f>IFERROR(__xludf.DUMMYFUNCTION("""COMPUTED_VALUE"""),44384.78792824074)</f>
        <v>44384.78793</v>
      </c>
      <c r="F325" s="4" t="str">
        <f>IFERROR(__xludf.DUMMYFUNCTION("""COMPUTED_VALUE""")," ---")</f>
        <v> ---</v>
      </c>
      <c r="G325" s="4" t="str">
        <f>IFERROR(__xludf.DUMMYFUNCTION("""COMPUTED_VALUE"""),"SUSE Linux Enterprise Server 15 SP2")</f>
        <v>SUSE Linux Enterprise Server 15 SP2</v>
      </c>
      <c r="H325" s="7" t="str">
        <f t="shared" si="2"/>
        <v>NO</v>
      </c>
      <c r="I325" s="7" t="str">
        <f t="shared" si="3"/>
        <v>NO</v>
      </c>
    </row>
    <row r="326">
      <c r="A326" s="4">
        <f>IFERROR(__xludf.DUMMYFUNCTION("""COMPUTED_VALUE"""),1154624.0)</f>
        <v>1154624</v>
      </c>
      <c r="B326" s="4" t="str">
        <f>IFERROR(__xludf.DUMMYFUNCTION("""COMPUTED_VALUE"""),"P3 - Medium")</f>
        <v>P3 - Medium</v>
      </c>
      <c r="C326" s="5">
        <f>IFERROR(__xludf.DUMMYFUNCTION("""COMPUTED_VALUE"""),43759.51422453704)</f>
        <v>43759.51422</v>
      </c>
      <c r="D326" s="4" t="str">
        <f>IFERROR(__xludf.DUMMYFUNCTION("""COMPUTED_VALUE"""),"RESOLVED")</f>
        <v>RESOLVED</v>
      </c>
      <c r="E326" s="6">
        <f>IFERROR(__xludf.DUMMYFUNCTION("""COMPUTED_VALUE"""),44384.79015046296)</f>
        <v>44384.79015</v>
      </c>
      <c r="F326" s="4" t="str">
        <f>IFERROR(__xludf.DUMMYFUNCTION("""COMPUTED_VALUE""")," ---")</f>
        <v> ---</v>
      </c>
      <c r="G326" s="4" t="str">
        <f>IFERROR(__xludf.DUMMYFUNCTION("""COMPUTED_VALUE"""),"SUSE Linux Enterprise Server 15 SP2")</f>
        <v>SUSE Linux Enterprise Server 15 SP2</v>
      </c>
      <c r="H326" s="7" t="str">
        <f t="shared" si="2"/>
        <v>NO</v>
      </c>
      <c r="I326" s="7" t="str">
        <f t="shared" si="3"/>
        <v>NO</v>
      </c>
    </row>
    <row r="327">
      <c r="A327" s="4">
        <f>IFERROR(__xludf.DUMMYFUNCTION("""COMPUTED_VALUE"""),1154625.0)</f>
        <v>1154625</v>
      </c>
      <c r="B327" s="4" t="str">
        <f>IFERROR(__xludf.DUMMYFUNCTION("""COMPUTED_VALUE"""),"P3 - Medium")</f>
        <v>P3 - Medium</v>
      </c>
      <c r="C327" s="5">
        <f>IFERROR(__xludf.DUMMYFUNCTION("""COMPUTED_VALUE"""),43759.51429398148)</f>
        <v>43759.51429</v>
      </c>
      <c r="D327" s="4" t="str">
        <f>IFERROR(__xludf.DUMMYFUNCTION("""COMPUTED_VALUE"""),"RESOLVED")</f>
        <v>RESOLVED</v>
      </c>
      <c r="E327" s="6">
        <f>IFERROR(__xludf.DUMMYFUNCTION("""COMPUTED_VALUE"""),44384.79021990741)</f>
        <v>44384.79022</v>
      </c>
      <c r="F327" s="4" t="str">
        <f>IFERROR(__xludf.DUMMYFUNCTION("""COMPUTED_VALUE""")," ---")</f>
        <v> ---</v>
      </c>
      <c r="G327" s="4" t="str">
        <f>IFERROR(__xludf.DUMMYFUNCTION("""COMPUTED_VALUE"""),"SUSE Linux Enterprise Server 15 SP2")</f>
        <v>SUSE Linux Enterprise Server 15 SP2</v>
      </c>
      <c r="H327" s="7" t="str">
        <f t="shared" si="2"/>
        <v>NO</v>
      </c>
      <c r="I327" s="7" t="str">
        <f t="shared" si="3"/>
        <v>NO</v>
      </c>
    </row>
    <row r="328">
      <c r="A328" s="4">
        <f>IFERROR(__xludf.DUMMYFUNCTION("""COMPUTED_VALUE"""),1154626.0)</f>
        <v>1154626</v>
      </c>
      <c r="B328" s="4" t="str">
        <f>IFERROR(__xludf.DUMMYFUNCTION("""COMPUTED_VALUE"""),"P3 - Medium")</f>
        <v>P3 - Medium</v>
      </c>
      <c r="C328" s="5">
        <f>IFERROR(__xludf.DUMMYFUNCTION("""COMPUTED_VALUE"""),43759.51440972222)</f>
        <v>43759.51441</v>
      </c>
      <c r="D328" s="4" t="str">
        <f>IFERROR(__xludf.DUMMYFUNCTION("""COMPUTED_VALUE"""),"RESOLVED")</f>
        <v>RESOLVED</v>
      </c>
      <c r="E328" s="6">
        <f>IFERROR(__xludf.DUMMYFUNCTION("""COMPUTED_VALUE"""),44384.790289351855)</f>
        <v>44384.79029</v>
      </c>
      <c r="F328" s="4" t="str">
        <f>IFERROR(__xludf.DUMMYFUNCTION("""COMPUTED_VALUE""")," ---")</f>
        <v> ---</v>
      </c>
      <c r="G328" s="4" t="str">
        <f>IFERROR(__xludf.DUMMYFUNCTION("""COMPUTED_VALUE"""),"SUSE Linux Enterprise Server 15 SP2")</f>
        <v>SUSE Linux Enterprise Server 15 SP2</v>
      </c>
      <c r="H328" s="7" t="str">
        <f t="shared" si="2"/>
        <v>NO</v>
      </c>
      <c r="I328" s="7" t="str">
        <f t="shared" si="3"/>
        <v>NO</v>
      </c>
    </row>
    <row r="329">
      <c r="A329" s="4">
        <f>IFERROR(__xludf.DUMMYFUNCTION("""COMPUTED_VALUE"""),1154627.0)</f>
        <v>1154627</v>
      </c>
      <c r="B329" s="4" t="str">
        <f>IFERROR(__xludf.DUMMYFUNCTION("""COMPUTED_VALUE"""),"P3 - Medium")</f>
        <v>P3 - Medium</v>
      </c>
      <c r="C329" s="5">
        <f>IFERROR(__xludf.DUMMYFUNCTION("""COMPUTED_VALUE"""),43759.51449074074)</f>
        <v>43759.51449</v>
      </c>
      <c r="D329" s="4" t="str">
        <f>IFERROR(__xludf.DUMMYFUNCTION("""COMPUTED_VALUE"""),"RESOLVED")</f>
        <v>RESOLVED</v>
      </c>
      <c r="E329" s="6">
        <f>IFERROR(__xludf.DUMMYFUNCTION("""COMPUTED_VALUE"""),44384.790358796294)</f>
        <v>44384.79036</v>
      </c>
      <c r="F329" s="4" t="str">
        <f>IFERROR(__xludf.DUMMYFUNCTION("""COMPUTED_VALUE""")," ---")</f>
        <v> ---</v>
      </c>
      <c r="G329" s="4" t="str">
        <f>IFERROR(__xludf.DUMMYFUNCTION("""COMPUTED_VALUE"""),"SUSE Linux Enterprise Server 15 SP2")</f>
        <v>SUSE Linux Enterprise Server 15 SP2</v>
      </c>
      <c r="H329" s="7" t="str">
        <f t="shared" si="2"/>
        <v>NO</v>
      </c>
      <c r="I329" s="7" t="str">
        <f t="shared" si="3"/>
        <v>NO</v>
      </c>
    </row>
    <row r="330">
      <c r="A330" s="4">
        <f>IFERROR(__xludf.DUMMYFUNCTION("""COMPUTED_VALUE"""),1154628.0)</f>
        <v>1154628</v>
      </c>
      <c r="B330" s="4" t="str">
        <f>IFERROR(__xludf.DUMMYFUNCTION("""COMPUTED_VALUE"""),"P3 - Medium")</f>
        <v>P3 - Medium</v>
      </c>
      <c r="C330" s="5">
        <f>IFERROR(__xludf.DUMMYFUNCTION("""COMPUTED_VALUE"""),43759.514652777776)</f>
        <v>43759.51465</v>
      </c>
      <c r="D330" s="4" t="str">
        <f>IFERROR(__xludf.DUMMYFUNCTION("""COMPUTED_VALUE"""),"RESOLVED")</f>
        <v>RESOLVED</v>
      </c>
      <c r="E330" s="6">
        <f>IFERROR(__xludf.DUMMYFUNCTION("""COMPUTED_VALUE"""),44384.79042824074)</f>
        <v>44384.79043</v>
      </c>
      <c r="F330" s="4" t="str">
        <f>IFERROR(__xludf.DUMMYFUNCTION("""COMPUTED_VALUE""")," ---")</f>
        <v> ---</v>
      </c>
      <c r="G330" s="4" t="str">
        <f>IFERROR(__xludf.DUMMYFUNCTION("""COMPUTED_VALUE"""),"SUSE Linux Enterprise Server 15 SP2")</f>
        <v>SUSE Linux Enterprise Server 15 SP2</v>
      </c>
      <c r="H330" s="7" t="str">
        <f t="shared" si="2"/>
        <v>NO</v>
      </c>
      <c r="I330" s="7" t="str">
        <f t="shared" si="3"/>
        <v>NO</v>
      </c>
    </row>
    <row r="331">
      <c r="A331" s="4">
        <f>IFERROR(__xludf.DUMMYFUNCTION("""COMPUTED_VALUE"""),1154629.0)</f>
        <v>1154629</v>
      </c>
      <c r="B331" s="4" t="str">
        <f>IFERROR(__xludf.DUMMYFUNCTION("""COMPUTED_VALUE"""),"P3 - Medium")</f>
        <v>P3 - Medium</v>
      </c>
      <c r="C331" s="5">
        <f>IFERROR(__xludf.DUMMYFUNCTION("""COMPUTED_VALUE"""),43759.51472222222)</f>
        <v>43759.51472</v>
      </c>
      <c r="D331" s="4" t="str">
        <f>IFERROR(__xludf.DUMMYFUNCTION("""COMPUTED_VALUE"""),"RESOLVED")</f>
        <v>RESOLVED</v>
      </c>
      <c r="E331" s="6">
        <f>IFERROR(__xludf.DUMMYFUNCTION("""COMPUTED_VALUE"""),44384.790497685186)</f>
        <v>44384.7905</v>
      </c>
      <c r="F331" s="4" t="str">
        <f>IFERROR(__xludf.DUMMYFUNCTION("""COMPUTED_VALUE""")," ---")</f>
        <v> ---</v>
      </c>
      <c r="G331" s="4" t="str">
        <f>IFERROR(__xludf.DUMMYFUNCTION("""COMPUTED_VALUE"""),"SUSE Linux Enterprise Server 15 SP2")</f>
        <v>SUSE Linux Enterprise Server 15 SP2</v>
      </c>
      <c r="H331" s="7" t="str">
        <f t="shared" si="2"/>
        <v>NO</v>
      </c>
      <c r="I331" s="7" t="str">
        <f t="shared" si="3"/>
        <v>NO</v>
      </c>
    </row>
    <row r="332">
      <c r="A332" s="4">
        <f>IFERROR(__xludf.DUMMYFUNCTION("""COMPUTED_VALUE"""),1154630.0)</f>
        <v>1154630</v>
      </c>
      <c r="B332" s="4" t="str">
        <f>IFERROR(__xludf.DUMMYFUNCTION("""COMPUTED_VALUE"""),"P3 - Medium")</f>
        <v>P3 - Medium</v>
      </c>
      <c r="C332" s="5">
        <f>IFERROR(__xludf.DUMMYFUNCTION("""COMPUTED_VALUE"""),43759.51488425926)</f>
        <v>43759.51488</v>
      </c>
      <c r="D332" s="4" t="str">
        <f>IFERROR(__xludf.DUMMYFUNCTION("""COMPUTED_VALUE"""),"RESOLVED")</f>
        <v>RESOLVED</v>
      </c>
      <c r="E332" s="6">
        <f>IFERROR(__xludf.DUMMYFUNCTION("""COMPUTED_VALUE"""),44384.79056712963)</f>
        <v>44384.79057</v>
      </c>
      <c r="F332" s="4" t="str">
        <f>IFERROR(__xludf.DUMMYFUNCTION("""COMPUTED_VALUE""")," ---")</f>
        <v> ---</v>
      </c>
      <c r="G332" s="4" t="str">
        <f>IFERROR(__xludf.DUMMYFUNCTION("""COMPUTED_VALUE"""),"SUSE Linux Enterprise Server 15 SP2")</f>
        <v>SUSE Linux Enterprise Server 15 SP2</v>
      </c>
      <c r="H332" s="7" t="str">
        <f t="shared" si="2"/>
        <v>NO</v>
      </c>
      <c r="I332" s="7" t="str">
        <f t="shared" si="3"/>
        <v>NO</v>
      </c>
    </row>
    <row r="333">
      <c r="A333" s="4">
        <f>IFERROR(__xludf.DUMMYFUNCTION("""COMPUTED_VALUE"""),1154631.0)</f>
        <v>1154631</v>
      </c>
      <c r="B333" s="4" t="str">
        <f>IFERROR(__xludf.DUMMYFUNCTION("""COMPUTED_VALUE"""),"P3 - Medium")</f>
        <v>P3 - Medium</v>
      </c>
      <c r="C333" s="5">
        <f>IFERROR(__xludf.DUMMYFUNCTION("""COMPUTED_VALUE"""),43759.51495370371)</f>
        <v>43759.51495</v>
      </c>
      <c r="D333" s="4" t="str">
        <f>IFERROR(__xludf.DUMMYFUNCTION("""COMPUTED_VALUE"""),"RESOLVED")</f>
        <v>RESOLVED</v>
      </c>
      <c r="E333" s="6">
        <f>IFERROR(__xludf.DUMMYFUNCTION("""COMPUTED_VALUE"""),44384.79063657407)</f>
        <v>44384.79064</v>
      </c>
      <c r="F333" s="4" t="str">
        <f>IFERROR(__xludf.DUMMYFUNCTION("""COMPUTED_VALUE""")," ---")</f>
        <v> ---</v>
      </c>
      <c r="G333" s="4" t="str">
        <f>IFERROR(__xludf.DUMMYFUNCTION("""COMPUTED_VALUE"""),"SUSE Linux Enterprise Server 15 SP2")</f>
        <v>SUSE Linux Enterprise Server 15 SP2</v>
      </c>
      <c r="H333" s="7" t="str">
        <f t="shared" si="2"/>
        <v>NO</v>
      </c>
      <c r="I333" s="7" t="str">
        <f t="shared" si="3"/>
        <v>NO</v>
      </c>
    </row>
    <row r="334">
      <c r="A334" s="4">
        <f>IFERROR(__xludf.DUMMYFUNCTION("""COMPUTED_VALUE"""),1154632.0)</f>
        <v>1154632</v>
      </c>
      <c r="B334" s="4" t="str">
        <f>IFERROR(__xludf.DUMMYFUNCTION("""COMPUTED_VALUE"""),"P3 - Medium")</f>
        <v>P3 - Medium</v>
      </c>
      <c r="C334" s="5">
        <f>IFERROR(__xludf.DUMMYFUNCTION("""COMPUTED_VALUE"""),43759.51503472222)</f>
        <v>43759.51503</v>
      </c>
      <c r="D334" s="4" t="str">
        <f>IFERROR(__xludf.DUMMYFUNCTION("""COMPUTED_VALUE"""),"RESOLVED")</f>
        <v>RESOLVED</v>
      </c>
      <c r="E334" s="6">
        <f>IFERROR(__xludf.DUMMYFUNCTION("""COMPUTED_VALUE"""),44384.79070601852)</f>
        <v>44384.79071</v>
      </c>
      <c r="F334" s="4" t="str">
        <f>IFERROR(__xludf.DUMMYFUNCTION("""COMPUTED_VALUE""")," ---")</f>
        <v> ---</v>
      </c>
      <c r="G334" s="4" t="str">
        <f>IFERROR(__xludf.DUMMYFUNCTION("""COMPUTED_VALUE"""),"SUSE Linux Enterprise Server 15 SP2")</f>
        <v>SUSE Linux Enterprise Server 15 SP2</v>
      </c>
      <c r="H334" s="7" t="str">
        <f t="shared" si="2"/>
        <v>NO</v>
      </c>
      <c r="I334" s="7" t="str">
        <f t="shared" si="3"/>
        <v>NO</v>
      </c>
    </row>
    <row r="335">
      <c r="A335" s="4">
        <f>IFERROR(__xludf.DUMMYFUNCTION("""COMPUTED_VALUE"""),1154633.0)</f>
        <v>1154633</v>
      </c>
      <c r="B335" s="4" t="str">
        <f>IFERROR(__xludf.DUMMYFUNCTION("""COMPUTED_VALUE"""),"P3 - Medium")</f>
        <v>P3 - Medium</v>
      </c>
      <c r="C335" s="5">
        <f>IFERROR(__xludf.DUMMYFUNCTION("""COMPUTED_VALUE"""),43759.51510416667)</f>
        <v>43759.5151</v>
      </c>
      <c r="D335" s="4" t="str">
        <f>IFERROR(__xludf.DUMMYFUNCTION("""COMPUTED_VALUE"""),"RESOLVED")</f>
        <v>RESOLVED</v>
      </c>
      <c r="E335" s="6">
        <f>IFERROR(__xludf.DUMMYFUNCTION("""COMPUTED_VALUE"""),44384.79077546296)</f>
        <v>44384.79078</v>
      </c>
      <c r="F335" s="4" t="str">
        <f>IFERROR(__xludf.DUMMYFUNCTION("""COMPUTED_VALUE""")," ---")</f>
        <v> ---</v>
      </c>
      <c r="G335" s="4" t="str">
        <f>IFERROR(__xludf.DUMMYFUNCTION("""COMPUTED_VALUE"""),"SUSE Linux Enterprise Server 15 SP2")</f>
        <v>SUSE Linux Enterprise Server 15 SP2</v>
      </c>
      <c r="H335" s="7" t="str">
        <f t="shared" si="2"/>
        <v>NO</v>
      </c>
      <c r="I335" s="7" t="str">
        <f t="shared" si="3"/>
        <v>NO</v>
      </c>
    </row>
    <row r="336">
      <c r="A336" s="4">
        <f>IFERROR(__xludf.DUMMYFUNCTION("""COMPUTED_VALUE"""),1154634.0)</f>
        <v>1154634</v>
      </c>
      <c r="B336" s="4" t="str">
        <f>IFERROR(__xludf.DUMMYFUNCTION("""COMPUTED_VALUE"""),"P3 - Medium")</f>
        <v>P3 - Medium</v>
      </c>
      <c r="C336" s="5">
        <f>IFERROR(__xludf.DUMMYFUNCTION("""COMPUTED_VALUE"""),43759.515173611115)</f>
        <v>43759.51517</v>
      </c>
      <c r="D336" s="4" t="str">
        <f>IFERROR(__xludf.DUMMYFUNCTION("""COMPUTED_VALUE"""),"RESOLVED")</f>
        <v>RESOLVED</v>
      </c>
      <c r="E336" s="6">
        <f>IFERROR(__xludf.DUMMYFUNCTION("""COMPUTED_VALUE"""),44384.79084490741)</f>
        <v>44384.79084</v>
      </c>
      <c r="F336" s="4" t="str">
        <f>IFERROR(__xludf.DUMMYFUNCTION("""COMPUTED_VALUE""")," ---")</f>
        <v> ---</v>
      </c>
      <c r="G336" s="4" t="str">
        <f>IFERROR(__xludf.DUMMYFUNCTION("""COMPUTED_VALUE"""),"SUSE Linux Enterprise Server 15 SP2")</f>
        <v>SUSE Linux Enterprise Server 15 SP2</v>
      </c>
      <c r="H336" s="7" t="str">
        <f t="shared" si="2"/>
        <v>NO</v>
      </c>
      <c r="I336" s="7" t="str">
        <f t="shared" si="3"/>
        <v>NO</v>
      </c>
    </row>
    <row r="337">
      <c r="A337" s="4">
        <f>IFERROR(__xludf.DUMMYFUNCTION("""COMPUTED_VALUE"""),1154635.0)</f>
        <v>1154635</v>
      </c>
      <c r="B337" s="4" t="str">
        <f>IFERROR(__xludf.DUMMYFUNCTION("""COMPUTED_VALUE"""),"P3 - Medium")</f>
        <v>P3 - Medium</v>
      </c>
      <c r="C337" s="5">
        <f>IFERROR(__xludf.DUMMYFUNCTION("""COMPUTED_VALUE"""),43759.51530092592)</f>
        <v>43759.5153</v>
      </c>
      <c r="D337" s="4" t="str">
        <f>IFERROR(__xludf.DUMMYFUNCTION("""COMPUTED_VALUE"""),"RESOLVED")</f>
        <v>RESOLVED</v>
      </c>
      <c r="E337" s="6">
        <f>IFERROR(__xludf.DUMMYFUNCTION("""COMPUTED_VALUE"""),44384.790914351855)</f>
        <v>44384.79091</v>
      </c>
      <c r="F337" s="4" t="str">
        <f>IFERROR(__xludf.DUMMYFUNCTION("""COMPUTED_VALUE""")," ---")</f>
        <v> ---</v>
      </c>
      <c r="G337" s="4" t="str">
        <f>IFERROR(__xludf.DUMMYFUNCTION("""COMPUTED_VALUE"""),"SUSE Linux Enterprise Server 15 SP2")</f>
        <v>SUSE Linux Enterprise Server 15 SP2</v>
      </c>
      <c r="H337" s="7" t="str">
        <f t="shared" si="2"/>
        <v>NO</v>
      </c>
      <c r="I337" s="7" t="str">
        <f t="shared" si="3"/>
        <v>NO</v>
      </c>
    </row>
    <row r="338">
      <c r="A338" s="4">
        <f>IFERROR(__xludf.DUMMYFUNCTION("""COMPUTED_VALUE"""),1154636.0)</f>
        <v>1154636</v>
      </c>
      <c r="B338" s="4" t="str">
        <f>IFERROR(__xludf.DUMMYFUNCTION("""COMPUTED_VALUE"""),"P3 - Medium")</f>
        <v>P3 - Medium</v>
      </c>
      <c r="C338" s="5">
        <f>IFERROR(__xludf.DUMMYFUNCTION("""COMPUTED_VALUE"""),43759.51537037037)</f>
        <v>43759.51537</v>
      </c>
      <c r="D338" s="4" t="str">
        <f>IFERROR(__xludf.DUMMYFUNCTION("""COMPUTED_VALUE"""),"RESOLVED")</f>
        <v>RESOLVED</v>
      </c>
      <c r="E338" s="6">
        <f>IFERROR(__xludf.DUMMYFUNCTION("""COMPUTED_VALUE"""),44384.790983796294)</f>
        <v>44384.79098</v>
      </c>
      <c r="F338" s="4" t="str">
        <f>IFERROR(__xludf.DUMMYFUNCTION("""COMPUTED_VALUE""")," ---")</f>
        <v> ---</v>
      </c>
      <c r="G338" s="4" t="str">
        <f>IFERROR(__xludf.DUMMYFUNCTION("""COMPUTED_VALUE"""),"SUSE Linux Enterprise Server 15 SP2")</f>
        <v>SUSE Linux Enterprise Server 15 SP2</v>
      </c>
      <c r="H338" s="7" t="str">
        <f t="shared" si="2"/>
        <v>NO</v>
      </c>
      <c r="I338" s="7" t="str">
        <f t="shared" si="3"/>
        <v>NO</v>
      </c>
    </row>
    <row r="339">
      <c r="A339" s="4">
        <f>IFERROR(__xludf.DUMMYFUNCTION("""COMPUTED_VALUE"""),1154637.0)</f>
        <v>1154637</v>
      </c>
      <c r="B339" s="4" t="str">
        <f>IFERROR(__xludf.DUMMYFUNCTION("""COMPUTED_VALUE"""),"P3 - Medium")</f>
        <v>P3 - Medium</v>
      </c>
      <c r="C339" s="5">
        <f>IFERROR(__xludf.DUMMYFUNCTION("""COMPUTED_VALUE"""),43759.515439814815)</f>
        <v>43759.51544</v>
      </c>
      <c r="D339" s="4" t="str">
        <f>IFERROR(__xludf.DUMMYFUNCTION("""COMPUTED_VALUE"""),"RESOLVED")</f>
        <v>RESOLVED</v>
      </c>
      <c r="E339" s="6">
        <f>IFERROR(__xludf.DUMMYFUNCTION("""COMPUTED_VALUE"""),44384.79105324074)</f>
        <v>44384.79105</v>
      </c>
      <c r="F339" s="4" t="str">
        <f>IFERROR(__xludf.DUMMYFUNCTION("""COMPUTED_VALUE""")," ---")</f>
        <v> ---</v>
      </c>
      <c r="G339" s="4" t="str">
        <f>IFERROR(__xludf.DUMMYFUNCTION("""COMPUTED_VALUE"""),"SUSE Linux Enterprise Server 15 SP2")</f>
        <v>SUSE Linux Enterprise Server 15 SP2</v>
      </c>
      <c r="H339" s="7" t="str">
        <f t="shared" si="2"/>
        <v>NO</v>
      </c>
      <c r="I339" s="7" t="str">
        <f t="shared" si="3"/>
        <v>NO</v>
      </c>
    </row>
    <row r="340">
      <c r="A340" s="4">
        <f>IFERROR(__xludf.DUMMYFUNCTION("""COMPUTED_VALUE"""),1159592.0)</f>
        <v>1159592</v>
      </c>
      <c r="B340" s="4" t="str">
        <f>IFERROR(__xludf.DUMMYFUNCTION("""COMPUTED_VALUE"""),"P3 - Medium")</f>
        <v>P3 - Medium</v>
      </c>
      <c r="C340" s="5">
        <f>IFERROR(__xludf.DUMMYFUNCTION("""COMPUTED_VALUE"""),43818.97554398148)</f>
        <v>43818.97554</v>
      </c>
      <c r="D340" s="4" t="str">
        <f>IFERROR(__xludf.DUMMYFUNCTION("""COMPUTED_VALUE"""),"RESOLVED")</f>
        <v>RESOLVED</v>
      </c>
      <c r="E340" s="6">
        <f>IFERROR(__xludf.DUMMYFUNCTION("""COMPUTED_VALUE"""),44384.79769675926)</f>
        <v>44384.7977</v>
      </c>
      <c r="F340" s="4" t="str">
        <f>IFERROR(__xludf.DUMMYFUNCTION("""COMPUTED_VALUE""")," ---")</f>
        <v> ---</v>
      </c>
      <c r="G340" s="4" t="str">
        <f>IFERROR(__xludf.DUMMYFUNCTION("""COMPUTED_VALUE"""),"SUSE Linux Enterprise Server 15 SP2")</f>
        <v>SUSE Linux Enterprise Server 15 SP2</v>
      </c>
      <c r="H340" s="7" t="str">
        <f t="shared" si="2"/>
        <v>NO</v>
      </c>
      <c r="I340" s="7" t="str">
        <f t="shared" si="3"/>
        <v>NO</v>
      </c>
    </row>
    <row r="341">
      <c r="A341" s="4">
        <f>IFERROR(__xludf.DUMMYFUNCTION("""COMPUTED_VALUE"""),1160750.0)</f>
        <v>1160750</v>
      </c>
      <c r="B341" s="4" t="str">
        <f>IFERROR(__xludf.DUMMYFUNCTION("""COMPUTED_VALUE"""),"P3 - Medium")</f>
        <v>P3 - Medium</v>
      </c>
      <c r="C341" s="5">
        <f>IFERROR(__xludf.DUMMYFUNCTION("""COMPUTED_VALUE"""),43843.38453703704)</f>
        <v>43843.38454</v>
      </c>
      <c r="D341" s="4" t="str">
        <f>IFERROR(__xludf.DUMMYFUNCTION("""COMPUTED_VALUE"""),"RESOLVED")</f>
        <v>RESOLVED</v>
      </c>
      <c r="E341" s="6">
        <f>IFERROR(__xludf.DUMMYFUNCTION("""COMPUTED_VALUE"""),44384.80090277778)</f>
        <v>44384.8009</v>
      </c>
      <c r="F341" s="4" t="str">
        <f>IFERROR(__xludf.DUMMYFUNCTION("""COMPUTED_VALUE""")," ---")</f>
        <v> ---</v>
      </c>
      <c r="G341" s="4" t="str">
        <f>IFERROR(__xludf.DUMMYFUNCTION("""COMPUTED_VALUE"""),"SUSE Linux Enterprise Server 15 SP2")</f>
        <v>SUSE Linux Enterprise Server 15 SP2</v>
      </c>
      <c r="H341" s="7" t="str">
        <f t="shared" si="2"/>
        <v>NO</v>
      </c>
      <c r="I341" s="7" t="str">
        <f t="shared" si="3"/>
        <v>NO</v>
      </c>
    </row>
    <row r="342">
      <c r="A342" s="4">
        <f>IFERROR(__xludf.DUMMYFUNCTION("""COMPUTED_VALUE"""),1160751.0)</f>
        <v>1160751</v>
      </c>
      <c r="B342" s="4" t="str">
        <f>IFERROR(__xludf.DUMMYFUNCTION("""COMPUTED_VALUE"""),"P3 - Medium")</f>
        <v>P3 - Medium</v>
      </c>
      <c r="C342" s="5">
        <f>IFERROR(__xludf.DUMMYFUNCTION("""COMPUTED_VALUE"""),43843.384675925925)</f>
        <v>43843.38468</v>
      </c>
      <c r="D342" s="4" t="str">
        <f>IFERROR(__xludf.DUMMYFUNCTION("""COMPUTED_VALUE"""),"RESOLVED")</f>
        <v>RESOLVED</v>
      </c>
      <c r="E342" s="6">
        <f>IFERROR(__xludf.DUMMYFUNCTION("""COMPUTED_VALUE"""),44384.80097222222)</f>
        <v>44384.80097</v>
      </c>
      <c r="F342" s="4" t="str">
        <f>IFERROR(__xludf.DUMMYFUNCTION("""COMPUTED_VALUE""")," ---")</f>
        <v> ---</v>
      </c>
      <c r="G342" s="4" t="str">
        <f>IFERROR(__xludf.DUMMYFUNCTION("""COMPUTED_VALUE"""),"SUSE Linux Enterprise Server 15 SP2")</f>
        <v>SUSE Linux Enterprise Server 15 SP2</v>
      </c>
      <c r="H342" s="7" t="str">
        <f t="shared" si="2"/>
        <v>NO</v>
      </c>
      <c r="I342" s="7" t="str">
        <f t="shared" si="3"/>
        <v>NO</v>
      </c>
    </row>
    <row r="343">
      <c r="A343" s="4">
        <f>IFERROR(__xludf.DUMMYFUNCTION("""COMPUTED_VALUE"""),1160752.0)</f>
        <v>1160752</v>
      </c>
      <c r="B343" s="4" t="str">
        <f>IFERROR(__xludf.DUMMYFUNCTION("""COMPUTED_VALUE"""),"P3 - Medium")</f>
        <v>P3 - Medium</v>
      </c>
      <c r="C343" s="5">
        <f>IFERROR(__xludf.DUMMYFUNCTION("""COMPUTED_VALUE"""),43843.38474537037)</f>
        <v>43843.38475</v>
      </c>
      <c r="D343" s="4" t="str">
        <f>IFERROR(__xludf.DUMMYFUNCTION("""COMPUTED_VALUE"""),"RESOLVED")</f>
        <v>RESOLVED</v>
      </c>
      <c r="E343" s="6">
        <f>IFERROR(__xludf.DUMMYFUNCTION("""COMPUTED_VALUE"""),44384.801041666666)</f>
        <v>44384.80104</v>
      </c>
      <c r="F343" s="4" t="str">
        <f>IFERROR(__xludf.DUMMYFUNCTION("""COMPUTED_VALUE""")," ---")</f>
        <v> ---</v>
      </c>
      <c r="G343" s="4" t="str">
        <f>IFERROR(__xludf.DUMMYFUNCTION("""COMPUTED_VALUE"""),"SUSE Linux Enterprise Server 15 SP2")</f>
        <v>SUSE Linux Enterprise Server 15 SP2</v>
      </c>
      <c r="H343" s="7" t="str">
        <f t="shared" si="2"/>
        <v>NO</v>
      </c>
      <c r="I343" s="7" t="str">
        <f t="shared" si="3"/>
        <v>NO</v>
      </c>
    </row>
    <row r="344">
      <c r="A344" s="4">
        <f>IFERROR(__xludf.DUMMYFUNCTION("""COMPUTED_VALUE"""),1162393.0)</f>
        <v>1162393</v>
      </c>
      <c r="B344" s="4" t="str">
        <f>IFERROR(__xludf.DUMMYFUNCTION("""COMPUTED_VALUE"""),"P3 - Medium")</f>
        <v>P3 - Medium</v>
      </c>
      <c r="C344" s="5">
        <f>IFERROR(__xludf.DUMMYFUNCTION("""COMPUTED_VALUE"""),43861.639699074076)</f>
        <v>43861.6397</v>
      </c>
      <c r="D344" s="4" t="str">
        <f>IFERROR(__xludf.DUMMYFUNCTION("""COMPUTED_VALUE"""),"RESOLVED")</f>
        <v>RESOLVED</v>
      </c>
      <c r="E344" s="6">
        <f>IFERROR(__xludf.DUMMYFUNCTION("""COMPUTED_VALUE"""),44384.802939814814)</f>
        <v>44384.80294</v>
      </c>
      <c r="F344" s="4" t="str">
        <f>IFERROR(__xludf.DUMMYFUNCTION("""COMPUTED_VALUE""")," ---")</f>
        <v> ---</v>
      </c>
      <c r="G344" s="4" t="str">
        <f>IFERROR(__xludf.DUMMYFUNCTION("""COMPUTED_VALUE"""),"SUSE Linux Enterprise Server 15 SP2")</f>
        <v>SUSE Linux Enterprise Server 15 SP2</v>
      </c>
      <c r="H344" s="7" t="str">
        <f t="shared" si="2"/>
        <v>NO</v>
      </c>
      <c r="I344" s="7" t="str">
        <f t="shared" si="3"/>
        <v>YES</v>
      </c>
    </row>
    <row r="345">
      <c r="A345" s="4">
        <f>IFERROR(__xludf.DUMMYFUNCTION("""COMPUTED_VALUE"""),1162684.0)</f>
        <v>1162684</v>
      </c>
      <c r="B345" s="4" t="str">
        <f>IFERROR(__xludf.DUMMYFUNCTION("""COMPUTED_VALUE"""),"P3 - Medium")</f>
        <v>P3 - Medium</v>
      </c>
      <c r="C345" s="5">
        <f>IFERROR(__xludf.DUMMYFUNCTION("""COMPUTED_VALUE"""),43865.64203703704)</f>
        <v>43865.64204</v>
      </c>
      <c r="D345" s="4" t="str">
        <f>IFERROR(__xludf.DUMMYFUNCTION("""COMPUTED_VALUE"""),"RESOLVED")</f>
        <v>RESOLVED</v>
      </c>
      <c r="E345" s="6">
        <f>IFERROR(__xludf.DUMMYFUNCTION("""COMPUTED_VALUE"""),44384.803460648145)</f>
        <v>44384.80346</v>
      </c>
      <c r="F345" s="4" t="str">
        <f>IFERROR(__xludf.DUMMYFUNCTION("""COMPUTED_VALUE""")," ---")</f>
        <v> ---</v>
      </c>
      <c r="G345" s="4" t="str">
        <f>IFERROR(__xludf.DUMMYFUNCTION("""COMPUTED_VALUE"""),"SUSE Linux Enterprise Server 15 SP2")</f>
        <v>SUSE Linux Enterprise Server 15 SP2</v>
      </c>
      <c r="H345" s="7" t="str">
        <f t="shared" si="2"/>
        <v>NO</v>
      </c>
      <c r="I345" s="7" t="str">
        <f t="shared" si="3"/>
        <v>NO</v>
      </c>
    </row>
    <row r="346">
      <c r="A346" s="4">
        <f>IFERROR(__xludf.DUMMYFUNCTION("""COMPUTED_VALUE"""),1164302.0)</f>
        <v>1164302</v>
      </c>
      <c r="B346" s="4" t="str">
        <f>IFERROR(__xludf.DUMMYFUNCTION("""COMPUTED_VALUE"""),"P3 - Medium")</f>
        <v>P3 - Medium</v>
      </c>
      <c r="C346" s="5">
        <f>IFERROR(__xludf.DUMMYFUNCTION("""COMPUTED_VALUE"""),43880.554560185185)</f>
        <v>43880.55456</v>
      </c>
      <c r="D346" s="4" t="str">
        <f>IFERROR(__xludf.DUMMYFUNCTION("""COMPUTED_VALUE"""),"RESOLVED")</f>
        <v>RESOLVED</v>
      </c>
      <c r="E346" s="6">
        <f>IFERROR(__xludf.DUMMYFUNCTION("""COMPUTED_VALUE"""),44384.81177083333)</f>
        <v>44384.81177</v>
      </c>
      <c r="F346" s="4" t="str">
        <f>IFERROR(__xludf.DUMMYFUNCTION("""COMPUTED_VALUE""")," ---")</f>
        <v> ---</v>
      </c>
      <c r="G346" s="4" t="str">
        <f>IFERROR(__xludf.DUMMYFUNCTION("""COMPUTED_VALUE"""),"SUSE Linux Enterprise Server 15 SP2")</f>
        <v>SUSE Linux Enterprise Server 15 SP2</v>
      </c>
      <c r="H346" s="7" t="str">
        <f t="shared" si="2"/>
        <v>NO</v>
      </c>
      <c r="I346" s="7" t="str">
        <f t="shared" si="3"/>
        <v>NO</v>
      </c>
    </row>
    <row r="347">
      <c r="A347" s="4">
        <f>IFERROR(__xludf.DUMMYFUNCTION("""COMPUTED_VALUE"""),1164303.0)</f>
        <v>1164303</v>
      </c>
      <c r="B347" s="4" t="str">
        <f>IFERROR(__xludf.DUMMYFUNCTION("""COMPUTED_VALUE"""),"P3 - Medium")</f>
        <v>P3 - Medium</v>
      </c>
      <c r="C347" s="5">
        <f>IFERROR(__xludf.DUMMYFUNCTION("""COMPUTED_VALUE"""),43880.5546412037)</f>
        <v>43880.55464</v>
      </c>
      <c r="D347" s="4" t="str">
        <f>IFERROR(__xludf.DUMMYFUNCTION("""COMPUTED_VALUE"""),"RESOLVED")</f>
        <v>RESOLVED</v>
      </c>
      <c r="E347" s="6">
        <f>IFERROR(__xludf.DUMMYFUNCTION("""COMPUTED_VALUE"""),44384.811840277776)</f>
        <v>44384.81184</v>
      </c>
      <c r="F347" s="4" t="str">
        <f>IFERROR(__xludf.DUMMYFUNCTION("""COMPUTED_VALUE""")," ---")</f>
        <v> ---</v>
      </c>
      <c r="G347" s="4" t="str">
        <f>IFERROR(__xludf.DUMMYFUNCTION("""COMPUTED_VALUE"""),"SUSE Linux Enterprise Server 15 SP2")</f>
        <v>SUSE Linux Enterprise Server 15 SP2</v>
      </c>
      <c r="H347" s="7" t="str">
        <f t="shared" si="2"/>
        <v>NO</v>
      </c>
      <c r="I347" s="7" t="str">
        <f t="shared" si="3"/>
        <v>NO</v>
      </c>
    </row>
    <row r="348">
      <c r="A348" s="4">
        <f>IFERROR(__xludf.DUMMYFUNCTION("""COMPUTED_VALUE"""),1164304.0)</f>
        <v>1164304</v>
      </c>
      <c r="B348" s="4" t="str">
        <f>IFERROR(__xludf.DUMMYFUNCTION("""COMPUTED_VALUE"""),"P3 - Medium")</f>
        <v>P3 - Medium</v>
      </c>
      <c r="C348" s="5">
        <f>IFERROR(__xludf.DUMMYFUNCTION("""COMPUTED_VALUE"""),43880.55480324074)</f>
        <v>43880.5548</v>
      </c>
      <c r="D348" s="4" t="str">
        <f>IFERROR(__xludf.DUMMYFUNCTION("""COMPUTED_VALUE"""),"RESOLVED")</f>
        <v>RESOLVED</v>
      </c>
      <c r="E348" s="6">
        <f>IFERROR(__xludf.DUMMYFUNCTION("""COMPUTED_VALUE"""),44384.81190972222)</f>
        <v>44384.81191</v>
      </c>
      <c r="F348" s="4" t="str">
        <f>IFERROR(__xludf.DUMMYFUNCTION("""COMPUTED_VALUE""")," ---")</f>
        <v> ---</v>
      </c>
      <c r="G348" s="4" t="str">
        <f>IFERROR(__xludf.DUMMYFUNCTION("""COMPUTED_VALUE"""),"SUSE Linux Enterprise Server 15 SP2")</f>
        <v>SUSE Linux Enterprise Server 15 SP2</v>
      </c>
      <c r="H348" s="7" t="str">
        <f t="shared" si="2"/>
        <v>NO</v>
      </c>
      <c r="I348" s="7" t="str">
        <f t="shared" si="3"/>
        <v>NO</v>
      </c>
    </row>
    <row r="349">
      <c r="A349" s="4">
        <f>IFERROR(__xludf.DUMMYFUNCTION("""COMPUTED_VALUE"""),1164305.0)</f>
        <v>1164305</v>
      </c>
      <c r="B349" s="4" t="str">
        <f>IFERROR(__xludf.DUMMYFUNCTION("""COMPUTED_VALUE"""),"P3 - Medium")</f>
        <v>P3 - Medium</v>
      </c>
      <c r="C349" s="5">
        <f>IFERROR(__xludf.DUMMYFUNCTION("""COMPUTED_VALUE"""),43880.554872685185)</f>
        <v>43880.55487</v>
      </c>
      <c r="D349" s="4" t="str">
        <f>IFERROR(__xludf.DUMMYFUNCTION("""COMPUTED_VALUE"""),"RESOLVED")</f>
        <v>RESOLVED</v>
      </c>
      <c r="E349" s="6">
        <f>IFERROR(__xludf.DUMMYFUNCTION("""COMPUTED_VALUE"""),44384.81197916667)</f>
        <v>44384.81198</v>
      </c>
      <c r="F349" s="4" t="str">
        <f>IFERROR(__xludf.DUMMYFUNCTION("""COMPUTED_VALUE""")," ---")</f>
        <v> ---</v>
      </c>
      <c r="G349" s="4" t="str">
        <f>IFERROR(__xludf.DUMMYFUNCTION("""COMPUTED_VALUE"""),"SUSE Linux Enterprise Server 15 SP2")</f>
        <v>SUSE Linux Enterprise Server 15 SP2</v>
      </c>
      <c r="H349" s="7" t="str">
        <f t="shared" si="2"/>
        <v>NO</v>
      </c>
      <c r="I349" s="7" t="str">
        <f t="shared" si="3"/>
        <v>NO</v>
      </c>
    </row>
    <row r="350">
      <c r="A350" s="4">
        <f>IFERROR(__xludf.DUMMYFUNCTION("""COMPUTED_VALUE"""),1164306.0)</f>
        <v>1164306</v>
      </c>
      <c r="B350" s="4" t="str">
        <f>IFERROR(__xludf.DUMMYFUNCTION("""COMPUTED_VALUE"""),"P3 - Medium")</f>
        <v>P3 - Medium</v>
      </c>
      <c r="C350" s="5">
        <f>IFERROR(__xludf.DUMMYFUNCTION("""COMPUTED_VALUE"""),43880.55503472222)</f>
        <v>43880.55503</v>
      </c>
      <c r="D350" s="4" t="str">
        <f>IFERROR(__xludf.DUMMYFUNCTION("""COMPUTED_VALUE"""),"RESOLVED")</f>
        <v>RESOLVED</v>
      </c>
      <c r="E350" s="6">
        <f>IFERROR(__xludf.DUMMYFUNCTION("""COMPUTED_VALUE"""),44384.812048611115)</f>
        <v>44384.81205</v>
      </c>
      <c r="F350" s="4" t="str">
        <f>IFERROR(__xludf.DUMMYFUNCTION("""COMPUTED_VALUE""")," ---")</f>
        <v> ---</v>
      </c>
      <c r="G350" s="4" t="str">
        <f>IFERROR(__xludf.DUMMYFUNCTION("""COMPUTED_VALUE"""),"SUSE Linux Enterprise Server 15 SP2")</f>
        <v>SUSE Linux Enterprise Server 15 SP2</v>
      </c>
      <c r="H350" s="7" t="str">
        <f t="shared" si="2"/>
        <v>NO</v>
      </c>
      <c r="I350" s="7" t="str">
        <f t="shared" si="3"/>
        <v>NO</v>
      </c>
    </row>
    <row r="351">
      <c r="A351" s="4">
        <f>IFERROR(__xludf.DUMMYFUNCTION("""COMPUTED_VALUE"""),1164307.0)</f>
        <v>1164307</v>
      </c>
      <c r="B351" s="4" t="str">
        <f>IFERROR(__xludf.DUMMYFUNCTION("""COMPUTED_VALUE"""),"P3 - Medium")</f>
        <v>P3 - Medium</v>
      </c>
      <c r="C351" s="5">
        <f>IFERROR(__xludf.DUMMYFUNCTION("""COMPUTED_VALUE"""),43880.55510416667)</f>
        <v>43880.5551</v>
      </c>
      <c r="D351" s="4" t="str">
        <f>IFERROR(__xludf.DUMMYFUNCTION("""COMPUTED_VALUE"""),"RESOLVED")</f>
        <v>RESOLVED</v>
      </c>
      <c r="E351" s="6">
        <f>IFERROR(__xludf.DUMMYFUNCTION("""COMPUTED_VALUE"""),44384.81211805555)</f>
        <v>44384.81212</v>
      </c>
      <c r="F351" s="4" t="str">
        <f>IFERROR(__xludf.DUMMYFUNCTION("""COMPUTED_VALUE""")," ---")</f>
        <v> ---</v>
      </c>
      <c r="G351" s="4" t="str">
        <f>IFERROR(__xludf.DUMMYFUNCTION("""COMPUTED_VALUE"""),"SUSE Linux Enterprise Server 15 SP2")</f>
        <v>SUSE Linux Enterprise Server 15 SP2</v>
      </c>
      <c r="H351" s="7" t="str">
        <f t="shared" si="2"/>
        <v>NO</v>
      </c>
      <c r="I351" s="7" t="str">
        <f t="shared" si="3"/>
        <v>NO</v>
      </c>
    </row>
    <row r="352">
      <c r="A352" s="4">
        <f>IFERROR(__xludf.DUMMYFUNCTION("""COMPUTED_VALUE"""),1164308.0)</f>
        <v>1164308</v>
      </c>
      <c r="B352" s="4" t="str">
        <f>IFERROR(__xludf.DUMMYFUNCTION("""COMPUTED_VALUE"""),"P3 - Medium")</f>
        <v>P3 - Medium</v>
      </c>
      <c r="C352" s="5">
        <f>IFERROR(__xludf.DUMMYFUNCTION("""COMPUTED_VALUE"""),43880.5580787037)</f>
        <v>43880.55808</v>
      </c>
      <c r="D352" s="4" t="str">
        <f>IFERROR(__xludf.DUMMYFUNCTION("""COMPUTED_VALUE"""),"RESOLVED")</f>
        <v>RESOLVED</v>
      </c>
      <c r="E352" s="6">
        <f>IFERROR(__xludf.DUMMYFUNCTION("""COMPUTED_VALUE"""),44384.8121875)</f>
        <v>44384.81219</v>
      </c>
      <c r="F352" s="4" t="str">
        <f>IFERROR(__xludf.DUMMYFUNCTION("""COMPUTED_VALUE""")," ---")</f>
        <v> ---</v>
      </c>
      <c r="G352" s="4" t="str">
        <f>IFERROR(__xludf.DUMMYFUNCTION("""COMPUTED_VALUE"""),"SUSE Linux Enterprise Server 15 SP2")</f>
        <v>SUSE Linux Enterprise Server 15 SP2</v>
      </c>
      <c r="H352" s="7" t="str">
        <f t="shared" si="2"/>
        <v>NO</v>
      </c>
      <c r="I352" s="7" t="str">
        <f t="shared" si="3"/>
        <v>NO</v>
      </c>
    </row>
    <row r="353">
      <c r="A353" s="4">
        <f>IFERROR(__xludf.DUMMYFUNCTION("""COMPUTED_VALUE"""),1164328.0)</f>
        <v>1164328</v>
      </c>
      <c r="B353" s="4" t="str">
        <f>IFERROR(__xludf.DUMMYFUNCTION("""COMPUTED_VALUE"""),"P3 - Medium")</f>
        <v>P3 - Medium</v>
      </c>
      <c r="C353" s="5">
        <f>IFERROR(__xludf.DUMMYFUNCTION("""COMPUTED_VALUE"""),43880.65355324074)</f>
        <v>43880.65355</v>
      </c>
      <c r="D353" s="4" t="str">
        <f>IFERROR(__xludf.DUMMYFUNCTION("""COMPUTED_VALUE"""),"RESOLVED")</f>
        <v>RESOLVED</v>
      </c>
      <c r="E353" s="6">
        <f>IFERROR(__xludf.DUMMYFUNCTION("""COMPUTED_VALUE"""),44384.812256944446)</f>
        <v>44384.81226</v>
      </c>
      <c r="F353" s="4" t="str">
        <f>IFERROR(__xludf.DUMMYFUNCTION("""COMPUTED_VALUE""")," ---")</f>
        <v> ---</v>
      </c>
      <c r="G353" s="4" t="str">
        <f>IFERROR(__xludf.DUMMYFUNCTION("""COMPUTED_VALUE"""),"SUSE Linux Enterprise Server 15 SP2")</f>
        <v>SUSE Linux Enterprise Server 15 SP2</v>
      </c>
      <c r="H353" s="7" t="str">
        <f t="shared" si="2"/>
        <v>NO</v>
      </c>
      <c r="I353" s="7" t="str">
        <f t="shared" si="3"/>
        <v>NO</v>
      </c>
    </row>
    <row r="354">
      <c r="A354" s="4">
        <f>IFERROR(__xludf.DUMMYFUNCTION("""COMPUTED_VALUE"""),1164329.0)</f>
        <v>1164329</v>
      </c>
      <c r="B354" s="4" t="str">
        <f>IFERROR(__xludf.DUMMYFUNCTION("""COMPUTED_VALUE"""),"P3 - Medium")</f>
        <v>P3 - Medium</v>
      </c>
      <c r="C354" s="5">
        <f>IFERROR(__xludf.DUMMYFUNCTION("""COMPUTED_VALUE"""),43880.65363425926)</f>
        <v>43880.65363</v>
      </c>
      <c r="D354" s="4" t="str">
        <f>IFERROR(__xludf.DUMMYFUNCTION("""COMPUTED_VALUE"""),"RESOLVED")</f>
        <v>RESOLVED</v>
      </c>
      <c r="E354" s="6">
        <f>IFERROR(__xludf.DUMMYFUNCTION("""COMPUTED_VALUE"""),44384.812314814815)</f>
        <v>44384.81231</v>
      </c>
      <c r="F354" s="4" t="str">
        <f>IFERROR(__xludf.DUMMYFUNCTION("""COMPUTED_VALUE""")," ---")</f>
        <v> ---</v>
      </c>
      <c r="G354" s="4" t="str">
        <f>IFERROR(__xludf.DUMMYFUNCTION("""COMPUTED_VALUE"""),"SUSE Linux Enterprise Server 15 SP2")</f>
        <v>SUSE Linux Enterprise Server 15 SP2</v>
      </c>
      <c r="H354" s="7" t="str">
        <f t="shared" si="2"/>
        <v>NO</v>
      </c>
      <c r="I354" s="7" t="str">
        <f t="shared" si="3"/>
        <v>NO</v>
      </c>
    </row>
    <row r="355">
      <c r="A355" s="4">
        <f>IFERROR(__xludf.DUMMYFUNCTION("""COMPUTED_VALUE"""),1164330.0)</f>
        <v>1164330</v>
      </c>
      <c r="B355" s="4" t="str">
        <f>IFERROR(__xludf.DUMMYFUNCTION("""COMPUTED_VALUE"""),"P3 - Medium")</f>
        <v>P3 - Medium</v>
      </c>
      <c r="C355" s="5">
        <f>IFERROR(__xludf.DUMMYFUNCTION("""COMPUTED_VALUE"""),43880.653761574074)</f>
        <v>43880.65376</v>
      </c>
      <c r="D355" s="4" t="str">
        <f>IFERROR(__xludf.DUMMYFUNCTION("""COMPUTED_VALUE"""),"RESOLVED")</f>
        <v>RESOLVED</v>
      </c>
      <c r="E355" s="6">
        <f>IFERROR(__xludf.DUMMYFUNCTION("""COMPUTED_VALUE"""),44384.81238425926)</f>
        <v>44384.81238</v>
      </c>
      <c r="F355" s="4" t="str">
        <f>IFERROR(__xludf.DUMMYFUNCTION("""COMPUTED_VALUE""")," ---")</f>
        <v> ---</v>
      </c>
      <c r="G355" s="4" t="str">
        <f>IFERROR(__xludf.DUMMYFUNCTION("""COMPUTED_VALUE"""),"SUSE Linux Enterprise Server 15 SP2")</f>
        <v>SUSE Linux Enterprise Server 15 SP2</v>
      </c>
      <c r="H355" s="7" t="str">
        <f t="shared" si="2"/>
        <v>NO</v>
      </c>
      <c r="I355" s="7" t="str">
        <f t="shared" si="3"/>
        <v>NO</v>
      </c>
    </row>
    <row r="356">
      <c r="A356" s="4">
        <f>IFERROR(__xludf.DUMMYFUNCTION("""COMPUTED_VALUE"""),1164331.0)</f>
        <v>1164331</v>
      </c>
      <c r="B356" s="4" t="str">
        <f>IFERROR(__xludf.DUMMYFUNCTION("""COMPUTED_VALUE"""),"P3 - Medium")</f>
        <v>P3 - Medium</v>
      </c>
      <c r="C356" s="5">
        <f>IFERROR(__xludf.DUMMYFUNCTION("""COMPUTED_VALUE"""),43880.65383101852)</f>
        <v>43880.65383</v>
      </c>
      <c r="D356" s="4" t="str">
        <f>IFERROR(__xludf.DUMMYFUNCTION("""COMPUTED_VALUE"""),"RESOLVED")</f>
        <v>RESOLVED</v>
      </c>
      <c r="E356" s="6">
        <f>IFERROR(__xludf.DUMMYFUNCTION("""COMPUTED_VALUE"""),44384.8124537037)</f>
        <v>44384.81245</v>
      </c>
      <c r="F356" s="4" t="str">
        <f>IFERROR(__xludf.DUMMYFUNCTION("""COMPUTED_VALUE""")," ---")</f>
        <v> ---</v>
      </c>
      <c r="G356" s="4" t="str">
        <f>IFERROR(__xludf.DUMMYFUNCTION("""COMPUTED_VALUE"""),"SUSE Linux Enterprise Server 15 SP2")</f>
        <v>SUSE Linux Enterprise Server 15 SP2</v>
      </c>
      <c r="H356" s="7" t="str">
        <f t="shared" si="2"/>
        <v>NO</v>
      </c>
      <c r="I356" s="7" t="str">
        <f t="shared" si="3"/>
        <v>NO</v>
      </c>
    </row>
    <row r="357">
      <c r="A357" s="4">
        <f>IFERROR(__xludf.DUMMYFUNCTION("""COMPUTED_VALUE"""),1164332.0)</f>
        <v>1164332</v>
      </c>
      <c r="B357" s="4" t="str">
        <f>IFERROR(__xludf.DUMMYFUNCTION("""COMPUTED_VALUE"""),"P3 - Medium")</f>
        <v>P3 - Medium</v>
      </c>
      <c r="C357" s="5">
        <f>IFERROR(__xludf.DUMMYFUNCTION("""COMPUTED_VALUE"""),43880.654016203705)</f>
        <v>43880.65402</v>
      </c>
      <c r="D357" s="4" t="str">
        <f>IFERROR(__xludf.DUMMYFUNCTION("""COMPUTED_VALUE"""),"RESOLVED")</f>
        <v>RESOLVED</v>
      </c>
      <c r="E357" s="6">
        <f>IFERROR(__xludf.DUMMYFUNCTION("""COMPUTED_VALUE"""),44384.81253472222)</f>
        <v>44384.81253</v>
      </c>
      <c r="F357" s="4" t="str">
        <f>IFERROR(__xludf.DUMMYFUNCTION("""COMPUTED_VALUE""")," ---")</f>
        <v> ---</v>
      </c>
      <c r="G357" s="4" t="str">
        <f>IFERROR(__xludf.DUMMYFUNCTION("""COMPUTED_VALUE"""),"SUSE Linux Enterprise Server 15 SP2")</f>
        <v>SUSE Linux Enterprise Server 15 SP2</v>
      </c>
      <c r="H357" s="7" t="str">
        <f t="shared" si="2"/>
        <v>NO</v>
      </c>
      <c r="I357" s="7" t="str">
        <f t="shared" si="3"/>
        <v>NO</v>
      </c>
    </row>
    <row r="358">
      <c r="A358" s="4">
        <f>IFERROR(__xludf.DUMMYFUNCTION("""COMPUTED_VALUE"""),1164333.0)</f>
        <v>1164333</v>
      </c>
      <c r="B358" s="4" t="str">
        <f>IFERROR(__xludf.DUMMYFUNCTION("""COMPUTED_VALUE"""),"P3 - Medium")</f>
        <v>P3 - Medium</v>
      </c>
      <c r="C358" s="5">
        <f>IFERROR(__xludf.DUMMYFUNCTION("""COMPUTED_VALUE"""),43880.65408564815)</f>
        <v>43880.65409</v>
      </c>
      <c r="D358" s="4" t="str">
        <f>IFERROR(__xludf.DUMMYFUNCTION("""COMPUTED_VALUE"""),"RESOLVED")</f>
        <v>RESOLVED</v>
      </c>
      <c r="E358" s="6">
        <f>IFERROR(__xludf.DUMMYFUNCTION("""COMPUTED_VALUE"""),44384.81260416667)</f>
        <v>44384.8126</v>
      </c>
      <c r="F358" s="4" t="str">
        <f>IFERROR(__xludf.DUMMYFUNCTION("""COMPUTED_VALUE""")," ---")</f>
        <v> ---</v>
      </c>
      <c r="G358" s="4" t="str">
        <f>IFERROR(__xludf.DUMMYFUNCTION("""COMPUTED_VALUE"""),"SUSE Linux Enterprise Server 15 SP2")</f>
        <v>SUSE Linux Enterprise Server 15 SP2</v>
      </c>
      <c r="H358" s="7" t="str">
        <f t="shared" si="2"/>
        <v>NO</v>
      </c>
      <c r="I358" s="7" t="str">
        <f t="shared" si="3"/>
        <v>NO</v>
      </c>
    </row>
    <row r="359">
      <c r="A359" s="4">
        <f>IFERROR(__xludf.DUMMYFUNCTION("""COMPUTED_VALUE"""),1164334.0)</f>
        <v>1164334</v>
      </c>
      <c r="B359" s="4" t="str">
        <f>IFERROR(__xludf.DUMMYFUNCTION("""COMPUTED_VALUE"""),"P3 - Medium")</f>
        <v>P3 - Medium</v>
      </c>
      <c r="C359" s="5">
        <f>IFERROR(__xludf.DUMMYFUNCTION("""COMPUTED_VALUE"""),43880.65422453704)</f>
        <v>43880.65422</v>
      </c>
      <c r="D359" s="4" t="str">
        <f>IFERROR(__xludf.DUMMYFUNCTION("""COMPUTED_VALUE"""),"RESOLVED")</f>
        <v>RESOLVED</v>
      </c>
      <c r="E359" s="6">
        <f>IFERROR(__xludf.DUMMYFUNCTION("""COMPUTED_VALUE"""),44384.81267361111)</f>
        <v>44384.81267</v>
      </c>
      <c r="F359" s="4" t="str">
        <f>IFERROR(__xludf.DUMMYFUNCTION("""COMPUTED_VALUE""")," ---")</f>
        <v> ---</v>
      </c>
      <c r="G359" s="4" t="str">
        <f>IFERROR(__xludf.DUMMYFUNCTION("""COMPUTED_VALUE"""),"SUSE Linux Enterprise Server 15 SP2")</f>
        <v>SUSE Linux Enterprise Server 15 SP2</v>
      </c>
      <c r="H359" s="7" t="str">
        <f t="shared" si="2"/>
        <v>NO</v>
      </c>
      <c r="I359" s="7" t="str">
        <f t="shared" si="3"/>
        <v>NO</v>
      </c>
    </row>
    <row r="360">
      <c r="A360" s="4">
        <f>IFERROR(__xludf.DUMMYFUNCTION("""COMPUTED_VALUE"""),1164335.0)</f>
        <v>1164335</v>
      </c>
      <c r="B360" s="4" t="str">
        <f>IFERROR(__xludf.DUMMYFUNCTION("""COMPUTED_VALUE"""),"P3 - Medium")</f>
        <v>P3 - Medium</v>
      </c>
      <c r="C360" s="5">
        <f>IFERROR(__xludf.DUMMYFUNCTION("""COMPUTED_VALUE"""),43880.65429398148)</f>
        <v>43880.65429</v>
      </c>
      <c r="D360" s="4" t="str">
        <f>IFERROR(__xludf.DUMMYFUNCTION("""COMPUTED_VALUE"""),"RESOLVED")</f>
        <v>RESOLVED</v>
      </c>
      <c r="E360" s="6">
        <f>IFERROR(__xludf.DUMMYFUNCTION("""COMPUTED_VALUE"""),44384.812743055554)</f>
        <v>44384.81274</v>
      </c>
      <c r="F360" s="4" t="str">
        <f>IFERROR(__xludf.DUMMYFUNCTION("""COMPUTED_VALUE""")," ---")</f>
        <v> ---</v>
      </c>
      <c r="G360" s="4" t="str">
        <f>IFERROR(__xludf.DUMMYFUNCTION("""COMPUTED_VALUE"""),"SUSE Linux Enterprise Server 15 SP2")</f>
        <v>SUSE Linux Enterprise Server 15 SP2</v>
      </c>
      <c r="H360" s="7" t="str">
        <f t="shared" si="2"/>
        <v>NO</v>
      </c>
      <c r="I360" s="7" t="str">
        <f t="shared" si="3"/>
        <v>NO</v>
      </c>
    </row>
    <row r="361">
      <c r="A361" s="4">
        <f>IFERROR(__xludf.DUMMYFUNCTION("""COMPUTED_VALUE"""),1164336.0)</f>
        <v>1164336</v>
      </c>
      <c r="B361" s="4" t="str">
        <f>IFERROR(__xludf.DUMMYFUNCTION("""COMPUTED_VALUE"""),"P3 - Medium")</f>
        <v>P3 - Medium</v>
      </c>
      <c r="C361" s="5">
        <f>IFERROR(__xludf.DUMMYFUNCTION("""COMPUTED_VALUE"""),43880.654444444444)</f>
        <v>43880.65444</v>
      </c>
      <c r="D361" s="4" t="str">
        <f>IFERROR(__xludf.DUMMYFUNCTION("""COMPUTED_VALUE"""),"RESOLVED")</f>
        <v>RESOLVED</v>
      </c>
      <c r="E361" s="6">
        <f>IFERROR(__xludf.DUMMYFUNCTION("""COMPUTED_VALUE"""),44384.8128125)</f>
        <v>44384.81281</v>
      </c>
      <c r="F361" s="4" t="str">
        <f>IFERROR(__xludf.DUMMYFUNCTION("""COMPUTED_VALUE""")," ---")</f>
        <v> ---</v>
      </c>
      <c r="G361" s="4" t="str">
        <f>IFERROR(__xludf.DUMMYFUNCTION("""COMPUTED_VALUE"""),"SUSE Linux Enterprise Server 15 SP2")</f>
        <v>SUSE Linux Enterprise Server 15 SP2</v>
      </c>
      <c r="H361" s="7" t="str">
        <f t="shared" si="2"/>
        <v>NO</v>
      </c>
      <c r="I361" s="7" t="str">
        <f t="shared" si="3"/>
        <v>NO</v>
      </c>
    </row>
    <row r="362">
      <c r="A362" s="4">
        <f>IFERROR(__xludf.DUMMYFUNCTION("""COMPUTED_VALUE"""),1164337.0)</f>
        <v>1164337</v>
      </c>
      <c r="B362" s="4" t="str">
        <f>IFERROR(__xludf.DUMMYFUNCTION("""COMPUTED_VALUE"""),"P3 - Medium")</f>
        <v>P3 - Medium</v>
      </c>
      <c r="C362" s="5">
        <f>IFERROR(__xludf.DUMMYFUNCTION("""COMPUTED_VALUE"""),43880.654594907406)</f>
        <v>43880.65459</v>
      </c>
      <c r="D362" s="4" t="str">
        <f>IFERROR(__xludf.DUMMYFUNCTION("""COMPUTED_VALUE"""),"RESOLVED")</f>
        <v>RESOLVED</v>
      </c>
      <c r="E362" s="6">
        <f>IFERROR(__xludf.DUMMYFUNCTION("""COMPUTED_VALUE"""),44384.81288194445)</f>
        <v>44384.81288</v>
      </c>
      <c r="F362" s="4" t="str">
        <f>IFERROR(__xludf.DUMMYFUNCTION("""COMPUTED_VALUE""")," ---")</f>
        <v> ---</v>
      </c>
      <c r="G362" s="4" t="str">
        <f>IFERROR(__xludf.DUMMYFUNCTION("""COMPUTED_VALUE"""),"SUSE Linux Enterprise Server 15 SP2")</f>
        <v>SUSE Linux Enterprise Server 15 SP2</v>
      </c>
      <c r="H362" s="7" t="str">
        <f t="shared" si="2"/>
        <v>NO</v>
      </c>
      <c r="I362" s="7" t="str">
        <f t="shared" si="3"/>
        <v>NO</v>
      </c>
    </row>
    <row r="363">
      <c r="A363" s="4">
        <f>IFERROR(__xludf.DUMMYFUNCTION("""COMPUTED_VALUE"""),1164338.0)</f>
        <v>1164338</v>
      </c>
      <c r="B363" s="4" t="str">
        <f>IFERROR(__xludf.DUMMYFUNCTION("""COMPUTED_VALUE"""),"P3 - Medium")</f>
        <v>P3 - Medium</v>
      </c>
      <c r="C363" s="5">
        <f>IFERROR(__xludf.DUMMYFUNCTION("""COMPUTED_VALUE"""),43880.654652777775)</f>
        <v>43880.65465</v>
      </c>
      <c r="D363" s="4" t="str">
        <f>IFERROR(__xludf.DUMMYFUNCTION("""COMPUTED_VALUE"""),"RESOLVED")</f>
        <v>RESOLVED</v>
      </c>
      <c r="E363" s="6">
        <f>IFERROR(__xludf.DUMMYFUNCTION("""COMPUTED_VALUE"""),44384.812951388885)</f>
        <v>44384.81295</v>
      </c>
      <c r="F363" s="4" t="str">
        <f>IFERROR(__xludf.DUMMYFUNCTION("""COMPUTED_VALUE""")," ---")</f>
        <v> ---</v>
      </c>
      <c r="G363" s="4" t="str">
        <f>IFERROR(__xludf.DUMMYFUNCTION("""COMPUTED_VALUE"""),"SUSE Linux Enterprise Server 15 SP2")</f>
        <v>SUSE Linux Enterprise Server 15 SP2</v>
      </c>
      <c r="H363" s="7" t="str">
        <f t="shared" si="2"/>
        <v>NO</v>
      </c>
      <c r="I363" s="7" t="str">
        <f t="shared" si="3"/>
        <v>NO</v>
      </c>
    </row>
    <row r="364">
      <c r="A364" s="4">
        <f>IFERROR(__xludf.DUMMYFUNCTION("""COMPUTED_VALUE"""),1164339.0)</f>
        <v>1164339</v>
      </c>
      <c r="B364" s="4" t="str">
        <f>IFERROR(__xludf.DUMMYFUNCTION("""COMPUTED_VALUE"""),"P3 - Medium")</f>
        <v>P3 - Medium</v>
      </c>
      <c r="C364" s="5">
        <f>IFERROR(__xludf.DUMMYFUNCTION("""COMPUTED_VALUE"""),43880.65480324074)</f>
        <v>43880.6548</v>
      </c>
      <c r="D364" s="4" t="str">
        <f>IFERROR(__xludf.DUMMYFUNCTION("""COMPUTED_VALUE"""),"RESOLVED")</f>
        <v>RESOLVED</v>
      </c>
      <c r="E364" s="6">
        <f>IFERROR(__xludf.DUMMYFUNCTION("""COMPUTED_VALUE"""),44384.81302083333)</f>
        <v>44384.81302</v>
      </c>
      <c r="F364" s="4" t="str">
        <f>IFERROR(__xludf.DUMMYFUNCTION("""COMPUTED_VALUE""")," ---")</f>
        <v> ---</v>
      </c>
      <c r="G364" s="4" t="str">
        <f>IFERROR(__xludf.DUMMYFUNCTION("""COMPUTED_VALUE"""),"SUSE Linux Enterprise Server 15 SP2")</f>
        <v>SUSE Linux Enterprise Server 15 SP2</v>
      </c>
      <c r="H364" s="7" t="str">
        <f t="shared" si="2"/>
        <v>NO</v>
      </c>
      <c r="I364" s="7" t="str">
        <f t="shared" si="3"/>
        <v>NO</v>
      </c>
    </row>
    <row r="365">
      <c r="A365" s="4">
        <f>IFERROR(__xludf.DUMMYFUNCTION("""COMPUTED_VALUE"""),1164340.0)</f>
        <v>1164340</v>
      </c>
      <c r="B365" s="4" t="str">
        <f>IFERROR(__xludf.DUMMYFUNCTION("""COMPUTED_VALUE"""),"P3 - Medium")</f>
        <v>P3 - Medium</v>
      </c>
      <c r="C365" s="5">
        <f>IFERROR(__xludf.DUMMYFUNCTION("""COMPUTED_VALUE"""),43880.65497685185)</f>
        <v>43880.65498</v>
      </c>
      <c r="D365" s="4" t="str">
        <f>IFERROR(__xludf.DUMMYFUNCTION("""COMPUTED_VALUE"""),"RESOLVED")</f>
        <v>RESOLVED</v>
      </c>
      <c r="E365" s="6">
        <f>IFERROR(__xludf.DUMMYFUNCTION("""COMPUTED_VALUE"""),44384.81309027778)</f>
        <v>44384.81309</v>
      </c>
      <c r="F365" s="4" t="str">
        <f>IFERROR(__xludf.DUMMYFUNCTION("""COMPUTED_VALUE""")," ---")</f>
        <v> ---</v>
      </c>
      <c r="G365" s="4" t="str">
        <f>IFERROR(__xludf.DUMMYFUNCTION("""COMPUTED_VALUE"""),"SUSE Linux Enterprise Server 15 SP2")</f>
        <v>SUSE Linux Enterprise Server 15 SP2</v>
      </c>
      <c r="H365" s="7" t="str">
        <f t="shared" si="2"/>
        <v>NO</v>
      </c>
      <c r="I365" s="7" t="str">
        <f t="shared" si="3"/>
        <v>NO</v>
      </c>
    </row>
    <row r="366">
      <c r="A366" s="4">
        <f>IFERROR(__xludf.DUMMYFUNCTION("""COMPUTED_VALUE"""),1164341.0)</f>
        <v>1164341</v>
      </c>
      <c r="B366" s="4" t="str">
        <f>IFERROR(__xludf.DUMMYFUNCTION("""COMPUTED_VALUE"""),"P3 - Medium")</f>
        <v>P3 - Medium</v>
      </c>
      <c r="C366" s="5">
        <f>IFERROR(__xludf.DUMMYFUNCTION("""COMPUTED_VALUE"""),43880.65511574074)</f>
        <v>43880.65512</v>
      </c>
      <c r="D366" s="4" t="str">
        <f>IFERROR(__xludf.DUMMYFUNCTION("""COMPUTED_VALUE"""),"RESOLVED")</f>
        <v>RESOLVED</v>
      </c>
      <c r="E366" s="6">
        <f>IFERROR(__xludf.DUMMYFUNCTION("""COMPUTED_VALUE"""),43881.642847222225)</f>
        <v>43881.64285</v>
      </c>
      <c r="F366" s="4" t="str">
        <f>IFERROR(__xludf.DUMMYFUNCTION("""COMPUTED_VALUE""")," ---")</f>
        <v> ---</v>
      </c>
      <c r="G366" s="4" t="str">
        <f>IFERROR(__xludf.DUMMYFUNCTION("""COMPUTED_VALUE"""),"SUSE Linux Enterprise Server 15 SP2")</f>
        <v>SUSE Linux Enterprise Server 15 SP2</v>
      </c>
      <c r="H366" s="7" t="str">
        <f t="shared" si="2"/>
        <v>NO</v>
      </c>
      <c r="I366" s="7" t="str">
        <f t="shared" si="3"/>
        <v>NO</v>
      </c>
    </row>
    <row r="367">
      <c r="A367" s="4">
        <f>IFERROR(__xludf.DUMMYFUNCTION("""COMPUTED_VALUE"""),1164342.0)</f>
        <v>1164342</v>
      </c>
      <c r="B367" s="4" t="str">
        <f>IFERROR(__xludf.DUMMYFUNCTION("""COMPUTED_VALUE"""),"P3 - Medium")</f>
        <v>P3 - Medium</v>
      </c>
      <c r="C367" s="5">
        <f>IFERROR(__xludf.DUMMYFUNCTION("""COMPUTED_VALUE"""),43880.65520833333)</f>
        <v>43880.65521</v>
      </c>
      <c r="D367" s="4" t="str">
        <f>IFERROR(__xludf.DUMMYFUNCTION("""COMPUTED_VALUE"""),"RESOLVED")</f>
        <v>RESOLVED</v>
      </c>
      <c r="E367" s="6">
        <f>IFERROR(__xludf.DUMMYFUNCTION("""COMPUTED_VALUE"""),44384.813159722224)</f>
        <v>44384.81316</v>
      </c>
      <c r="F367" s="4" t="str">
        <f>IFERROR(__xludf.DUMMYFUNCTION("""COMPUTED_VALUE""")," ---")</f>
        <v> ---</v>
      </c>
      <c r="G367" s="4" t="str">
        <f>IFERROR(__xludf.DUMMYFUNCTION("""COMPUTED_VALUE"""),"SUSE Linux Enterprise Server 15 SP2")</f>
        <v>SUSE Linux Enterprise Server 15 SP2</v>
      </c>
      <c r="H367" s="7" t="str">
        <f t="shared" si="2"/>
        <v>NO</v>
      </c>
      <c r="I367" s="7" t="str">
        <f t="shared" si="3"/>
        <v>NO</v>
      </c>
    </row>
    <row r="368">
      <c r="A368" s="4">
        <f>IFERROR(__xludf.DUMMYFUNCTION("""COMPUTED_VALUE"""),1164343.0)</f>
        <v>1164343</v>
      </c>
      <c r="B368" s="4" t="str">
        <f>IFERROR(__xludf.DUMMYFUNCTION("""COMPUTED_VALUE"""),"P3 - Medium")</f>
        <v>P3 - Medium</v>
      </c>
      <c r="C368" s="5">
        <f>IFERROR(__xludf.DUMMYFUNCTION("""COMPUTED_VALUE"""),43880.655277777776)</f>
        <v>43880.65528</v>
      </c>
      <c r="D368" s="4" t="str">
        <f>IFERROR(__xludf.DUMMYFUNCTION("""COMPUTED_VALUE"""),"RESOLVED")</f>
        <v>RESOLVED</v>
      </c>
      <c r="E368" s="6">
        <f>IFERROR(__xludf.DUMMYFUNCTION("""COMPUTED_VALUE"""),44384.81322916667)</f>
        <v>44384.81323</v>
      </c>
      <c r="F368" s="4" t="str">
        <f>IFERROR(__xludf.DUMMYFUNCTION("""COMPUTED_VALUE""")," ---")</f>
        <v> ---</v>
      </c>
      <c r="G368" s="4" t="str">
        <f>IFERROR(__xludf.DUMMYFUNCTION("""COMPUTED_VALUE"""),"SUSE Linux Enterprise Server 15 SP2")</f>
        <v>SUSE Linux Enterprise Server 15 SP2</v>
      </c>
      <c r="H368" s="7" t="str">
        <f t="shared" si="2"/>
        <v>NO</v>
      </c>
      <c r="I368" s="7" t="str">
        <f t="shared" si="3"/>
        <v>NO</v>
      </c>
    </row>
    <row r="369">
      <c r="A369" s="4">
        <f>IFERROR(__xludf.DUMMYFUNCTION("""COMPUTED_VALUE"""),1164344.0)</f>
        <v>1164344</v>
      </c>
      <c r="B369" s="4" t="str">
        <f>IFERROR(__xludf.DUMMYFUNCTION("""COMPUTED_VALUE"""),"P3 - Medium")</f>
        <v>P3 - Medium</v>
      </c>
      <c r="C369" s="5">
        <f>IFERROR(__xludf.DUMMYFUNCTION("""COMPUTED_VALUE"""),43880.65534722222)</f>
        <v>43880.65535</v>
      </c>
      <c r="D369" s="4" t="str">
        <f>IFERROR(__xludf.DUMMYFUNCTION("""COMPUTED_VALUE"""),"RESOLVED")</f>
        <v>RESOLVED</v>
      </c>
      <c r="E369" s="6">
        <f>IFERROR(__xludf.DUMMYFUNCTION("""COMPUTED_VALUE"""),44384.81329861111)</f>
        <v>44384.8133</v>
      </c>
      <c r="F369" s="4" t="str">
        <f>IFERROR(__xludf.DUMMYFUNCTION("""COMPUTED_VALUE""")," ---")</f>
        <v> ---</v>
      </c>
      <c r="G369" s="4" t="str">
        <f>IFERROR(__xludf.DUMMYFUNCTION("""COMPUTED_VALUE"""),"SUSE Linux Enterprise Server 15 SP2")</f>
        <v>SUSE Linux Enterprise Server 15 SP2</v>
      </c>
      <c r="H369" s="7" t="str">
        <f t="shared" si="2"/>
        <v>NO</v>
      </c>
      <c r="I369" s="7" t="str">
        <f t="shared" si="3"/>
        <v>NO</v>
      </c>
    </row>
    <row r="370">
      <c r="A370" s="4">
        <f>IFERROR(__xludf.DUMMYFUNCTION("""COMPUTED_VALUE"""),1164345.0)</f>
        <v>1164345</v>
      </c>
      <c r="B370" s="4" t="str">
        <f>IFERROR(__xludf.DUMMYFUNCTION("""COMPUTED_VALUE"""),"P3 - Medium")</f>
        <v>P3 - Medium</v>
      </c>
      <c r="C370" s="5">
        <f>IFERROR(__xludf.DUMMYFUNCTION("""COMPUTED_VALUE"""),43880.65556712963)</f>
        <v>43880.65557</v>
      </c>
      <c r="D370" s="4" t="str">
        <f>IFERROR(__xludf.DUMMYFUNCTION("""COMPUTED_VALUE"""),"RESOLVED")</f>
        <v>RESOLVED</v>
      </c>
      <c r="E370" s="6">
        <f>IFERROR(__xludf.DUMMYFUNCTION("""COMPUTED_VALUE"""),44384.813368055555)</f>
        <v>44384.81337</v>
      </c>
      <c r="F370" s="4" t="str">
        <f>IFERROR(__xludf.DUMMYFUNCTION("""COMPUTED_VALUE""")," ---")</f>
        <v> ---</v>
      </c>
      <c r="G370" s="4" t="str">
        <f>IFERROR(__xludf.DUMMYFUNCTION("""COMPUTED_VALUE"""),"SUSE Linux Enterprise Server 15 SP2")</f>
        <v>SUSE Linux Enterprise Server 15 SP2</v>
      </c>
      <c r="H370" s="7" t="str">
        <f t="shared" si="2"/>
        <v>NO</v>
      </c>
      <c r="I370" s="7" t="str">
        <f t="shared" si="3"/>
        <v>NO</v>
      </c>
    </row>
    <row r="371">
      <c r="A371" s="4">
        <f>IFERROR(__xludf.DUMMYFUNCTION("""COMPUTED_VALUE"""),1164346.0)</f>
        <v>1164346</v>
      </c>
      <c r="B371" s="4" t="str">
        <f>IFERROR(__xludf.DUMMYFUNCTION("""COMPUTED_VALUE"""),"P3 - Medium")</f>
        <v>P3 - Medium</v>
      </c>
      <c r="C371" s="5">
        <f>IFERROR(__xludf.DUMMYFUNCTION("""COMPUTED_VALUE"""),43880.65577546296)</f>
        <v>43880.65578</v>
      </c>
      <c r="D371" s="4" t="str">
        <f>IFERROR(__xludf.DUMMYFUNCTION("""COMPUTED_VALUE"""),"RESOLVED")</f>
        <v>RESOLVED</v>
      </c>
      <c r="E371" s="6">
        <f>IFERROR(__xludf.DUMMYFUNCTION("""COMPUTED_VALUE"""),44384.8134375)</f>
        <v>44384.81344</v>
      </c>
      <c r="F371" s="4" t="str">
        <f>IFERROR(__xludf.DUMMYFUNCTION("""COMPUTED_VALUE""")," ---")</f>
        <v> ---</v>
      </c>
      <c r="G371" s="4" t="str">
        <f>IFERROR(__xludf.DUMMYFUNCTION("""COMPUTED_VALUE"""),"SUSE Linux Enterprise Server 15 SP2")</f>
        <v>SUSE Linux Enterprise Server 15 SP2</v>
      </c>
      <c r="H371" s="7" t="str">
        <f t="shared" si="2"/>
        <v>NO</v>
      </c>
      <c r="I371" s="7" t="str">
        <f t="shared" si="3"/>
        <v>NO</v>
      </c>
    </row>
    <row r="372">
      <c r="A372" s="4">
        <f>IFERROR(__xludf.DUMMYFUNCTION("""COMPUTED_VALUE"""),1164347.0)</f>
        <v>1164347</v>
      </c>
      <c r="B372" s="4" t="str">
        <f>IFERROR(__xludf.DUMMYFUNCTION("""COMPUTED_VALUE"""),"P3 - Medium")</f>
        <v>P3 - Medium</v>
      </c>
      <c r="C372" s="5">
        <f>IFERROR(__xludf.DUMMYFUNCTION("""COMPUTED_VALUE"""),43880.65584490741)</f>
        <v>43880.65584</v>
      </c>
      <c r="D372" s="4" t="str">
        <f>IFERROR(__xludf.DUMMYFUNCTION("""COMPUTED_VALUE"""),"RESOLVED")</f>
        <v>RESOLVED</v>
      </c>
      <c r="E372" s="6">
        <f>IFERROR(__xludf.DUMMYFUNCTION("""COMPUTED_VALUE"""),44384.81350694445)</f>
        <v>44384.81351</v>
      </c>
      <c r="F372" s="4" t="str">
        <f>IFERROR(__xludf.DUMMYFUNCTION("""COMPUTED_VALUE""")," ---")</f>
        <v> ---</v>
      </c>
      <c r="G372" s="4" t="str">
        <f>IFERROR(__xludf.DUMMYFUNCTION("""COMPUTED_VALUE"""),"SUSE Linux Enterprise Server 15 SP2")</f>
        <v>SUSE Linux Enterprise Server 15 SP2</v>
      </c>
      <c r="H372" s="7" t="str">
        <f t="shared" si="2"/>
        <v>NO</v>
      </c>
      <c r="I372" s="7" t="str">
        <f t="shared" si="3"/>
        <v>NO</v>
      </c>
    </row>
    <row r="373">
      <c r="A373" s="4">
        <f>IFERROR(__xludf.DUMMYFUNCTION("""COMPUTED_VALUE"""),1164348.0)</f>
        <v>1164348</v>
      </c>
      <c r="B373" s="4" t="str">
        <f>IFERROR(__xludf.DUMMYFUNCTION("""COMPUTED_VALUE"""),"P3 - Medium")</f>
        <v>P3 - Medium</v>
      </c>
      <c r="C373" s="5">
        <f>IFERROR(__xludf.DUMMYFUNCTION("""COMPUTED_VALUE"""),43880.6559837963)</f>
        <v>43880.65598</v>
      </c>
      <c r="D373" s="4" t="str">
        <f>IFERROR(__xludf.DUMMYFUNCTION("""COMPUTED_VALUE"""),"RESOLVED")</f>
        <v>RESOLVED</v>
      </c>
      <c r="E373" s="6">
        <f>IFERROR(__xludf.DUMMYFUNCTION("""COMPUTED_VALUE"""),44384.813576388886)</f>
        <v>44384.81358</v>
      </c>
      <c r="F373" s="4" t="str">
        <f>IFERROR(__xludf.DUMMYFUNCTION("""COMPUTED_VALUE""")," ---")</f>
        <v> ---</v>
      </c>
      <c r="G373" s="4" t="str">
        <f>IFERROR(__xludf.DUMMYFUNCTION("""COMPUTED_VALUE"""),"SUSE Linux Enterprise Server 15 SP2")</f>
        <v>SUSE Linux Enterprise Server 15 SP2</v>
      </c>
      <c r="H373" s="7" t="str">
        <f t="shared" si="2"/>
        <v>NO</v>
      </c>
      <c r="I373" s="7" t="str">
        <f t="shared" si="3"/>
        <v>NO</v>
      </c>
    </row>
    <row r="374">
      <c r="A374" s="4">
        <f>IFERROR(__xludf.DUMMYFUNCTION("""COMPUTED_VALUE"""),1164349.0)</f>
        <v>1164349</v>
      </c>
      <c r="B374" s="4" t="str">
        <f>IFERROR(__xludf.DUMMYFUNCTION("""COMPUTED_VALUE"""),"P3 - Medium")</f>
        <v>P3 - Medium</v>
      </c>
      <c r="C374" s="5">
        <f>IFERROR(__xludf.DUMMYFUNCTION("""COMPUTED_VALUE"""),43880.65608796296)</f>
        <v>43880.65609</v>
      </c>
      <c r="D374" s="4" t="str">
        <f>IFERROR(__xludf.DUMMYFUNCTION("""COMPUTED_VALUE"""),"RESOLVED")</f>
        <v>RESOLVED</v>
      </c>
      <c r="E374" s="6">
        <f>IFERROR(__xludf.DUMMYFUNCTION("""COMPUTED_VALUE"""),44384.81364583333)</f>
        <v>44384.81365</v>
      </c>
      <c r="F374" s="4" t="str">
        <f>IFERROR(__xludf.DUMMYFUNCTION("""COMPUTED_VALUE""")," ---")</f>
        <v> ---</v>
      </c>
      <c r="G374" s="4" t="str">
        <f>IFERROR(__xludf.DUMMYFUNCTION("""COMPUTED_VALUE"""),"SUSE Linux Enterprise Server 15 SP2")</f>
        <v>SUSE Linux Enterprise Server 15 SP2</v>
      </c>
      <c r="H374" s="7" t="str">
        <f t="shared" si="2"/>
        <v>NO</v>
      </c>
      <c r="I374" s="7" t="str">
        <f t="shared" si="3"/>
        <v>NO</v>
      </c>
    </row>
    <row r="375">
      <c r="A375" s="4">
        <f>IFERROR(__xludf.DUMMYFUNCTION("""COMPUTED_VALUE"""),1164350.0)</f>
        <v>1164350</v>
      </c>
      <c r="B375" s="4" t="str">
        <f>IFERROR(__xludf.DUMMYFUNCTION("""COMPUTED_VALUE"""),"P3 - Medium")</f>
        <v>P3 - Medium</v>
      </c>
      <c r="C375" s="5">
        <f>IFERROR(__xludf.DUMMYFUNCTION("""COMPUTED_VALUE"""),43880.65630787037)</f>
        <v>43880.65631</v>
      </c>
      <c r="D375" s="4" t="str">
        <f>IFERROR(__xludf.DUMMYFUNCTION("""COMPUTED_VALUE"""),"RESOLVED")</f>
        <v>RESOLVED</v>
      </c>
      <c r="E375" s="6">
        <f>IFERROR(__xludf.DUMMYFUNCTION("""COMPUTED_VALUE"""),44384.81371527778)</f>
        <v>44384.81372</v>
      </c>
      <c r="F375" s="4" t="str">
        <f>IFERROR(__xludf.DUMMYFUNCTION("""COMPUTED_VALUE""")," ---")</f>
        <v> ---</v>
      </c>
      <c r="G375" s="4" t="str">
        <f>IFERROR(__xludf.DUMMYFUNCTION("""COMPUTED_VALUE"""),"SUSE Linux Enterprise Server 15 SP2")</f>
        <v>SUSE Linux Enterprise Server 15 SP2</v>
      </c>
      <c r="H375" s="7" t="str">
        <f t="shared" si="2"/>
        <v>NO</v>
      </c>
      <c r="I375" s="7" t="str">
        <f t="shared" si="3"/>
        <v>NO</v>
      </c>
    </row>
    <row r="376">
      <c r="A376" s="4">
        <f>IFERROR(__xludf.DUMMYFUNCTION("""COMPUTED_VALUE"""),1164351.0)</f>
        <v>1164351</v>
      </c>
      <c r="B376" s="4" t="str">
        <f>IFERROR(__xludf.DUMMYFUNCTION("""COMPUTED_VALUE"""),"P3 - Medium")</f>
        <v>P3 - Medium</v>
      </c>
      <c r="C376" s="5">
        <f>IFERROR(__xludf.DUMMYFUNCTION("""COMPUTED_VALUE"""),43880.65642361111)</f>
        <v>43880.65642</v>
      </c>
      <c r="D376" s="4" t="str">
        <f>IFERROR(__xludf.DUMMYFUNCTION("""COMPUTED_VALUE"""),"RESOLVED")</f>
        <v>RESOLVED</v>
      </c>
      <c r="E376" s="6">
        <f>IFERROR(__xludf.DUMMYFUNCTION("""COMPUTED_VALUE"""),44384.813784722224)</f>
        <v>44384.81378</v>
      </c>
      <c r="F376" s="4" t="str">
        <f>IFERROR(__xludf.DUMMYFUNCTION("""COMPUTED_VALUE""")," ---")</f>
        <v> ---</v>
      </c>
      <c r="G376" s="4" t="str">
        <f>IFERROR(__xludf.DUMMYFUNCTION("""COMPUTED_VALUE"""),"SUSE Linux Enterprise Server 15 SP2")</f>
        <v>SUSE Linux Enterprise Server 15 SP2</v>
      </c>
      <c r="H376" s="7" t="str">
        <f t="shared" si="2"/>
        <v>NO</v>
      </c>
      <c r="I376" s="7" t="str">
        <f t="shared" si="3"/>
        <v>NO</v>
      </c>
    </row>
    <row r="377">
      <c r="A377" s="4">
        <f>IFERROR(__xludf.DUMMYFUNCTION("""COMPUTED_VALUE"""),1164352.0)</f>
        <v>1164352</v>
      </c>
      <c r="B377" s="4" t="str">
        <f>IFERROR(__xludf.DUMMYFUNCTION("""COMPUTED_VALUE"""),"P3 - Medium")</f>
        <v>P3 - Medium</v>
      </c>
      <c r="C377" s="5">
        <f>IFERROR(__xludf.DUMMYFUNCTION("""COMPUTED_VALUE"""),43880.65650462963)</f>
        <v>43880.6565</v>
      </c>
      <c r="D377" s="4" t="str">
        <f>IFERROR(__xludf.DUMMYFUNCTION("""COMPUTED_VALUE"""),"RESOLVED")</f>
        <v>RESOLVED</v>
      </c>
      <c r="E377" s="6">
        <f>IFERROR(__xludf.DUMMYFUNCTION("""COMPUTED_VALUE"""),44384.81385416666)</f>
        <v>44384.81385</v>
      </c>
      <c r="F377" s="4" t="str">
        <f>IFERROR(__xludf.DUMMYFUNCTION("""COMPUTED_VALUE""")," ---")</f>
        <v> ---</v>
      </c>
      <c r="G377" s="4" t="str">
        <f>IFERROR(__xludf.DUMMYFUNCTION("""COMPUTED_VALUE"""),"SUSE Linux Enterprise Server 15 SP2")</f>
        <v>SUSE Linux Enterprise Server 15 SP2</v>
      </c>
      <c r="H377" s="7" t="str">
        <f t="shared" si="2"/>
        <v>NO</v>
      </c>
      <c r="I377" s="7" t="str">
        <f t="shared" si="3"/>
        <v>NO</v>
      </c>
    </row>
    <row r="378">
      <c r="A378" s="4">
        <f>IFERROR(__xludf.DUMMYFUNCTION("""COMPUTED_VALUE"""),1164353.0)</f>
        <v>1164353</v>
      </c>
      <c r="B378" s="4" t="str">
        <f>IFERROR(__xludf.DUMMYFUNCTION("""COMPUTED_VALUE"""),"P3 - Medium")</f>
        <v>P3 - Medium</v>
      </c>
      <c r="C378" s="5">
        <f>IFERROR(__xludf.DUMMYFUNCTION("""COMPUTED_VALUE"""),43880.65666666667)</f>
        <v>43880.65667</v>
      </c>
      <c r="D378" s="4" t="str">
        <f>IFERROR(__xludf.DUMMYFUNCTION("""COMPUTED_VALUE"""),"RESOLVED")</f>
        <v>RESOLVED</v>
      </c>
      <c r="E378" s="6">
        <f>IFERROR(__xludf.DUMMYFUNCTION("""COMPUTED_VALUE"""),44384.81392361111)</f>
        <v>44384.81392</v>
      </c>
      <c r="F378" s="4" t="str">
        <f>IFERROR(__xludf.DUMMYFUNCTION("""COMPUTED_VALUE""")," ---")</f>
        <v> ---</v>
      </c>
      <c r="G378" s="4" t="str">
        <f>IFERROR(__xludf.DUMMYFUNCTION("""COMPUTED_VALUE"""),"SUSE Linux Enterprise Server 15 SP2")</f>
        <v>SUSE Linux Enterprise Server 15 SP2</v>
      </c>
      <c r="H378" s="7" t="str">
        <f t="shared" si="2"/>
        <v>NO</v>
      </c>
      <c r="I378" s="7" t="str">
        <f t="shared" si="3"/>
        <v>NO</v>
      </c>
    </row>
    <row r="379">
      <c r="A379" s="4">
        <f>IFERROR(__xludf.DUMMYFUNCTION("""COMPUTED_VALUE"""),1164354.0)</f>
        <v>1164354</v>
      </c>
      <c r="B379" s="4" t="str">
        <f>IFERROR(__xludf.DUMMYFUNCTION("""COMPUTED_VALUE"""),"P3 - Medium")</f>
        <v>P3 - Medium</v>
      </c>
      <c r="C379" s="5">
        <f>IFERROR(__xludf.DUMMYFUNCTION("""COMPUTED_VALUE"""),43880.65673611111)</f>
        <v>43880.65674</v>
      </c>
      <c r="D379" s="4" t="str">
        <f>IFERROR(__xludf.DUMMYFUNCTION("""COMPUTED_VALUE"""),"RESOLVED")</f>
        <v>RESOLVED</v>
      </c>
      <c r="E379" s="6">
        <f>IFERROR(__xludf.DUMMYFUNCTION("""COMPUTED_VALUE"""),44384.813993055555)</f>
        <v>44384.81399</v>
      </c>
      <c r="F379" s="4" t="str">
        <f>IFERROR(__xludf.DUMMYFUNCTION("""COMPUTED_VALUE""")," ---")</f>
        <v> ---</v>
      </c>
      <c r="G379" s="4" t="str">
        <f>IFERROR(__xludf.DUMMYFUNCTION("""COMPUTED_VALUE"""),"SUSE Linux Enterprise Server 15 SP2")</f>
        <v>SUSE Linux Enterprise Server 15 SP2</v>
      </c>
      <c r="H379" s="7" t="str">
        <f t="shared" si="2"/>
        <v>NO</v>
      </c>
      <c r="I379" s="7" t="str">
        <f t="shared" si="3"/>
        <v>NO</v>
      </c>
    </row>
    <row r="380">
      <c r="A380" s="4">
        <f>IFERROR(__xludf.DUMMYFUNCTION("""COMPUTED_VALUE"""),1164355.0)</f>
        <v>1164355</v>
      </c>
      <c r="B380" s="4" t="str">
        <f>IFERROR(__xludf.DUMMYFUNCTION("""COMPUTED_VALUE"""),"P3 - Medium")</f>
        <v>P3 - Medium</v>
      </c>
      <c r="C380" s="5">
        <f>IFERROR(__xludf.DUMMYFUNCTION("""COMPUTED_VALUE"""),43880.656851851854)</f>
        <v>43880.65685</v>
      </c>
      <c r="D380" s="4" t="str">
        <f>IFERROR(__xludf.DUMMYFUNCTION("""COMPUTED_VALUE"""),"RESOLVED")</f>
        <v>RESOLVED</v>
      </c>
      <c r="E380" s="6">
        <f>IFERROR(__xludf.DUMMYFUNCTION("""COMPUTED_VALUE"""),44384.8140625)</f>
        <v>44384.81406</v>
      </c>
      <c r="F380" s="4" t="str">
        <f>IFERROR(__xludf.DUMMYFUNCTION("""COMPUTED_VALUE""")," ---")</f>
        <v> ---</v>
      </c>
      <c r="G380" s="4" t="str">
        <f>IFERROR(__xludf.DUMMYFUNCTION("""COMPUTED_VALUE"""),"SUSE Linux Enterprise Server 15 SP2")</f>
        <v>SUSE Linux Enterprise Server 15 SP2</v>
      </c>
      <c r="H380" s="7" t="str">
        <f t="shared" si="2"/>
        <v>NO</v>
      </c>
      <c r="I380" s="7" t="str">
        <f t="shared" si="3"/>
        <v>NO</v>
      </c>
    </row>
    <row r="381">
      <c r="A381" s="4">
        <f>IFERROR(__xludf.DUMMYFUNCTION("""COMPUTED_VALUE"""),1164356.0)</f>
        <v>1164356</v>
      </c>
      <c r="B381" s="4" t="str">
        <f>IFERROR(__xludf.DUMMYFUNCTION("""COMPUTED_VALUE"""),"P3 - Medium")</f>
        <v>P3 - Medium</v>
      </c>
      <c r="C381" s="5">
        <f>IFERROR(__xludf.DUMMYFUNCTION("""COMPUTED_VALUE"""),43880.65692129629)</f>
        <v>43880.65692</v>
      </c>
      <c r="D381" s="4" t="str">
        <f>IFERROR(__xludf.DUMMYFUNCTION("""COMPUTED_VALUE"""),"RESOLVED")</f>
        <v>RESOLVED</v>
      </c>
      <c r="E381" s="6">
        <f>IFERROR(__xludf.DUMMYFUNCTION("""COMPUTED_VALUE"""),44384.81413194445)</f>
        <v>44384.81413</v>
      </c>
      <c r="F381" s="4" t="str">
        <f>IFERROR(__xludf.DUMMYFUNCTION("""COMPUTED_VALUE""")," ---")</f>
        <v> ---</v>
      </c>
      <c r="G381" s="4" t="str">
        <f>IFERROR(__xludf.DUMMYFUNCTION("""COMPUTED_VALUE"""),"SUSE Linux Enterprise Server 15 SP2")</f>
        <v>SUSE Linux Enterprise Server 15 SP2</v>
      </c>
      <c r="H381" s="7" t="str">
        <f t="shared" si="2"/>
        <v>NO</v>
      </c>
      <c r="I381" s="7" t="str">
        <f t="shared" si="3"/>
        <v>NO</v>
      </c>
    </row>
    <row r="382">
      <c r="A382" s="4">
        <f>IFERROR(__xludf.DUMMYFUNCTION("""COMPUTED_VALUE"""),1164357.0)</f>
        <v>1164357</v>
      </c>
      <c r="B382" s="4" t="str">
        <f>IFERROR(__xludf.DUMMYFUNCTION("""COMPUTED_VALUE"""),"P3 - Medium")</f>
        <v>P3 - Medium</v>
      </c>
      <c r="C382" s="5">
        <f>IFERROR(__xludf.DUMMYFUNCTION("""COMPUTED_VALUE"""),43880.65709490741)</f>
        <v>43880.65709</v>
      </c>
      <c r="D382" s="4" t="str">
        <f>IFERROR(__xludf.DUMMYFUNCTION("""COMPUTED_VALUE"""),"RESOLVED")</f>
        <v>RESOLVED</v>
      </c>
      <c r="E382" s="6">
        <f>IFERROR(__xludf.DUMMYFUNCTION("""COMPUTED_VALUE"""),44384.81420138889)</f>
        <v>44384.8142</v>
      </c>
      <c r="F382" s="4" t="str">
        <f>IFERROR(__xludf.DUMMYFUNCTION("""COMPUTED_VALUE""")," ---")</f>
        <v> ---</v>
      </c>
      <c r="G382" s="4" t="str">
        <f>IFERROR(__xludf.DUMMYFUNCTION("""COMPUTED_VALUE"""),"SUSE Linux Enterprise Server 15 SP2")</f>
        <v>SUSE Linux Enterprise Server 15 SP2</v>
      </c>
      <c r="H382" s="7" t="str">
        <f t="shared" si="2"/>
        <v>NO</v>
      </c>
      <c r="I382" s="7" t="str">
        <f t="shared" si="3"/>
        <v>NO</v>
      </c>
    </row>
    <row r="383">
      <c r="A383" s="4">
        <f>IFERROR(__xludf.DUMMYFUNCTION("""COMPUTED_VALUE"""),1164359.0)</f>
        <v>1164359</v>
      </c>
      <c r="B383" s="4" t="str">
        <f>IFERROR(__xludf.DUMMYFUNCTION("""COMPUTED_VALUE"""),"P3 - Medium")</f>
        <v>P3 - Medium</v>
      </c>
      <c r="C383" s="5">
        <f>IFERROR(__xludf.DUMMYFUNCTION("""COMPUTED_VALUE"""),43880.657164351855)</f>
        <v>43880.65716</v>
      </c>
      <c r="D383" s="4" t="str">
        <f>IFERROR(__xludf.DUMMYFUNCTION("""COMPUTED_VALUE"""),"RESOLVED")</f>
        <v>RESOLVED</v>
      </c>
      <c r="E383" s="6">
        <f>IFERROR(__xludf.DUMMYFUNCTION("""COMPUTED_VALUE"""),44384.81427083333)</f>
        <v>44384.81427</v>
      </c>
      <c r="F383" s="4" t="str">
        <f>IFERROR(__xludf.DUMMYFUNCTION("""COMPUTED_VALUE""")," ---")</f>
        <v> ---</v>
      </c>
      <c r="G383" s="4" t="str">
        <f>IFERROR(__xludf.DUMMYFUNCTION("""COMPUTED_VALUE"""),"SUSE Linux Enterprise Server 15 SP2")</f>
        <v>SUSE Linux Enterprise Server 15 SP2</v>
      </c>
      <c r="H383" s="7" t="str">
        <f t="shared" si="2"/>
        <v>NO</v>
      </c>
      <c r="I383" s="7" t="str">
        <f t="shared" si="3"/>
        <v>NO</v>
      </c>
    </row>
    <row r="384">
      <c r="A384" s="4">
        <f>IFERROR(__xludf.DUMMYFUNCTION("""COMPUTED_VALUE"""),1164360.0)</f>
        <v>1164360</v>
      </c>
      <c r="B384" s="4" t="str">
        <f>IFERROR(__xludf.DUMMYFUNCTION("""COMPUTED_VALUE"""),"P3 - Medium")</f>
        <v>P3 - Medium</v>
      </c>
      <c r="C384" s="5">
        <f>IFERROR(__xludf.DUMMYFUNCTION("""COMPUTED_VALUE"""),43880.65728009259)</f>
        <v>43880.65728</v>
      </c>
      <c r="D384" s="4" t="str">
        <f>IFERROR(__xludf.DUMMYFUNCTION("""COMPUTED_VALUE"""),"RESOLVED")</f>
        <v>RESOLVED</v>
      </c>
      <c r="E384" s="6">
        <f>IFERROR(__xludf.DUMMYFUNCTION("""COMPUTED_VALUE"""),44384.81434027778)</f>
        <v>44384.81434</v>
      </c>
      <c r="F384" s="4" t="str">
        <f>IFERROR(__xludf.DUMMYFUNCTION("""COMPUTED_VALUE""")," ---")</f>
        <v> ---</v>
      </c>
      <c r="G384" s="4" t="str">
        <f>IFERROR(__xludf.DUMMYFUNCTION("""COMPUTED_VALUE"""),"SUSE Linux Enterprise Server 15 SP2")</f>
        <v>SUSE Linux Enterprise Server 15 SP2</v>
      </c>
      <c r="H384" s="7" t="str">
        <f t="shared" si="2"/>
        <v>NO</v>
      </c>
      <c r="I384" s="7" t="str">
        <f t="shared" si="3"/>
        <v>NO</v>
      </c>
    </row>
    <row r="385">
      <c r="A385" s="4">
        <f>IFERROR(__xludf.DUMMYFUNCTION("""COMPUTED_VALUE"""),1164361.0)</f>
        <v>1164361</v>
      </c>
      <c r="B385" s="4" t="str">
        <f>IFERROR(__xludf.DUMMYFUNCTION("""COMPUTED_VALUE"""),"P3 - Medium")</f>
        <v>P3 - Medium</v>
      </c>
      <c r="C385" s="5">
        <f>IFERROR(__xludf.DUMMYFUNCTION("""COMPUTED_VALUE"""),43880.65734953704)</f>
        <v>43880.65735</v>
      </c>
      <c r="D385" s="4" t="str">
        <f>IFERROR(__xludf.DUMMYFUNCTION("""COMPUTED_VALUE"""),"RESOLVED")</f>
        <v>RESOLVED</v>
      </c>
      <c r="E385" s="6">
        <f>IFERROR(__xludf.DUMMYFUNCTION("""COMPUTED_VALUE"""),44384.814409722225)</f>
        <v>44384.81441</v>
      </c>
      <c r="F385" s="4" t="str">
        <f>IFERROR(__xludf.DUMMYFUNCTION("""COMPUTED_VALUE""")," ---")</f>
        <v> ---</v>
      </c>
      <c r="G385" s="4" t="str">
        <f>IFERROR(__xludf.DUMMYFUNCTION("""COMPUTED_VALUE"""),"SUSE Linux Enterprise Server 15 SP2")</f>
        <v>SUSE Linux Enterprise Server 15 SP2</v>
      </c>
      <c r="H385" s="7" t="str">
        <f t="shared" si="2"/>
        <v>NO</v>
      </c>
      <c r="I385" s="7" t="str">
        <f t="shared" si="3"/>
        <v>NO</v>
      </c>
    </row>
    <row r="386">
      <c r="A386" s="4">
        <f>IFERROR(__xludf.DUMMYFUNCTION("""COMPUTED_VALUE"""),1164362.0)</f>
        <v>1164362</v>
      </c>
      <c r="B386" s="4" t="str">
        <f>IFERROR(__xludf.DUMMYFUNCTION("""COMPUTED_VALUE"""),"P3 - Medium")</f>
        <v>P3 - Medium</v>
      </c>
      <c r="C386" s="5">
        <f>IFERROR(__xludf.DUMMYFUNCTION("""COMPUTED_VALUE"""),43880.657476851855)</f>
        <v>43880.65748</v>
      </c>
      <c r="D386" s="4" t="str">
        <f>IFERROR(__xludf.DUMMYFUNCTION("""COMPUTED_VALUE"""),"RESOLVED")</f>
        <v>RESOLVED</v>
      </c>
      <c r="E386" s="6">
        <f>IFERROR(__xludf.DUMMYFUNCTION("""COMPUTED_VALUE"""),44384.814479166664)</f>
        <v>44384.81448</v>
      </c>
      <c r="F386" s="4" t="str">
        <f>IFERROR(__xludf.DUMMYFUNCTION("""COMPUTED_VALUE""")," ---")</f>
        <v> ---</v>
      </c>
      <c r="G386" s="4" t="str">
        <f>IFERROR(__xludf.DUMMYFUNCTION("""COMPUTED_VALUE"""),"SUSE Linux Enterprise Server 15 SP2")</f>
        <v>SUSE Linux Enterprise Server 15 SP2</v>
      </c>
      <c r="H386" s="7" t="str">
        <f t="shared" si="2"/>
        <v>NO</v>
      </c>
      <c r="I386" s="7" t="str">
        <f t="shared" si="3"/>
        <v>NO</v>
      </c>
    </row>
    <row r="387">
      <c r="A387" s="4">
        <f>IFERROR(__xludf.DUMMYFUNCTION("""COMPUTED_VALUE"""),1164363.0)</f>
        <v>1164363</v>
      </c>
      <c r="B387" s="4" t="str">
        <f>IFERROR(__xludf.DUMMYFUNCTION("""COMPUTED_VALUE"""),"P3 - Medium")</f>
        <v>P3 - Medium</v>
      </c>
      <c r="C387" s="5">
        <f>IFERROR(__xludf.DUMMYFUNCTION("""COMPUTED_VALUE"""),43880.657534722224)</f>
        <v>43880.65753</v>
      </c>
      <c r="D387" s="4" t="str">
        <f>IFERROR(__xludf.DUMMYFUNCTION("""COMPUTED_VALUE"""),"RESOLVED")</f>
        <v>RESOLVED</v>
      </c>
      <c r="E387" s="6">
        <f>IFERROR(__xludf.DUMMYFUNCTION("""COMPUTED_VALUE"""),44384.81454861111)</f>
        <v>44384.81455</v>
      </c>
      <c r="F387" s="4" t="str">
        <f>IFERROR(__xludf.DUMMYFUNCTION("""COMPUTED_VALUE""")," ---")</f>
        <v> ---</v>
      </c>
      <c r="G387" s="4" t="str">
        <f>IFERROR(__xludf.DUMMYFUNCTION("""COMPUTED_VALUE"""),"SUSE Linux Enterprise Server 15 SP2")</f>
        <v>SUSE Linux Enterprise Server 15 SP2</v>
      </c>
      <c r="H387" s="7" t="str">
        <f t="shared" si="2"/>
        <v>NO</v>
      </c>
      <c r="I387" s="7" t="str">
        <f t="shared" si="3"/>
        <v>NO</v>
      </c>
    </row>
    <row r="388">
      <c r="A388" s="4">
        <f>IFERROR(__xludf.DUMMYFUNCTION("""COMPUTED_VALUE"""),1164364.0)</f>
        <v>1164364</v>
      </c>
      <c r="B388" s="4" t="str">
        <f>IFERROR(__xludf.DUMMYFUNCTION("""COMPUTED_VALUE"""),"P3 - Medium")</f>
        <v>P3 - Medium</v>
      </c>
      <c r="C388" s="5">
        <f>IFERROR(__xludf.DUMMYFUNCTION("""COMPUTED_VALUE"""),43880.65770833333)</f>
        <v>43880.65771</v>
      </c>
      <c r="D388" s="4" t="str">
        <f>IFERROR(__xludf.DUMMYFUNCTION("""COMPUTED_VALUE"""),"RESOLVED")</f>
        <v>RESOLVED</v>
      </c>
      <c r="E388" s="6">
        <f>IFERROR(__xludf.DUMMYFUNCTION("""COMPUTED_VALUE"""),44384.814618055556)</f>
        <v>44384.81462</v>
      </c>
      <c r="F388" s="4" t="str">
        <f>IFERROR(__xludf.DUMMYFUNCTION("""COMPUTED_VALUE""")," ---")</f>
        <v> ---</v>
      </c>
      <c r="G388" s="4" t="str">
        <f>IFERROR(__xludf.DUMMYFUNCTION("""COMPUTED_VALUE"""),"SUSE Linux Enterprise Server 15 SP2")</f>
        <v>SUSE Linux Enterprise Server 15 SP2</v>
      </c>
      <c r="H388" s="7" t="str">
        <f t="shared" si="2"/>
        <v>NO</v>
      </c>
      <c r="I388" s="7" t="str">
        <f t="shared" si="3"/>
        <v>NO</v>
      </c>
    </row>
    <row r="389">
      <c r="A389" s="4">
        <f>IFERROR(__xludf.DUMMYFUNCTION("""COMPUTED_VALUE"""),1164365.0)</f>
        <v>1164365</v>
      </c>
      <c r="B389" s="4" t="str">
        <f>IFERROR(__xludf.DUMMYFUNCTION("""COMPUTED_VALUE"""),"P3 - Medium")</f>
        <v>P3 - Medium</v>
      </c>
      <c r="C389" s="5">
        <f>IFERROR(__xludf.DUMMYFUNCTION("""COMPUTED_VALUE"""),43880.65783564815)</f>
        <v>43880.65784</v>
      </c>
      <c r="D389" s="4" t="str">
        <f>IFERROR(__xludf.DUMMYFUNCTION("""COMPUTED_VALUE"""),"RESOLVED")</f>
        <v>RESOLVED</v>
      </c>
      <c r="E389" s="6">
        <f>IFERROR(__xludf.DUMMYFUNCTION("""COMPUTED_VALUE"""),44384.8146875)</f>
        <v>44384.81469</v>
      </c>
      <c r="F389" s="4" t="str">
        <f>IFERROR(__xludf.DUMMYFUNCTION("""COMPUTED_VALUE""")," ---")</f>
        <v> ---</v>
      </c>
      <c r="G389" s="4" t="str">
        <f>IFERROR(__xludf.DUMMYFUNCTION("""COMPUTED_VALUE"""),"SUSE Linux Enterprise Server 15 SP2")</f>
        <v>SUSE Linux Enterprise Server 15 SP2</v>
      </c>
      <c r="H389" s="7" t="str">
        <f t="shared" si="2"/>
        <v>NO</v>
      </c>
      <c r="I389" s="7" t="str">
        <f t="shared" si="3"/>
        <v>NO</v>
      </c>
    </row>
    <row r="390">
      <c r="A390" s="4">
        <f>IFERROR(__xludf.DUMMYFUNCTION("""COMPUTED_VALUE"""),1164366.0)</f>
        <v>1164366</v>
      </c>
      <c r="B390" s="4" t="str">
        <f>IFERROR(__xludf.DUMMYFUNCTION("""COMPUTED_VALUE"""),"P3 - Medium")</f>
        <v>P3 - Medium</v>
      </c>
      <c r="C390" s="5">
        <f>IFERROR(__xludf.DUMMYFUNCTION("""COMPUTED_VALUE"""),43880.657905092594)</f>
        <v>43880.65791</v>
      </c>
      <c r="D390" s="4" t="str">
        <f>IFERROR(__xludf.DUMMYFUNCTION("""COMPUTED_VALUE"""),"RESOLVED")</f>
        <v>RESOLVED</v>
      </c>
      <c r="E390" s="6">
        <f>IFERROR(__xludf.DUMMYFUNCTION("""COMPUTED_VALUE"""),44384.81475694444)</f>
        <v>44384.81476</v>
      </c>
      <c r="F390" s="4" t="str">
        <f>IFERROR(__xludf.DUMMYFUNCTION("""COMPUTED_VALUE""")," ---")</f>
        <v> ---</v>
      </c>
      <c r="G390" s="4" t="str">
        <f>IFERROR(__xludf.DUMMYFUNCTION("""COMPUTED_VALUE"""),"SUSE Linux Enterprise Server 15 SP2")</f>
        <v>SUSE Linux Enterprise Server 15 SP2</v>
      </c>
      <c r="H390" s="7" t="str">
        <f t="shared" si="2"/>
        <v>NO</v>
      </c>
      <c r="I390" s="7" t="str">
        <f t="shared" si="3"/>
        <v>NO</v>
      </c>
    </row>
    <row r="391">
      <c r="A391" s="4">
        <f>IFERROR(__xludf.DUMMYFUNCTION("""COMPUTED_VALUE"""),1164367.0)</f>
        <v>1164367</v>
      </c>
      <c r="B391" s="4" t="str">
        <f>IFERROR(__xludf.DUMMYFUNCTION("""COMPUTED_VALUE"""),"P3 - Medium")</f>
        <v>P3 - Medium</v>
      </c>
      <c r="C391" s="5">
        <f>IFERROR(__xludf.DUMMYFUNCTION("""COMPUTED_VALUE"""),43880.658055555556)</f>
        <v>43880.65806</v>
      </c>
      <c r="D391" s="4" t="str">
        <f>IFERROR(__xludf.DUMMYFUNCTION("""COMPUTED_VALUE"""),"RESOLVED")</f>
        <v>RESOLVED</v>
      </c>
      <c r="E391" s="6">
        <f>IFERROR(__xludf.DUMMYFUNCTION("""COMPUTED_VALUE"""),44384.81482638889)</f>
        <v>44384.81483</v>
      </c>
      <c r="F391" s="4" t="str">
        <f>IFERROR(__xludf.DUMMYFUNCTION("""COMPUTED_VALUE""")," ---")</f>
        <v> ---</v>
      </c>
      <c r="G391" s="4" t="str">
        <f>IFERROR(__xludf.DUMMYFUNCTION("""COMPUTED_VALUE"""),"SUSE Linux Enterprise Server 15 SP2")</f>
        <v>SUSE Linux Enterprise Server 15 SP2</v>
      </c>
      <c r="H391" s="7" t="str">
        <f t="shared" si="2"/>
        <v>NO</v>
      </c>
      <c r="I391" s="7" t="str">
        <f t="shared" si="3"/>
        <v>NO</v>
      </c>
    </row>
    <row r="392">
      <c r="A392" s="4">
        <f>IFERROR(__xludf.DUMMYFUNCTION("""COMPUTED_VALUE"""),1164368.0)</f>
        <v>1164368</v>
      </c>
      <c r="B392" s="4" t="str">
        <f>IFERROR(__xludf.DUMMYFUNCTION("""COMPUTED_VALUE"""),"P3 - Medium")</f>
        <v>P3 - Medium</v>
      </c>
      <c r="C392" s="5">
        <f>IFERROR(__xludf.DUMMYFUNCTION("""COMPUTED_VALUE"""),43880.658125)</f>
        <v>43880.65813</v>
      </c>
      <c r="D392" s="4" t="str">
        <f>IFERROR(__xludf.DUMMYFUNCTION("""COMPUTED_VALUE"""),"RESOLVED")</f>
        <v>RESOLVED</v>
      </c>
      <c r="E392" s="6">
        <f>IFERROR(__xludf.DUMMYFUNCTION("""COMPUTED_VALUE"""),44384.81489583333)</f>
        <v>44384.8149</v>
      </c>
      <c r="F392" s="4" t="str">
        <f>IFERROR(__xludf.DUMMYFUNCTION("""COMPUTED_VALUE""")," ---")</f>
        <v> ---</v>
      </c>
      <c r="G392" s="4" t="str">
        <f>IFERROR(__xludf.DUMMYFUNCTION("""COMPUTED_VALUE"""),"SUSE Linux Enterprise Server 15 SP2")</f>
        <v>SUSE Linux Enterprise Server 15 SP2</v>
      </c>
      <c r="H392" s="7" t="str">
        <f t="shared" si="2"/>
        <v>NO</v>
      </c>
      <c r="I392" s="7" t="str">
        <f t="shared" si="3"/>
        <v>NO</v>
      </c>
    </row>
    <row r="393">
      <c r="A393" s="4">
        <f>IFERROR(__xludf.DUMMYFUNCTION("""COMPUTED_VALUE"""),1164369.0)</f>
        <v>1164369</v>
      </c>
      <c r="B393" s="4" t="str">
        <f>IFERROR(__xludf.DUMMYFUNCTION("""COMPUTED_VALUE"""),"P3 - Medium")</f>
        <v>P3 - Medium</v>
      </c>
      <c r="C393" s="5">
        <f>IFERROR(__xludf.DUMMYFUNCTION("""COMPUTED_VALUE"""),43880.658229166664)</f>
        <v>43880.65823</v>
      </c>
      <c r="D393" s="4" t="str">
        <f>IFERROR(__xludf.DUMMYFUNCTION("""COMPUTED_VALUE"""),"RESOLVED")</f>
        <v>RESOLVED</v>
      </c>
      <c r="E393" s="6">
        <f>IFERROR(__xludf.DUMMYFUNCTION("""COMPUTED_VALUE"""),44384.81496527778)</f>
        <v>44384.81497</v>
      </c>
      <c r="F393" s="4" t="str">
        <f>IFERROR(__xludf.DUMMYFUNCTION("""COMPUTED_VALUE""")," ---")</f>
        <v> ---</v>
      </c>
      <c r="G393" s="4" t="str">
        <f>IFERROR(__xludf.DUMMYFUNCTION("""COMPUTED_VALUE"""),"SUSE Linux Enterprise Server 15 SP2")</f>
        <v>SUSE Linux Enterprise Server 15 SP2</v>
      </c>
      <c r="H393" s="7" t="str">
        <f t="shared" si="2"/>
        <v>NO</v>
      </c>
      <c r="I393" s="7" t="str">
        <f t="shared" si="3"/>
        <v>NO</v>
      </c>
    </row>
    <row r="394">
      <c r="A394" s="4">
        <f>IFERROR(__xludf.DUMMYFUNCTION("""COMPUTED_VALUE"""),1164370.0)</f>
        <v>1164370</v>
      </c>
      <c r="B394" s="4" t="str">
        <f>IFERROR(__xludf.DUMMYFUNCTION("""COMPUTED_VALUE"""),"P3 - Medium")</f>
        <v>P3 - Medium</v>
      </c>
      <c r="C394" s="5">
        <f>IFERROR(__xludf.DUMMYFUNCTION("""COMPUTED_VALUE"""),43880.65828703704)</f>
        <v>43880.65829</v>
      </c>
      <c r="D394" s="4" t="str">
        <f>IFERROR(__xludf.DUMMYFUNCTION("""COMPUTED_VALUE"""),"RESOLVED")</f>
        <v>RESOLVED</v>
      </c>
      <c r="E394" s="6">
        <f>IFERROR(__xludf.DUMMYFUNCTION("""COMPUTED_VALUE"""),44384.81502314815)</f>
        <v>44384.81502</v>
      </c>
      <c r="F394" s="4" t="str">
        <f>IFERROR(__xludf.DUMMYFUNCTION("""COMPUTED_VALUE""")," ---")</f>
        <v> ---</v>
      </c>
      <c r="G394" s="4" t="str">
        <f>IFERROR(__xludf.DUMMYFUNCTION("""COMPUTED_VALUE"""),"SUSE Linux Enterprise Server 15 SP2")</f>
        <v>SUSE Linux Enterprise Server 15 SP2</v>
      </c>
      <c r="H394" s="7" t="str">
        <f t="shared" si="2"/>
        <v>NO</v>
      </c>
      <c r="I394" s="7" t="str">
        <f t="shared" si="3"/>
        <v>NO</v>
      </c>
    </row>
    <row r="395">
      <c r="A395" s="4">
        <f>IFERROR(__xludf.DUMMYFUNCTION("""COMPUTED_VALUE"""),1164371.0)</f>
        <v>1164371</v>
      </c>
      <c r="B395" s="4" t="str">
        <f>IFERROR(__xludf.DUMMYFUNCTION("""COMPUTED_VALUE"""),"P3 - Medium")</f>
        <v>P3 - Medium</v>
      </c>
      <c r="C395" s="5">
        <f>IFERROR(__xludf.DUMMYFUNCTION("""COMPUTED_VALUE"""),43880.65835648148)</f>
        <v>43880.65836</v>
      </c>
      <c r="D395" s="4" t="str">
        <f>IFERROR(__xludf.DUMMYFUNCTION("""COMPUTED_VALUE"""),"RESOLVED")</f>
        <v>RESOLVED</v>
      </c>
      <c r="E395" s="6">
        <f>IFERROR(__xludf.DUMMYFUNCTION("""COMPUTED_VALUE"""),44384.815104166664)</f>
        <v>44384.8151</v>
      </c>
      <c r="F395" s="4" t="str">
        <f>IFERROR(__xludf.DUMMYFUNCTION("""COMPUTED_VALUE""")," ---")</f>
        <v> ---</v>
      </c>
      <c r="G395" s="4" t="str">
        <f>IFERROR(__xludf.DUMMYFUNCTION("""COMPUTED_VALUE"""),"SUSE Linux Enterprise Server 15 SP2")</f>
        <v>SUSE Linux Enterprise Server 15 SP2</v>
      </c>
      <c r="H395" s="7" t="str">
        <f t="shared" si="2"/>
        <v>NO</v>
      </c>
      <c r="I395" s="7" t="str">
        <f t="shared" si="3"/>
        <v>NO</v>
      </c>
    </row>
    <row r="396">
      <c r="A396" s="4">
        <f>IFERROR(__xludf.DUMMYFUNCTION("""COMPUTED_VALUE"""),1164372.0)</f>
        <v>1164372</v>
      </c>
      <c r="B396" s="4" t="str">
        <f>IFERROR(__xludf.DUMMYFUNCTION("""COMPUTED_VALUE"""),"P3 - Medium")</f>
        <v>P3 - Medium</v>
      </c>
      <c r="C396" s="5">
        <f>IFERROR(__xludf.DUMMYFUNCTION("""COMPUTED_VALUE"""),43880.65850694444)</f>
        <v>43880.65851</v>
      </c>
      <c r="D396" s="4" t="str">
        <f>IFERROR(__xludf.DUMMYFUNCTION("""COMPUTED_VALUE"""),"RESOLVED")</f>
        <v>RESOLVED</v>
      </c>
      <c r="E396" s="6">
        <f>IFERROR(__xludf.DUMMYFUNCTION("""COMPUTED_VALUE"""),44384.81517361111)</f>
        <v>44384.81517</v>
      </c>
      <c r="F396" s="4" t="str">
        <f>IFERROR(__xludf.DUMMYFUNCTION("""COMPUTED_VALUE""")," ---")</f>
        <v> ---</v>
      </c>
      <c r="G396" s="4" t="str">
        <f>IFERROR(__xludf.DUMMYFUNCTION("""COMPUTED_VALUE"""),"SUSE Linux Enterprise Server 15 SP2")</f>
        <v>SUSE Linux Enterprise Server 15 SP2</v>
      </c>
      <c r="H396" s="7" t="str">
        <f t="shared" si="2"/>
        <v>NO</v>
      </c>
      <c r="I396" s="7" t="str">
        <f t="shared" si="3"/>
        <v>NO</v>
      </c>
    </row>
    <row r="397">
      <c r="A397" s="4">
        <f>IFERROR(__xludf.DUMMYFUNCTION("""COMPUTED_VALUE"""),1164373.0)</f>
        <v>1164373</v>
      </c>
      <c r="B397" s="4" t="str">
        <f>IFERROR(__xludf.DUMMYFUNCTION("""COMPUTED_VALUE"""),"P3 - Medium")</f>
        <v>P3 - Medium</v>
      </c>
      <c r="C397" s="5">
        <f>IFERROR(__xludf.DUMMYFUNCTION("""COMPUTED_VALUE"""),43880.65857638889)</f>
        <v>43880.65858</v>
      </c>
      <c r="D397" s="4" t="str">
        <f>IFERROR(__xludf.DUMMYFUNCTION("""COMPUTED_VALUE"""),"RESOLVED")</f>
        <v>RESOLVED</v>
      </c>
      <c r="E397" s="6">
        <f>IFERROR(__xludf.DUMMYFUNCTION("""COMPUTED_VALUE"""),44384.81524305556)</f>
        <v>44384.81524</v>
      </c>
      <c r="F397" s="4" t="str">
        <f>IFERROR(__xludf.DUMMYFUNCTION("""COMPUTED_VALUE""")," ---")</f>
        <v> ---</v>
      </c>
      <c r="G397" s="4" t="str">
        <f>IFERROR(__xludf.DUMMYFUNCTION("""COMPUTED_VALUE"""),"SUSE Linux Enterprise Server 15 SP2")</f>
        <v>SUSE Linux Enterprise Server 15 SP2</v>
      </c>
      <c r="H397" s="7" t="str">
        <f t="shared" si="2"/>
        <v>NO</v>
      </c>
      <c r="I397" s="7" t="str">
        <f t="shared" si="3"/>
        <v>NO</v>
      </c>
    </row>
    <row r="398">
      <c r="A398" s="4">
        <f>IFERROR(__xludf.DUMMYFUNCTION("""COMPUTED_VALUE"""),1164374.0)</f>
        <v>1164374</v>
      </c>
      <c r="B398" s="4" t="str">
        <f>IFERROR(__xludf.DUMMYFUNCTION("""COMPUTED_VALUE"""),"P3 - Medium")</f>
        <v>P3 - Medium</v>
      </c>
      <c r="C398" s="5">
        <f>IFERROR(__xludf.DUMMYFUNCTION("""COMPUTED_VALUE"""),43880.65872685185)</f>
        <v>43880.65873</v>
      </c>
      <c r="D398" s="4" t="str">
        <f>IFERROR(__xludf.DUMMYFUNCTION("""COMPUTED_VALUE"""),"RESOLVED")</f>
        <v>RESOLVED</v>
      </c>
      <c r="E398" s="6">
        <f>IFERROR(__xludf.DUMMYFUNCTION("""COMPUTED_VALUE"""),44384.8153125)</f>
        <v>44384.81531</v>
      </c>
      <c r="F398" s="4" t="str">
        <f>IFERROR(__xludf.DUMMYFUNCTION("""COMPUTED_VALUE""")," ---")</f>
        <v> ---</v>
      </c>
      <c r="G398" s="4" t="str">
        <f>IFERROR(__xludf.DUMMYFUNCTION("""COMPUTED_VALUE"""),"SUSE Linux Enterprise Server 15 SP2")</f>
        <v>SUSE Linux Enterprise Server 15 SP2</v>
      </c>
      <c r="H398" s="7" t="str">
        <f t="shared" si="2"/>
        <v>NO</v>
      </c>
      <c r="I398" s="7" t="str">
        <f t="shared" si="3"/>
        <v>NO</v>
      </c>
    </row>
    <row r="399">
      <c r="A399" s="4">
        <f>IFERROR(__xludf.DUMMYFUNCTION("""COMPUTED_VALUE"""),1164375.0)</f>
        <v>1164375</v>
      </c>
      <c r="B399" s="4" t="str">
        <f>IFERROR(__xludf.DUMMYFUNCTION("""COMPUTED_VALUE"""),"P3 - Medium")</f>
        <v>P3 - Medium</v>
      </c>
      <c r="C399" s="5">
        <f>IFERROR(__xludf.DUMMYFUNCTION("""COMPUTED_VALUE"""),43880.65892361111)</f>
        <v>43880.65892</v>
      </c>
      <c r="D399" s="4" t="str">
        <f>IFERROR(__xludf.DUMMYFUNCTION("""COMPUTED_VALUE"""),"RESOLVED")</f>
        <v>RESOLVED</v>
      </c>
      <c r="E399" s="6">
        <f>IFERROR(__xludf.DUMMYFUNCTION("""COMPUTED_VALUE"""),44384.81538194444)</f>
        <v>44384.81538</v>
      </c>
      <c r="F399" s="4" t="str">
        <f>IFERROR(__xludf.DUMMYFUNCTION("""COMPUTED_VALUE""")," ---")</f>
        <v> ---</v>
      </c>
      <c r="G399" s="4" t="str">
        <f>IFERROR(__xludf.DUMMYFUNCTION("""COMPUTED_VALUE"""),"SUSE Linux Enterprise Server 15 SP2")</f>
        <v>SUSE Linux Enterprise Server 15 SP2</v>
      </c>
      <c r="H399" s="7" t="str">
        <f t="shared" si="2"/>
        <v>NO</v>
      </c>
      <c r="I399" s="7" t="str">
        <f t="shared" si="3"/>
        <v>NO</v>
      </c>
    </row>
    <row r="400">
      <c r="A400" s="4">
        <f>IFERROR(__xludf.DUMMYFUNCTION("""COMPUTED_VALUE"""),1164376.0)</f>
        <v>1164376</v>
      </c>
      <c r="B400" s="4" t="str">
        <f>IFERROR(__xludf.DUMMYFUNCTION("""COMPUTED_VALUE"""),"P3 - Medium")</f>
        <v>P3 - Medium</v>
      </c>
      <c r="C400" s="5">
        <f>IFERROR(__xludf.DUMMYFUNCTION("""COMPUTED_VALUE"""),43880.65898148148)</f>
        <v>43880.65898</v>
      </c>
      <c r="D400" s="4" t="str">
        <f>IFERROR(__xludf.DUMMYFUNCTION("""COMPUTED_VALUE"""),"RESOLVED")</f>
        <v>RESOLVED</v>
      </c>
      <c r="E400" s="6">
        <f>IFERROR(__xludf.DUMMYFUNCTION("""COMPUTED_VALUE"""),44384.81545138889)</f>
        <v>44384.81545</v>
      </c>
      <c r="F400" s="4" t="str">
        <f>IFERROR(__xludf.DUMMYFUNCTION("""COMPUTED_VALUE""")," ---")</f>
        <v> ---</v>
      </c>
      <c r="G400" s="4" t="str">
        <f>IFERROR(__xludf.DUMMYFUNCTION("""COMPUTED_VALUE"""),"SUSE Linux Enterprise Server 15 SP2")</f>
        <v>SUSE Linux Enterprise Server 15 SP2</v>
      </c>
      <c r="H400" s="7" t="str">
        <f t="shared" si="2"/>
        <v>NO</v>
      </c>
      <c r="I400" s="7" t="str">
        <f t="shared" si="3"/>
        <v>NO</v>
      </c>
    </row>
    <row r="401">
      <c r="A401" s="4">
        <f>IFERROR(__xludf.DUMMYFUNCTION("""COMPUTED_VALUE"""),1164377.0)</f>
        <v>1164377</v>
      </c>
      <c r="B401" s="4" t="str">
        <f>IFERROR(__xludf.DUMMYFUNCTION("""COMPUTED_VALUE"""),"P3 - Medium")</f>
        <v>P3 - Medium</v>
      </c>
      <c r="C401" s="5">
        <f>IFERROR(__xludf.DUMMYFUNCTION("""COMPUTED_VALUE"""),43880.65912037037)</f>
        <v>43880.65912</v>
      </c>
      <c r="D401" s="4" t="str">
        <f>IFERROR(__xludf.DUMMYFUNCTION("""COMPUTED_VALUE"""),"RESOLVED")</f>
        <v>RESOLVED</v>
      </c>
      <c r="E401" s="6">
        <f>IFERROR(__xludf.DUMMYFUNCTION("""COMPUTED_VALUE"""),44384.815520833334)</f>
        <v>44384.81552</v>
      </c>
      <c r="F401" s="4" t="str">
        <f>IFERROR(__xludf.DUMMYFUNCTION("""COMPUTED_VALUE""")," ---")</f>
        <v> ---</v>
      </c>
      <c r="G401" s="4" t="str">
        <f>IFERROR(__xludf.DUMMYFUNCTION("""COMPUTED_VALUE"""),"SUSE Linux Enterprise Server 15 SP2")</f>
        <v>SUSE Linux Enterprise Server 15 SP2</v>
      </c>
      <c r="H401" s="7" t="str">
        <f t="shared" si="2"/>
        <v>NO</v>
      </c>
      <c r="I401" s="7" t="str">
        <f t="shared" si="3"/>
        <v>NO</v>
      </c>
    </row>
    <row r="402">
      <c r="A402" s="4">
        <f>IFERROR(__xludf.DUMMYFUNCTION("""COMPUTED_VALUE"""),1164378.0)</f>
        <v>1164378</v>
      </c>
      <c r="B402" s="4" t="str">
        <f>IFERROR(__xludf.DUMMYFUNCTION("""COMPUTED_VALUE"""),"P3 - Medium")</f>
        <v>P3 - Medium</v>
      </c>
      <c r="C402" s="5">
        <f>IFERROR(__xludf.DUMMYFUNCTION("""COMPUTED_VALUE"""),43880.659317129626)</f>
        <v>43880.65932</v>
      </c>
      <c r="D402" s="4" t="str">
        <f>IFERROR(__xludf.DUMMYFUNCTION("""COMPUTED_VALUE"""),"RESOLVED")</f>
        <v>RESOLVED</v>
      </c>
      <c r="E402" s="6">
        <f>IFERROR(__xludf.DUMMYFUNCTION("""COMPUTED_VALUE"""),44384.81559027778)</f>
        <v>44384.81559</v>
      </c>
      <c r="F402" s="4" t="str">
        <f>IFERROR(__xludf.DUMMYFUNCTION("""COMPUTED_VALUE""")," ---")</f>
        <v> ---</v>
      </c>
      <c r="G402" s="4" t="str">
        <f>IFERROR(__xludf.DUMMYFUNCTION("""COMPUTED_VALUE"""),"SUSE Linux Enterprise Server 15 SP2")</f>
        <v>SUSE Linux Enterprise Server 15 SP2</v>
      </c>
      <c r="H402" s="7" t="str">
        <f t="shared" si="2"/>
        <v>NO</v>
      </c>
      <c r="I402" s="7" t="str">
        <f t="shared" si="3"/>
        <v>NO</v>
      </c>
    </row>
    <row r="403">
      <c r="A403" s="4">
        <f>IFERROR(__xludf.DUMMYFUNCTION("""COMPUTED_VALUE"""),1164379.0)</f>
        <v>1164379</v>
      </c>
      <c r="B403" s="4" t="str">
        <f>IFERROR(__xludf.DUMMYFUNCTION("""COMPUTED_VALUE"""),"P3 - Medium")</f>
        <v>P3 - Medium</v>
      </c>
      <c r="C403" s="5">
        <f>IFERROR(__xludf.DUMMYFUNCTION("""COMPUTED_VALUE"""),43880.659375)</f>
        <v>43880.65938</v>
      </c>
      <c r="D403" s="4" t="str">
        <f>IFERROR(__xludf.DUMMYFUNCTION("""COMPUTED_VALUE"""),"RESOLVED")</f>
        <v>RESOLVED</v>
      </c>
      <c r="E403" s="6">
        <f>IFERROR(__xludf.DUMMYFUNCTION("""COMPUTED_VALUE"""),44384.81565972222)</f>
        <v>44384.81566</v>
      </c>
      <c r="F403" s="4" t="str">
        <f>IFERROR(__xludf.DUMMYFUNCTION("""COMPUTED_VALUE""")," ---")</f>
        <v> ---</v>
      </c>
      <c r="G403" s="4" t="str">
        <f>IFERROR(__xludf.DUMMYFUNCTION("""COMPUTED_VALUE"""),"SUSE Linux Enterprise Server 15 SP2")</f>
        <v>SUSE Linux Enterprise Server 15 SP2</v>
      </c>
      <c r="H403" s="7" t="str">
        <f t="shared" si="2"/>
        <v>NO</v>
      </c>
      <c r="I403" s="7" t="str">
        <f t="shared" si="3"/>
        <v>NO</v>
      </c>
    </row>
    <row r="404">
      <c r="A404" s="4">
        <f>IFERROR(__xludf.DUMMYFUNCTION("""COMPUTED_VALUE"""),1164380.0)</f>
        <v>1164380</v>
      </c>
      <c r="B404" s="4" t="str">
        <f>IFERROR(__xludf.DUMMYFUNCTION("""COMPUTED_VALUE"""),"P3 - Medium")</f>
        <v>P3 - Medium</v>
      </c>
      <c r="C404" s="5">
        <f>IFERROR(__xludf.DUMMYFUNCTION("""COMPUTED_VALUE"""),43880.659525462965)</f>
        <v>43880.65953</v>
      </c>
      <c r="D404" s="4" t="str">
        <f>IFERROR(__xludf.DUMMYFUNCTION("""COMPUTED_VALUE"""),"RESOLVED")</f>
        <v>RESOLVED</v>
      </c>
      <c r="E404" s="6">
        <f>IFERROR(__xludf.DUMMYFUNCTION("""COMPUTED_VALUE"""),44384.815729166665)</f>
        <v>44384.81573</v>
      </c>
      <c r="F404" s="4" t="str">
        <f>IFERROR(__xludf.DUMMYFUNCTION("""COMPUTED_VALUE""")," ---")</f>
        <v> ---</v>
      </c>
      <c r="G404" s="4" t="str">
        <f>IFERROR(__xludf.DUMMYFUNCTION("""COMPUTED_VALUE"""),"SUSE Linux Enterprise Server 15 SP2")</f>
        <v>SUSE Linux Enterprise Server 15 SP2</v>
      </c>
      <c r="H404" s="7" t="str">
        <f t="shared" si="2"/>
        <v>NO</v>
      </c>
      <c r="I404" s="7" t="str">
        <f t="shared" si="3"/>
        <v>NO</v>
      </c>
    </row>
    <row r="405">
      <c r="A405" s="4">
        <f>IFERROR(__xludf.DUMMYFUNCTION("""COMPUTED_VALUE"""),1164381.0)</f>
        <v>1164381</v>
      </c>
      <c r="B405" s="4" t="str">
        <f>IFERROR(__xludf.DUMMYFUNCTION("""COMPUTED_VALUE"""),"P3 - Medium")</f>
        <v>P3 - Medium</v>
      </c>
      <c r="C405" s="5">
        <f>IFERROR(__xludf.DUMMYFUNCTION("""COMPUTED_VALUE"""),43880.65959490741)</f>
        <v>43880.65959</v>
      </c>
      <c r="D405" s="4" t="str">
        <f>IFERROR(__xludf.DUMMYFUNCTION("""COMPUTED_VALUE"""),"RESOLVED")</f>
        <v>RESOLVED</v>
      </c>
      <c r="E405" s="6">
        <f>IFERROR(__xludf.DUMMYFUNCTION("""COMPUTED_VALUE"""),44384.81579861111)</f>
        <v>44384.8158</v>
      </c>
      <c r="F405" s="4" t="str">
        <f>IFERROR(__xludf.DUMMYFUNCTION("""COMPUTED_VALUE""")," ---")</f>
        <v> ---</v>
      </c>
      <c r="G405" s="4" t="str">
        <f>IFERROR(__xludf.DUMMYFUNCTION("""COMPUTED_VALUE"""),"SUSE Linux Enterprise Server 15 SP2")</f>
        <v>SUSE Linux Enterprise Server 15 SP2</v>
      </c>
      <c r="H405" s="7" t="str">
        <f t="shared" si="2"/>
        <v>NO</v>
      </c>
      <c r="I405" s="7" t="str">
        <f t="shared" si="3"/>
        <v>NO</v>
      </c>
    </row>
    <row r="406">
      <c r="A406" s="4">
        <f>IFERROR(__xludf.DUMMYFUNCTION("""COMPUTED_VALUE"""),1164382.0)</f>
        <v>1164382</v>
      </c>
      <c r="B406" s="4" t="str">
        <f>IFERROR(__xludf.DUMMYFUNCTION("""COMPUTED_VALUE"""),"P3 - Medium")</f>
        <v>P3 - Medium</v>
      </c>
      <c r="C406" s="5">
        <f>IFERROR(__xludf.DUMMYFUNCTION("""COMPUTED_VALUE"""),43880.659780092596)</f>
        <v>43880.65978</v>
      </c>
      <c r="D406" s="4" t="str">
        <f>IFERROR(__xludf.DUMMYFUNCTION("""COMPUTED_VALUE"""),"RESOLVED")</f>
        <v>RESOLVED</v>
      </c>
      <c r="E406" s="6">
        <f>IFERROR(__xludf.DUMMYFUNCTION("""COMPUTED_VALUE"""),44384.81586805556)</f>
        <v>44384.81587</v>
      </c>
      <c r="F406" s="4" t="str">
        <f>IFERROR(__xludf.DUMMYFUNCTION("""COMPUTED_VALUE""")," ---")</f>
        <v> ---</v>
      </c>
      <c r="G406" s="4" t="str">
        <f>IFERROR(__xludf.DUMMYFUNCTION("""COMPUTED_VALUE"""),"SUSE Linux Enterprise Server 15 SP2")</f>
        <v>SUSE Linux Enterprise Server 15 SP2</v>
      </c>
      <c r="H406" s="7" t="str">
        <f t="shared" si="2"/>
        <v>NO</v>
      </c>
      <c r="I406" s="7" t="str">
        <f t="shared" si="3"/>
        <v>NO</v>
      </c>
    </row>
    <row r="407">
      <c r="A407" s="4">
        <f>IFERROR(__xludf.DUMMYFUNCTION("""COMPUTED_VALUE"""),1164383.0)</f>
        <v>1164383</v>
      </c>
      <c r="B407" s="4" t="str">
        <f>IFERROR(__xludf.DUMMYFUNCTION("""COMPUTED_VALUE"""),"P3 - Medium")</f>
        <v>P3 - Medium</v>
      </c>
      <c r="C407" s="5">
        <f>IFERROR(__xludf.DUMMYFUNCTION("""COMPUTED_VALUE"""),43880.659849537034)</f>
        <v>43880.65985</v>
      </c>
      <c r="D407" s="4" t="str">
        <f>IFERROR(__xludf.DUMMYFUNCTION("""COMPUTED_VALUE"""),"RESOLVED")</f>
        <v>RESOLVED</v>
      </c>
      <c r="E407" s="6">
        <f>IFERROR(__xludf.DUMMYFUNCTION("""COMPUTED_VALUE"""),44384.8159375)</f>
        <v>44384.81594</v>
      </c>
      <c r="F407" s="4" t="str">
        <f>IFERROR(__xludf.DUMMYFUNCTION("""COMPUTED_VALUE""")," ---")</f>
        <v> ---</v>
      </c>
      <c r="G407" s="4" t="str">
        <f>IFERROR(__xludf.DUMMYFUNCTION("""COMPUTED_VALUE"""),"SUSE Linux Enterprise Server 15 SP2")</f>
        <v>SUSE Linux Enterprise Server 15 SP2</v>
      </c>
      <c r="H407" s="7" t="str">
        <f t="shared" si="2"/>
        <v>NO</v>
      </c>
      <c r="I407" s="7" t="str">
        <f t="shared" si="3"/>
        <v>NO</v>
      </c>
    </row>
    <row r="408">
      <c r="A408" s="4">
        <f>IFERROR(__xludf.DUMMYFUNCTION("""COMPUTED_VALUE"""),1164445.0)</f>
        <v>1164445</v>
      </c>
      <c r="B408" s="4" t="str">
        <f>IFERROR(__xludf.DUMMYFUNCTION("""COMPUTED_VALUE"""),"P3 - Medium")</f>
        <v>P3 - Medium</v>
      </c>
      <c r="C408" s="5">
        <f>IFERROR(__xludf.DUMMYFUNCTION("""COMPUTED_VALUE"""),43881.38217592592)</f>
        <v>43881.38218</v>
      </c>
      <c r="D408" s="4" t="str">
        <f>IFERROR(__xludf.DUMMYFUNCTION("""COMPUTED_VALUE"""),"RESOLVED")</f>
        <v>RESOLVED</v>
      </c>
      <c r="E408" s="6">
        <f>IFERROR(__xludf.DUMMYFUNCTION("""COMPUTED_VALUE"""),44384.81607638889)</f>
        <v>44384.81608</v>
      </c>
      <c r="F408" s="4" t="str">
        <f>IFERROR(__xludf.DUMMYFUNCTION("""COMPUTED_VALUE""")," ---")</f>
        <v> ---</v>
      </c>
      <c r="G408" s="4" t="str">
        <f>IFERROR(__xludf.DUMMYFUNCTION("""COMPUTED_VALUE"""),"SUSE Linux Enterprise Server 15 SP2")</f>
        <v>SUSE Linux Enterprise Server 15 SP2</v>
      </c>
      <c r="H408" s="7" t="str">
        <f t="shared" si="2"/>
        <v>NO</v>
      </c>
      <c r="I408" s="7" t="str">
        <f t="shared" si="3"/>
        <v>NO</v>
      </c>
    </row>
    <row r="409">
      <c r="A409" s="4">
        <f>IFERROR(__xludf.DUMMYFUNCTION("""COMPUTED_VALUE"""),1164446.0)</f>
        <v>1164446</v>
      </c>
      <c r="B409" s="4" t="str">
        <f>IFERROR(__xludf.DUMMYFUNCTION("""COMPUTED_VALUE"""),"P3 - Medium")</f>
        <v>P3 - Medium</v>
      </c>
      <c r="C409" s="5">
        <f>IFERROR(__xludf.DUMMYFUNCTION("""COMPUTED_VALUE"""),43881.382268518515)</f>
        <v>43881.38227</v>
      </c>
      <c r="D409" s="4" t="str">
        <f>IFERROR(__xludf.DUMMYFUNCTION("""COMPUTED_VALUE"""),"RESOLVED")</f>
        <v>RESOLVED</v>
      </c>
      <c r="E409" s="6">
        <f>IFERROR(__xludf.DUMMYFUNCTION("""COMPUTED_VALUE"""),44384.816157407404)</f>
        <v>44384.81616</v>
      </c>
      <c r="F409" s="4" t="str">
        <f>IFERROR(__xludf.DUMMYFUNCTION("""COMPUTED_VALUE""")," ---")</f>
        <v> ---</v>
      </c>
      <c r="G409" s="4" t="str">
        <f>IFERROR(__xludf.DUMMYFUNCTION("""COMPUTED_VALUE"""),"SUSE Linux Enterprise Server 15 SP2")</f>
        <v>SUSE Linux Enterprise Server 15 SP2</v>
      </c>
      <c r="H409" s="7" t="str">
        <f t="shared" si="2"/>
        <v>NO</v>
      </c>
      <c r="I409" s="7" t="str">
        <f t="shared" si="3"/>
        <v>NO</v>
      </c>
    </row>
    <row r="410">
      <c r="A410" s="4">
        <f>IFERROR(__xludf.DUMMYFUNCTION("""COMPUTED_VALUE"""),1166091.0)</f>
        <v>1166091</v>
      </c>
      <c r="B410" s="4" t="str">
        <f>IFERROR(__xludf.DUMMYFUNCTION("""COMPUTED_VALUE"""),"P3 - Medium")</f>
        <v>P3 - Medium</v>
      </c>
      <c r="C410" s="5">
        <f>IFERROR(__xludf.DUMMYFUNCTION("""COMPUTED_VALUE"""),43899.57896990741)</f>
        <v>43899.57897</v>
      </c>
      <c r="D410" s="4" t="str">
        <f>IFERROR(__xludf.DUMMYFUNCTION("""COMPUTED_VALUE"""),"RESOLVED")</f>
        <v>RESOLVED</v>
      </c>
      <c r="E410" s="6">
        <f>IFERROR(__xludf.DUMMYFUNCTION("""COMPUTED_VALUE"""),44384.81806712963)</f>
        <v>44384.81807</v>
      </c>
      <c r="F410" s="4" t="str">
        <f>IFERROR(__xludf.DUMMYFUNCTION("""COMPUTED_VALUE""")," ---")</f>
        <v> ---</v>
      </c>
      <c r="G410" s="4" t="str">
        <f>IFERROR(__xludf.DUMMYFUNCTION("""COMPUTED_VALUE"""),"SUSE Linux Enterprise Server 15 SP2")</f>
        <v>SUSE Linux Enterprise Server 15 SP2</v>
      </c>
      <c r="H410" s="7" t="str">
        <f t="shared" si="2"/>
        <v>NO</v>
      </c>
      <c r="I410" s="7" t="str">
        <f t="shared" si="3"/>
        <v>NO</v>
      </c>
    </row>
    <row r="411">
      <c r="A411" s="4">
        <f>IFERROR(__xludf.DUMMYFUNCTION("""COMPUTED_VALUE"""),1166722.0)</f>
        <v>1166722</v>
      </c>
      <c r="B411" s="4" t="str">
        <f>IFERROR(__xludf.DUMMYFUNCTION("""COMPUTED_VALUE"""),"P3 - Medium")</f>
        <v>P3 - Medium</v>
      </c>
      <c r="C411" s="5">
        <f>IFERROR(__xludf.DUMMYFUNCTION("""COMPUTED_VALUE"""),43906.35899305555)</f>
        <v>43906.35899</v>
      </c>
      <c r="D411" s="4" t="str">
        <f>IFERROR(__xludf.DUMMYFUNCTION("""COMPUTED_VALUE"""),"RESOLVED")</f>
        <v>RESOLVED</v>
      </c>
      <c r="E411" s="6">
        <f>IFERROR(__xludf.DUMMYFUNCTION("""COMPUTED_VALUE"""),44384.82032407408)</f>
        <v>44384.82032</v>
      </c>
      <c r="F411" s="4" t="str">
        <f>IFERROR(__xludf.DUMMYFUNCTION("""COMPUTED_VALUE""")," ---")</f>
        <v> ---</v>
      </c>
      <c r="G411" s="4" t="str">
        <f>IFERROR(__xludf.DUMMYFUNCTION("""COMPUTED_VALUE"""),"SUSE Linux Enterprise Server 15 SP2")</f>
        <v>SUSE Linux Enterprise Server 15 SP2</v>
      </c>
      <c r="H411" s="7" t="str">
        <f t="shared" si="2"/>
        <v>NO</v>
      </c>
      <c r="I411" s="7" t="str">
        <f t="shared" si="3"/>
        <v>NO</v>
      </c>
    </row>
    <row r="412">
      <c r="A412" s="4">
        <f>IFERROR(__xludf.DUMMYFUNCTION("""COMPUTED_VALUE"""),1166723.0)</f>
        <v>1166723</v>
      </c>
      <c r="B412" s="4" t="str">
        <f>IFERROR(__xludf.DUMMYFUNCTION("""COMPUTED_VALUE"""),"P3 - Medium")</f>
        <v>P3 - Medium</v>
      </c>
      <c r="C412" s="5">
        <f>IFERROR(__xludf.DUMMYFUNCTION("""COMPUTED_VALUE"""),43906.359189814815)</f>
        <v>43906.35919</v>
      </c>
      <c r="D412" s="4" t="str">
        <f>IFERROR(__xludf.DUMMYFUNCTION("""COMPUTED_VALUE"""),"RESOLVED")</f>
        <v>RESOLVED</v>
      </c>
      <c r="E412" s="6">
        <f>IFERROR(__xludf.DUMMYFUNCTION("""COMPUTED_VALUE"""),44384.820393518516)</f>
        <v>44384.82039</v>
      </c>
      <c r="F412" s="4" t="str">
        <f>IFERROR(__xludf.DUMMYFUNCTION("""COMPUTED_VALUE""")," ---")</f>
        <v> ---</v>
      </c>
      <c r="G412" s="4" t="str">
        <f>IFERROR(__xludf.DUMMYFUNCTION("""COMPUTED_VALUE"""),"SUSE Linux Enterprise Server 15 SP2")</f>
        <v>SUSE Linux Enterprise Server 15 SP2</v>
      </c>
      <c r="H412" s="7" t="str">
        <f t="shared" si="2"/>
        <v>NO</v>
      </c>
      <c r="I412" s="7" t="str">
        <f t="shared" si="3"/>
        <v>NO</v>
      </c>
    </row>
    <row r="413">
      <c r="A413" s="4">
        <f>IFERROR(__xludf.DUMMYFUNCTION("""COMPUTED_VALUE"""),1166724.0)</f>
        <v>1166724</v>
      </c>
      <c r="B413" s="4" t="str">
        <f>IFERROR(__xludf.DUMMYFUNCTION("""COMPUTED_VALUE"""),"P3 - Medium")</f>
        <v>P3 - Medium</v>
      </c>
      <c r="C413" s="5">
        <f>IFERROR(__xludf.DUMMYFUNCTION("""COMPUTED_VALUE"""),43906.35927083333)</f>
        <v>43906.35927</v>
      </c>
      <c r="D413" s="4" t="str">
        <f>IFERROR(__xludf.DUMMYFUNCTION("""COMPUTED_VALUE"""),"RESOLVED")</f>
        <v>RESOLVED</v>
      </c>
      <c r="E413" s="6">
        <f>IFERROR(__xludf.DUMMYFUNCTION("""COMPUTED_VALUE"""),44384.82046296296)</f>
        <v>44384.82046</v>
      </c>
      <c r="F413" s="4" t="str">
        <f>IFERROR(__xludf.DUMMYFUNCTION("""COMPUTED_VALUE""")," ---")</f>
        <v> ---</v>
      </c>
      <c r="G413" s="4" t="str">
        <f>IFERROR(__xludf.DUMMYFUNCTION("""COMPUTED_VALUE"""),"SUSE Linux Enterprise Server 15 SP2")</f>
        <v>SUSE Linux Enterprise Server 15 SP2</v>
      </c>
      <c r="H413" s="7" t="str">
        <f t="shared" si="2"/>
        <v>NO</v>
      </c>
      <c r="I413" s="7" t="str">
        <f t="shared" si="3"/>
        <v>NO</v>
      </c>
    </row>
    <row r="414">
      <c r="A414" s="4">
        <f>IFERROR(__xludf.DUMMYFUNCTION("""COMPUTED_VALUE"""),1166725.0)</f>
        <v>1166725</v>
      </c>
      <c r="B414" s="4" t="str">
        <f>IFERROR(__xludf.DUMMYFUNCTION("""COMPUTED_VALUE"""),"P3 - Medium")</f>
        <v>P3 - Medium</v>
      </c>
      <c r="C414" s="5">
        <f>IFERROR(__xludf.DUMMYFUNCTION("""COMPUTED_VALUE"""),43906.359351851854)</f>
        <v>43906.35935</v>
      </c>
      <c r="D414" s="4" t="str">
        <f>IFERROR(__xludf.DUMMYFUNCTION("""COMPUTED_VALUE"""),"RESOLVED")</f>
        <v>RESOLVED</v>
      </c>
      <c r="E414" s="6">
        <f>IFERROR(__xludf.DUMMYFUNCTION("""COMPUTED_VALUE"""),44384.820543981485)</f>
        <v>44384.82054</v>
      </c>
      <c r="F414" s="4" t="str">
        <f>IFERROR(__xludf.DUMMYFUNCTION("""COMPUTED_VALUE""")," ---")</f>
        <v> ---</v>
      </c>
      <c r="G414" s="4" t="str">
        <f>IFERROR(__xludf.DUMMYFUNCTION("""COMPUTED_VALUE"""),"SUSE Linux Enterprise Server 15 SP2")</f>
        <v>SUSE Linux Enterprise Server 15 SP2</v>
      </c>
      <c r="H414" s="7" t="str">
        <f t="shared" si="2"/>
        <v>NO</v>
      </c>
      <c r="I414" s="7" t="str">
        <f t="shared" si="3"/>
        <v>NO</v>
      </c>
    </row>
    <row r="415">
      <c r="A415" s="4">
        <f>IFERROR(__xludf.DUMMYFUNCTION("""COMPUTED_VALUE"""),1166726.0)</f>
        <v>1166726</v>
      </c>
      <c r="B415" s="4" t="str">
        <f>IFERROR(__xludf.DUMMYFUNCTION("""COMPUTED_VALUE"""),"P3 - Medium")</f>
        <v>P3 - Medium</v>
      </c>
      <c r="C415" s="5">
        <f>IFERROR(__xludf.DUMMYFUNCTION("""COMPUTED_VALUE"""),43906.35943287037)</f>
        <v>43906.35943</v>
      </c>
      <c r="D415" s="4" t="str">
        <f>IFERROR(__xludf.DUMMYFUNCTION("""COMPUTED_VALUE"""),"RESOLVED")</f>
        <v>RESOLVED</v>
      </c>
      <c r="E415" s="6">
        <f>IFERROR(__xludf.DUMMYFUNCTION("""COMPUTED_VALUE"""),44384.82061342592)</f>
        <v>44384.82061</v>
      </c>
      <c r="F415" s="4" t="str">
        <f>IFERROR(__xludf.DUMMYFUNCTION("""COMPUTED_VALUE""")," ---")</f>
        <v> ---</v>
      </c>
      <c r="G415" s="4" t="str">
        <f>IFERROR(__xludf.DUMMYFUNCTION("""COMPUTED_VALUE"""),"SUSE Linux Enterprise Server 15 SP2")</f>
        <v>SUSE Linux Enterprise Server 15 SP2</v>
      </c>
      <c r="H415" s="7" t="str">
        <f t="shared" si="2"/>
        <v>NO</v>
      </c>
      <c r="I415" s="7" t="str">
        <f t="shared" si="3"/>
        <v>NO</v>
      </c>
    </row>
    <row r="416">
      <c r="A416" s="4">
        <f>IFERROR(__xludf.DUMMYFUNCTION("""COMPUTED_VALUE"""),1166727.0)</f>
        <v>1166727</v>
      </c>
      <c r="B416" s="4" t="str">
        <f>IFERROR(__xludf.DUMMYFUNCTION("""COMPUTED_VALUE"""),"P3 - Medium")</f>
        <v>P3 - Medium</v>
      </c>
      <c r="C416" s="5">
        <f>IFERROR(__xludf.DUMMYFUNCTION("""COMPUTED_VALUE"""),43906.359502314815)</f>
        <v>43906.3595</v>
      </c>
      <c r="D416" s="4" t="str">
        <f>IFERROR(__xludf.DUMMYFUNCTION("""COMPUTED_VALUE"""),"RESOLVED")</f>
        <v>RESOLVED</v>
      </c>
      <c r="E416" s="6">
        <f>IFERROR(__xludf.DUMMYFUNCTION("""COMPUTED_VALUE"""),44384.82069444445)</f>
        <v>44384.82069</v>
      </c>
      <c r="F416" s="4" t="str">
        <f>IFERROR(__xludf.DUMMYFUNCTION("""COMPUTED_VALUE""")," ---")</f>
        <v> ---</v>
      </c>
      <c r="G416" s="4" t="str">
        <f>IFERROR(__xludf.DUMMYFUNCTION("""COMPUTED_VALUE"""),"SUSE Linux Enterprise Server 15 SP2")</f>
        <v>SUSE Linux Enterprise Server 15 SP2</v>
      </c>
      <c r="H416" s="7" t="str">
        <f t="shared" si="2"/>
        <v>NO</v>
      </c>
      <c r="I416" s="7" t="str">
        <f t="shared" si="3"/>
        <v>NO</v>
      </c>
    </row>
    <row r="417">
      <c r="A417" s="4">
        <f>IFERROR(__xludf.DUMMYFUNCTION("""COMPUTED_VALUE"""),1166728.0)</f>
        <v>1166728</v>
      </c>
      <c r="B417" s="4" t="str">
        <f>IFERROR(__xludf.DUMMYFUNCTION("""COMPUTED_VALUE"""),"P3 - Medium")</f>
        <v>P3 - Medium</v>
      </c>
      <c r="C417" s="5">
        <f>IFERROR(__xludf.DUMMYFUNCTION("""COMPUTED_VALUE"""),43906.359618055554)</f>
        <v>43906.35962</v>
      </c>
      <c r="D417" s="4" t="str">
        <f>IFERROR(__xludf.DUMMYFUNCTION("""COMPUTED_VALUE"""),"RESOLVED")</f>
        <v>RESOLVED</v>
      </c>
      <c r="E417" s="6">
        <f>IFERROR(__xludf.DUMMYFUNCTION("""COMPUTED_VALUE"""),44384.820763888885)</f>
        <v>44384.82076</v>
      </c>
      <c r="F417" s="4" t="str">
        <f>IFERROR(__xludf.DUMMYFUNCTION("""COMPUTED_VALUE""")," ---")</f>
        <v> ---</v>
      </c>
      <c r="G417" s="4" t="str">
        <f>IFERROR(__xludf.DUMMYFUNCTION("""COMPUTED_VALUE"""),"SUSE Linux Enterprise Server 15 SP2")</f>
        <v>SUSE Linux Enterprise Server 15 SP2</v>
      </c>
      <c r="H417" s="7" t="str">
        <f t="shared" si="2"/>
        <v>NO</v>
      </c>
      <c r="I417" s="7" t="str">
        <f t="shared" si="3"/>
        <v>NO</v>
      </c>
    </row>
    <row r="418">
      <c r="A418" s="4">
        <f>IFERROR(__xludf.DUMMYFUNCTION("""COMPUTED_VALUE"""),1166729.0)</f>
        <v>1166729</v>
      </c>
      <c r="B418" s="4" t="str">
        <f>IFERROR(__xludf.DUMMYFUNCTION("""COMPUTED_VALUE"""),"P3 - Medium")</f>
        <v>P3 - Medium</v>
      </c>
      <c r="C418" s="5">
        <f>IFERROR(__xludf.DUMMYFUNCTION("""COMPUTED_VALUE"""),43906.35969907408)</f>
        <v>43906.3597</v>
      </c>
      <c r="D418" s="4" t="str">
        <f>IFERROR(__xludf.DUMMYFUNCTION("""COMPUTED_VALUE"""),"RESOLVED")</f>
        <v>RESOLVED</v>
      </c>
      <c r="E418" s="6">
        <f>IFERROR(__xludf.DUMMYFUNCTION("""COMPUTED_VALUE"""),44384.82083333333)</f>
        <v>44384.82083</v>
      </c>
      <c r="F418" s="4" t="str">
        <f>IFERROR(__xludf.DUMMYFUNCTION("""COMPUTED_VALUE""")," ---")</f>
        <v> ---</v>
      </c>
      <c r="G418" s="4" t="str">
        <f>IFERROR(__xludf.DUMMYFUNCTION("""COMPUTED_VALUE"""),"SUSE Linux Enterprise Server 15 SP2")</f>
        <v>SUSE Linux Enterprise Server 15 SP2</v>
      </c>
      <c r="H418" s="7" t="str">
        <f t="shared" si="2"/>
        <v>NO</v>
      </c>
      <c r="I418" s="7" t="str">
        <f t="shared" si="3"/>
        <v>NO</v>
      </c>
    </row>
    <row r="419">
      <c r="A419" s="4">
        <f>IFERROR(__xludf.DUMMYFUNCTION("""COMPUTED_VALUE"""),1166769.0)</f>
        <v>1166769</v>
      </c>
      <c r="B419" s="4" t="str">
        <f>IFERROR(__xludf.DUMMYFUNCTION("""COMPUTED_VALUE"""),"P3 - Medium")</f>
        <v>P3 - Medium</v>
      </c>
      <c r="C419" s="5">
        <f>IFERROR(__xludf.DUMMYFUNCTION("""COMPUTED_VALUE"""),43906.50561342593)</f>
        <v>43906.50561</v>
      </c>
      <c r="D419" s="4" t="str">
        <f>IFERROR(__xludf.DUMMYFUNCTION("""COMPUTED_VALUE"""),"RESOLVED")</f>
        <v>RESOLVED</v>
      </c>
      <c r="E419" s="6">
        <f>IFERROR(__xludf.DUMMYFUNCTION("""COMPUTED_VALUE"""),44384.820914351854)</f>
        <v>44384.82091</v>
      </c>
      <c r="F419" s="4" t="str">
        <f>IFERROR(__xludf.DUMMYFUNCTION("""COMPUTED_VALUE""")," ---")</f>
        <v> ---</v>
      </c>
      <c r="G419" s="4" t="str">
        <f>IFERROR(__xludf.DUMMYFUNCTION("""COMPUTED_VALUE"""),"SUSE Linux Enterprise Server 15 SP2")</f>
        <v>SUSE Linux Enterprise Server 15 SP2</v>
      </c>
      <c r="H419" s="7" t="str">
        <f t="shared" si="2"/>
        <v>NO</v>
      </c>
      <c r="I419" s="7" t="str">
        <f t="shared" si="3"/>
        <v>NO</v>
      </c>
    </row>
    <row r="420">
      <c r="A420" s="4">
        <f>IFERROR(__xludf.DUMMYFUNCTION("""COMPUTED_VALUE"""),1169048.0)</f>
        <v>1169048</v>
      </c>
      <c r="B420" s="4" t="str">
        <f>IFERROR(__xludf.DUMMYFUNCTION("""COMPUTED_VALUE"""),"P3 - Medium")</f>
        <v>P3 - Medium</v>
      </c>
      <c r="C420" s="5">
        <f>IFERROR(__xludf.DUMMYFUNCTION("""COMPUTED_VALUE"""),43930.34462962963)</f>
        <v>43930.34463</v>
      </c>
      <c r="D420" s="4" t="str">
        <f>IFERROR(__xludf.DUMMYFUNCTION("""COMPUTED_VALUE"""),"RESOLVED")</f>
        <v>RESOLVED</v>
      </c>
      <c r="E420" s="6">
        <f>IFERROR(__xludf.DUMMYFUNCTION("""COMPUTED_VALUE"""),44384.82481481481)</f>
        <v>44384.82481</v>
      </c>
      <c r="F420" s="4" t="str">
        <f>IFERROR(__xludf.DUMMYFUNCTION("""COMPUTED_VALUE""")," ---")</f>
        <v> ---</v>
      </c>
      <c r="G420" s="4" t="str">
        <f>IFERROR(__xludf.DUMMYFUNCTION("""COMPUTED_VALUE"""),"SUSE Linux Enterprise Server 15 SP2")</f>
        <v>SUSE Linux Enterprise Server 15 SP2</v>
      </c>
      <c r="H420" s="7" t="str">
        <f t="shared" si="2"/>
        <v>NO</v>
      </c>
      <c r="I420" s="7" t="str">
        <f t="shared" si="3"/>
        <v>NO</v>
      </c>
    </row>
    <row r="421">
      <c r="A421" s="4">
        <f>IFERROR(__xludf.DUMMYFUNCTION("""COMPUTED_VALUE"""),1169049.0)</f>
        <v>1169049</v>
      </c>
      <c r="B421" s="4" t="str">
        <f>IFERROR(__xludf.DUMMYFUNCTION("""COMPUTED_VALUE"""),"P3 - Medium")</f>
        <v>P3 - Medium</v>
      </c>
      <c r="C421" s="5">
        <f>IFERROR(__xludf.DUMMYFUNCTION("""COMPUTED_VALUE"""),43930.34469907408)</f>
        <v>43930.3447</v>
      </c>
      <c r="D421" s="4" t="str">
        <f>IFERROR(__xludf.DUMMYFUNCTION("""COMPUTED_VALUE"""),"RESOLVED")</f>
        <v>RESOLVED</v>
      </c>
      <c r="E421" s="6">
        <f>IFERROR(__xludf.DUMMYFUNCTION("""COMPUTED_VALUE"""),44384.82488425926)</f>
        <v>44384.82488</v>
      </c>
      <c r="F421" s="4" t="str">
        <f>IFERROR(__xludf.DUMMYFUNCTION("""COMPUTED_VALUE""")," ---")</f>
        <v> ---</v>
      </c>
      <c r="G421" s="4" t="str">
        <f>IFERROR(__xludf.DUMMYFUNCTION("""COMPUTED_VALUE"""),"SUSE Linux Enterprise Server 15 SP2")</f>
        <v>SUSE Linux Enterprise Server 15 SP2</v>
      </c>
      <c r="H421" s="7" t="str">
        <f t="shared" si="2"/>
        <v>NO</v>
      </c>
      <c r="I421" s="7" t="str">
        <f t="shared" si="3"/>
        <v>NO</v>
      </c>
    </row>
    <row r="422">
      <c r="A422" s="4">
        <f>IFERROR(__xludf.DUMMYFUNCTION("""COMPUTED_VALUE"""),1169050.0)</f>
        <v>1169050</v>
      </c>
      <c r="B422" s="4" t="str">
        <f>IFERROR(__xludf.DUMMYFUNCTION("""COMPUTED_VALUE"""),"P3 - Medium")</f>
        <v>P3 - Medium</v>
      </c>
      <c r="C422" s="5">
        <f>IFERROR(__xludf.DUMMYFUNCTION("""COMPUTED_VALUE"""),43930.34478009259)</f>
        <v>43930.34478</v>
      </c>
      <c r="D422" s="4" t="str">
        <f>IFERROR(__xludf.DUMMYFUNCTION("""COMPUTED_VALUE"""),"RESOLVED")</f>
        <v>RESOLVED</v>
      </c>
      <c r="E422" s="6">
        <f>IFERROR(__xludf.DUMMYFUNCTION("""COMPUTED_VALUE"""),44384.824953703705)</f>
        <v>44384.82495</v>
      </c>
      <c r="F422" s="4" t="str">
        <f>IFERROR(__xludf.DUMMYFUNCTION("""COMPUTED_VALUE""")," ---")</f>
        <v> ---</v>
      </c>
      <c r="G422" s="4" t="str">
        <f>IFERROR(__xludf.DUMMYFUNCTION("""COMPUTED_VALUE"""),"SUSE Linux Enterprise Server 15 SP2")</f>
        <v>SUSE Linux Enterprise Server 15 SP2</v>
      </c>
      <c r="H422" s="7" t="str">
        <f t="shared" si="2"/>
        <v>NO</v>
      </c>
      <c r="I422" s="7" t="str">
        <f t="shared" si="3"/>
        <v>NO</v>
      </c>
    </row>
    <row r="423">
      <c r="A423" s="4">
        <f>IFERROR(__xludf.DUMMYFUNCTION("""COMPUTED_VALUE"""),1169051.0)</f>
        <v>1169051</v>
      </c>
      <c r="B423" s="4" t="str">
        <f>IFERROR(__xludf.DUMMYFUNCTION("""COMPUTED_VALUE"""),"P3 - Medium")</f>
        <v>P3 - Medium</v>
      </c>
      <c r="C423" s="5">
        <f>IFERROR(__xludf.DUMMYFUNCTION("""COMPUTED_VALUE"""),43930.34484953704)</f>
        <v>43930.34485</v>
      </c>
      <c r="D423" s="4" t="str">
        <f>IFERROR(__xludf.DUMMYFUNCTION("""COMPUTED_VALUE"""),"RESOLVED")</f>
        <v>RESOLVED</v>
      </c>
      <c r="E423" s="6">
        <f>IFERROR(__xludf.DUMMYFUNCTION("""COMPUTED_VALUE"""),44384.82502314815)</f>
        <v>44384.82502</v>
      </c>
      <c r="F423" s="4" t="str">
        <f>IFERROR(__xludf.DUMMYFUNCTION("""COMPUTED_VALUE""")," ---")</f>
        <v> ---</v>
      </c>
      <c r="G423" s="4" t="str">
        <f>IFERROR(__xludf.DUMMYFUNCTION("""COMPUTED_VALUE"""),"SUSE Linux Enterprise Server 15 SP2")</f>
        <v>SUSE Linux Enterprise Server 15 SP2</v>
      </c>
      <c r="H423" s="7" t="str">
        <f t="shared" si="2"/>
        <v>NO</v>
      </c>
      <c r="I423" s="7" t="str">
        <f t="shared" si="3"/>
        <v>NO</v>
      </c>
    </row>
    <row r="424">
      <c r="A424" s="4">
        <f>IFERROR(__xludf.DUMMYFUNCTION("""COMPUTED_VALUE"""),1169052.0)</f>
        <v>1169052</v>
      </c>
      <c r="B424" s="4" t="str">
        <f>IFERROR(__xludf.DUMMYFUNCTION("""COMPUTED_VALUE"""),"P3 - Medium")</f>
        <v>P3 - Medium</v>
      </c>
      <c r="C424" s="5">
        <f>IFERROR(__xludf.DUMMYFUNCTION("""COMPUTED_VALUE"""),43930.344930555555)</f>
        <v>43930.34493</v>
      </c>
      <c r="D424" s="4" t="str">
        <f>IFERROR(__xludf.DUMMYFUNCTION("""COMPUTED_VALUE"""),"RESOLVED")</f>
        <v>RESOLVED</v>
      </c>
      <c r="E424" s="6">
        <f>IFERROR(__xludf.DUMMYFUNCTION("""COMPUTED_VALUE"""),44384.82509259259)</f>
        <v>44384.82509</v>
      </c>
      <c r="F424" s="4" t="str">
        <f>IFERROR(__xludf.DUMMYFUNCTION("""COMPUTED_VALUE""")," ---")</f>
        <v> ---</v>
      </c>
      <c r="G424" s="4" t="str">
        <f>IFERROR(__xludf.DUMMYFUNCTION("""COMPUTED_VALUE"""),"SUSE Linux Enterprise Server 15 SP2")</f>
        <v>SUSE Linux Enterprise Server 15 SP2</v>
      </c>
      <c r="H424" s="7" t="str">
        <f t="shared" si="2"/>
        <v>NO</v>
      </c>
      <c r="I424" s="7" t="str">
        <f t="shared" si="3"/>
        <v>NO</v>
      </c>
    </row>
    <row r="425">
      <c r="A425" s="4">
        <f>IFERROR(__xludf.DUMMYFUNCTION("""COMPUTED_VALUE"""),1169053.0)</f>
        <v>1169053</v>
      </c>
      <c r="B425" s="4" t="str">
        <f>IFERROR(__xludf.DUMMYFUNCTION("""COMPUTED_VALUE"""),"P3 - Medium")</f>
        <v>P3 - Medium</v>
      </c>
      <c r="C425" s="5">
        <f>IFERROR(__xludf.DUMMYFUNCTION("""COMPUTED_VALUE"""),43930.345)</f>
        <v>43930.345</v>
      </c>
      <c r="D425" s="4" t="str">
        <f>IFERROR(__xludf.DUMMYFUNCTION("""COMPUTED_VALUE"""),"RESOLVED")</f>
        <v>RESOLVED</v>
      </c>
      <c r="E425" s="6">
        <f>IFERROR(__xludf.DUMMYFUNCTION("""COMPUTED_VALUE"""),44384.82517361111)</f>
        <v>44384.82517</v>
      </c>
      <c r="F425" s="4" t="str">
        <f>IFERROR(__xludf.DUMMYFUNCTION("""COMPUTED_VALUE""")," ---")</f>
        <v> ---</v>
      </c>
      <c r="G425" s="4" t="str">
        <f>IFERROR(__xludf.DUMMYFUNCTION("""COMPUTED_VALUE"""),"SUSE Linux Enterprise Server 15 SP2")</f>
        <v>SUSE Linux Enterprise Server 15 SP2</v>
      </c>
      <c r="H425" s="7" t="str">
        <f t="shared" si="2"/>
        <v>NO</v>
      </c>
      <c r="I425" s="7" t="str">
        <f t="shared" si="3"/>
        <v>NO</v>
      </c>
    </row>
    <row r="426">
      <c r="A426" s="4">
        <f>IFERROR(__xludf.DUMMYFUNCTION("""COMPUTED_VALUE"""),1172069.0)</f>
        <v>1172069</v>
      </c>
      <c r="B426" s="4" t="str">
        <f>IFERROR(__xludf.DUMMYFUNCTION("""COMPUTED_VALUE"""),"P3 - Medium")</f>
        <v>P3 - Medium</v>
      </c>
      <c r="C426" s="5">
        <f>IFERROR(__xludf.DUMMYFUNCTION("""COMPUTED_VALUE"""),43976.78596064815)</f>
        <v>43976.78596</v>
      </c>
      <c r="D426" s="4" t="str">
        <f>IFERROR(__xludf.DUMMYFUNCTION("""COMPUTED_VALUE"""),"RESOLVED")</f>
        <v>RESOLVED</v>
      </c>
      <c r="E426" s="6">
        <f>IFERROR(__xludf.DUMMYFUNCTION("""COMPUTED_VALUE"""),44384.83277777778)</f>
        <v>44384.83278</v>
      </c>
      <c r="F426" s="4" t="str">
        <f>IFERROR(__xludf.DUMMYFUNCTION("""COMPUTED_VALUE""")," ---")</f>
        <v> ---</v>
      </c>
      <c r="G426" s="4" t="str">
        <f>IFERROR(__xludf.DUMMYFUNCTION("""COMPUTED_VALUE"""),"SUSE Linux Enterprise Server 15 SP2")</f>
        <v>SUSE Linux Enterprise Server 15 SP2</v>
      </c>
      <c r="H426" s="7" t="str">
        <f t="shared" si="2"/>
        <v>NO</v>
      </c>
      <c r="I426" s="7" t="str">
        <f t="shared" si="3"/>
        <v>NO</v>
      </c>
    </row>
    <row r="427">
      <c r="A427" s="4">
        <f>IFERROR(__xludf.DUMMYFUNCTION("""COMPUTED_VALUE"""),1154866.0)</f>
        <v>1154866</v>
      </c>
      <c r="B427" s="4" t="str">
        <f>IFERROR(__xludf.DUMMYFUNCTION("""COMPUTED_VALUE"""),"P3 - Medium")</f>
        <v>P3 - Medium</v>
      </c>
      <c r="C427" s="5">
        <f>IFERROR(__xludf.DUMMYFUNCTION("""COMPUTED_VALUE"""),43761.578194444446)</f>
        <v>43761.57819</v>
      </c>
      <c r="D427" s="4" t="str">
        <f>IFERROR(__xludf.DUMMYFUNCTION("""COMPUTED_VALUE"""),"RESOLVED")</f>
        <v>RESOLVED</v>
      </c>
      <c r="E427" s="6">
        <f>IFERROR(__xludf.DUMMYFUNCTION("""COMPUTED_VALUE"""),44384.79126157407)</f>
        <v>44384.79126</v>
      </c>
      <c r="F427" s="4" t="str">
        <f>IFERROR(__xludf.DUMMYFUNCTION("""COMPUTED_VALUE""")," ---")</f>
        <v> ---</v>
      </c>
      <c r="G427" s="4" t="str">
        <f>IFERROR(__xludf.DUMMYFUNCTION("""COMPUTED_VALUE"""),"SUSE Linux Enterprise Server 15 SP2")</f>
        <v>SUSE Linux Enterprise Server 15 SP2</v>
      </c>
      <c r="H427" s="7" t="str">
        <f t="shared" si="2"/>
        <v>NO</v>
      </c>
      <c r="I427" s="7" t="str">
        <f t="shared" si="3"/>
        <v>NO</v>
      </c>
    </row>
    <row r="428">
      <c r="A428" s="4">
        <f>IFERROR(__xludf.DUMMYFUNCTION("""COMPUTED_VALUE"""),1162576.0)</f>
        <v>1162576</v>
      </c>
      <c r="B428" s="4" t="str">
        <f>IFERROR(__xludf.DUMMYFUNCTION("""COMPUTED_VALUE"""),"P3 - Medium")</f>
        <v>P3 - Medium</v>
      </c>
      <c r="C428" s="5">
        <f>IFERROR(__xludf.DUMMYFUNCTION("""COMPUTED_VALUE"""),43865.290289351855)</f>
        <v>43865.29029</v>
      </c>
      <c r="D428" s="4" t="str">
        <f>IFERROR(__xludf.DUMMYFUNCTION("""COMPUTED_VALUE"""),"RESOLVED")</f>
        <v>RESOLVED</v>
      </c>
      <c r="E428" s="6">
        <f>IFERROR(__xludf.DUMMYFUNCTION("""COMPUTED_VALUE"""),44384.803252314814)</f>
        <v>44384.80325</v>
      </c>
      <c r="F428" s="4" t="str">
        <f>IFERROR(__xludf.DUMMYFUNCTION("""COMPUTED_VALUE""")," ---")</f>
        <v> ---</v>
      </c>
      <c r="G428" s="4" t="str">
        <f>IFERROR(__xludf.DUMMYFUNCTION("""COMPUTED_VALUE"""),"SUSE Linux Enterprise Server 15 SP2")</f>
        <v>SUSE Linux Enterprise Server 15 SP2</v>
      </c>
      <c r="H428" s="7" t="str">
        <f t="shared" si="2"/>
        <v>NO</v>
      </c>
      <c r="I428" s="7" t="str">
        <f t="shared" si="3"/>
        <v>NO</v>
      </c>
    </row>
    <row r="429">
      <c r="A429" s="4">
        <f>IFERROR(__xludf.DUMMYFUNCTION("""COMPUTED_VALUE"""),1164964.0)</f>
        <v>1164964</v>
      </c>
      <c r="B429" s="4" t="str">
        <f>IFERROR(__xludf.DUMMYFUNCTION("""COMPUTED_VALUE"""),"P3 - Medium")</f>
        <v>P3 - Medium</v>
      </c>
      <c r="C429" s="5">
        <f>IFERROR(__xludf.DUMMYFUNCTION("""COMPUTED_VALUE"""),43887.407013888886)</f>
        <v>43887.40701</v>
      </c>
      <c r="D429" s="4" t="str">
        <f>IFERROR(__xludf.DUMMYFUNCTION("""COMPUTED_VALUE"""),"RESOLVED")</f>
        <v>RESOLVED</v>
      </c>
      <c r="E429" s="6">
        <f>IFERROR(__xludf.DUMMYFUNCTION("""COMPUTED_VALUE"""),44082.30842592593)</f>
        <v>44082.30843</v>
      </c>
      <c r="F429" s="4" t="str">
        <f>IFERROR(__xludf.DUMMYFUNCTION("""COMPUTED_VALUE""")," ---")</f>
        <v> ---</v>
      </c>
      <c r="G429" s="4" t="str">
        <f>IFERROR(__xludf.DUMMYFUNCTION("""COMPUTED_VALUE"""),"SUSE Linux Enterprise Server 15 SP2")</f>
        <v>SUSE Linux Enterprise Server 15 SP2</v>
      </c>
      <c r="H429" s="7" t="str">
        <f t="shared" si="2"/>
        <v>NO</v>
      </c>
      <c r="I429" s="7" t="str">
        <f t="shared" si="3"/>
        <v>NO</v>
      </c>
    </row>
    <row r="430">
      <c r="A430" s="4">
        <f>IFERROR(__xludf.DUMMYFUNCTION("""COMPUTED_VALUE"""),1172756.0)</f>
        <v>1172756</v>
      </c>
      <c r="B430" s="4" t="str">
        <f>IFERROR(__xludf.DUMMYFUNCTION("""COMPUTED_VALUE"""),"P3 - Medium")</f>
        <v>P3 - Medium</v>
      </c>
      <c r="C430" s="5">
        <f>IFERROR(__xludf.DUMMYFUNCTION("""COMPUTED_VALUE"""),43991.85701388889)</f>
        <v>43991.85701</v>
      </c>
      <c r="D430" s="4" t="str">
        <f>IFERROR(__xludf.DUMMYFUNCTION("""COMPUTED_VALUE"""),"RESOLVED")</f>
        <v>RESOLVED</v>
      </c>
      <c r="E430" s="6">
        <f>IFERROR(__xludf.DUMMYFUNCTION("""COMPUTED_VALUE"""),44025.651655092595)</f>
        <v>44025.65166</v>
      </c>
      <c r="F430" s="4" t="str">
        <f>IFERROR(__xludf.DUMMYFUNCTION("""COMPUTED_VALUE""")," ---")</f>
        <v> ---</v>
      </c>
      <c r="G430" s="4" t="str">
        <f>IFERROR(__xludf.DUMMYFUNCTION("""COMPUTED_VALUE"""),"SUSE Linux Enterprise Server 15 SP2")</f>
        <v>SUSE Linux Enterprise Server 15 SP2</v>
      </c>
      <c r="H430" s="7" t="str">
        <f t="shared" si="2"/>
        <v>NO</v>
      </c>
      <c r="I430" s="7" t="str">
        <f t="shared" si="3"/>
        <v>NO</v>
      </c>
    </row>
    <row r="431">
      <c r="A431" s="4">
        <f>IFERROR(__xludf.DUMMYFUNCTION("""COMPUTED_VALUE"""),1172771.0)</f>
        <v>1172771</v>
      </c>
      <c r="B431" s="4" t="str">
        <f>IFERROR(__xludf.DUMMYFUNCTION("""COMPUTED_VALUE"""),"P3 - Medium")</f>
        <v>P3 - Medium</v>
      </c>
      <c r="C431" s="5">
        <f>IFERROR(__xludf.DUMMYFUNCTION("""COMPUTED_VALUE"""),43992.38873842593)</f>
        <v>43992.38874</v>
      </c>
      <c r="D431" s="4" t="str">
        <f>IFERROR(__xludf.DUMMYFUNCTION("""COMPUTED_VALUE"""),"RESOLVED")</f>
        <v>RESOLVED</v>
      </c>
      <c r="E431" s="6">
        <f>IFERROR(__xludf.DUMMYFUNCTION("""COMPUTED_VALUE"""),43993.61744212963)</f>
        <v>43993.61744</v>
      </c>
      <c r="F431" s="4" t="str">
        <f>IFERROR(__xludf.DUMMYFUNCTION("""COMPUTED_VALUE""")," ---")</f>
        <v> ---</v>
      </c>
      <c r="G431" s="4" t="str">
        <f>IFERROR(__xludf.DUMMYFUNCTION("""COMPUTED_VALUE"""),"SUSE Linux Enterprise Server 15 SP2")</f>
        <v>SUSE Linux Enterprise Server 15 SP2</v>
      </c>
      <c r="H431" s="7" t="str">
        <f t="shared" si="2"/>
        <v>NO</v>
      </c>
      <c r="I431" s="7" t="str">
        <f t="shared" si="3"/>
        <v>NO</v>
      </c>
    </row>
    <row r="432">
      <c r="A432" s="4">
        <f>IFERROR(__xludf.DUMMYFUNCTION("""COMPUTED_VALUE"""),1159064.0)</f>
        <v>1159064</v>
      </c>
      <c r="B432" s="4" t="str">
        <f>IFERROR(__xludf.DUMMYFUNCTION("""COMPUTED_VALUE"""),"P3 - Medium")</f>
        <v>P3 - Medium</v>
      </c>
      <c r="C432" s="5">
        <f>IFERROR(__xludf.DUMMYFUNCTION("""COMPUTED_VALUE"""),43811.11)</f>
        <v>43811.11</v>
      </c>
      <c r="D432" s="4" t="str">
        <f>IFERROR(__xludf.DUMMYFUNCTION("""COMPUTED_VALUE"""),"RESOLVED")</f>
        <v>RESOLVED</v>
      </c>
      <c r="E432" s="6">
        <f>IFERROR(__xludf.DUMMYFUNCTION("""COMPUTED_VALUE"""),43979.44495370371)</f>
        <v>43979.44495</v>
      </c>
      <c r="F432" s="4" t="str">
        <f>IFERROR(__xludf.DUMMYFUNCTION("""COMPUTED_VALUE""")," ---")</f>
        <v> ---</v>
      </c>
      <c r="G432" s="4" t="str">
        <f>IFERROR(__xludf.DUMMYFUNCTION("""COMPUTED_VALUE"""),"SUSE Linux Enterprise Server 15 SP2")</f>
        <v>SUSE Linux Enterprise Server 15 SP2</v>
      </c>
      <c r="H432" s="7" t="str">
        <f t="shared" si="2"/>
        <v>NO</v>
      </c>
      <c r="I432" s="7" t="str">
        <f t="shared" si="3"/>
        <v>NO</v>
      </c>
    </row>
    <row r="433">
      <c r="A433" s="4">
        <f>IFERROR(__xludf.DUMMYFUNCTION("""COMPUTED_VALUE"""),1160186.0)</f>
        <v>1160186</v>
      </c>
      <c r="B433" s="4" t="str">
        <f>IFERROR(__xludf.DUMMYFUNCTION("""COMPUTED_VALUE"""),"P3 - Medium")</f>
        <v>P3 - Medium</v>
      </c>
      <c r="C433" s="5">
        <f>IFERROR(__xludf.DUMMYFUNCTION("""COMPUTED_VALUE"""),43837.28527777778)</f>
        <v>43837.28528</v>
      </c>
      <c r="D433" s="4" t="str">
        <f>IFERROR(__xludf.DUMMYFUNCTION("""COMPUTED_VALUE"""),"RESOLVED")</f>
        <v>RESOLVED</v>
      </c>
      <c r="E433" s="6">
        <f>IFERROR(__xludf.DUMMYFUNCTION("""COMPUTED_VALUE"""),43842.76449074074)</f>
        <v>43842.76449</v>
      </c>
      <c r="F433" s="4" t="str">
        <f>IFERROR(__xludf.DUMMYFUNCTION("""COMPUTED_VALUE""")," ---")</f>
        <v> ---</v>
      </c>
      <c r="G433" s="4" t="str">
        <f>IFERROR(__xludf.DUMMYFUNCTION("""COMPUTED_VALUE"""),"SUSE Linux Enterprise Server 15 SP2")</f>
        <v>SUSE Linux Enterprise Server 15 SP2</v>
      </c>
      <c r="H433" s="7" t="str">
        <f t="shared" si="2"/>
        <v>NO</v>
      </c>
      <c r="I433" s="7" t="str">
        <f t="shared" si="3"/>
        <v>NO</v>
      </c>
    </row>
    <row r="434">
      <c r="A434" s="4">
        <f>IFERROR(__xludf.DUMMYFUNCTION("""COMPUTED_VALUE"""),1161943.0)</f>
        <v>1161943</v>
      </c>
      <c r="B434" s="4" t="str">
        <f>IFERROR(__xludf.DUMMYFUNCTION("""COMPUTED_VALUE"""),"P3 - Medium")</f>
        <v>P3 - Medium</v>
      </c>
      <c r="C434" s="5">
        <f>IFERROR(__xludf.DUMMYFUNCTION("""COMPUTED_VALUE"""),43857.730833333335)</f>
        <v>43857.73083</v>
      </c>
      <c r="D434" s="4" t="str">
        <f>IFERROR(__xludf.DUMMYFUNCTION("""COMPUTED_VALUE"""),"RESOLVED")</f>
        <v>RESOLVED</v>
      </c>
      <c r="E434" s="6">
        <f>IFERROR(__xludf.DUMMYFUNCTION("""COMPUTED_VALUE"""),44384.802708333336)</f>
        <v>44384.80271</v>
      </c>
      <c r="F434" s="4" t="str">
        <f>IFERROR(__xludf.DUMMYFUNCTION("""COMPUTED_VALUE""")," ---")</f>
        <v> ---</v>
      </c>
      <c r="G434" s="4" t="str">
        <f>IFERROR(__xludf.DUMMYFUNCTION("""COMPUTED_VALUE"""),"SUSE Linux Enterprise Server 15 SP2")</f>
        <v>SUSE Linux Enterprise Server 15 SP2</v>
      </c>
      <c r="H434" s="7" t="str">
        <f t="shared" si="2"/>
        <v>NO</v>
      </c>
      <c r="I434" s="7" t="str">
        <f t="shared" si="3"/>
        <v>YES</v>
      </c>
    </row>
    <row r="435">
      <c r="A435" s="4">
        <f>IFERROR(__xludf.DUMMYFUNCTION("""COMPUTED_VALUE"""),1164296.0)</f>
        <v>1164296</v>
      </c>
      <c r="B435" s="4" t="str">
        <f>IFERROR(__xludf.DUMMYFUNCTION("""COMPUTED_VALUE"""),"P3 - Medium")</f>
        <v>P3 - Medium</v>
      </c>
      <c r="C435" s="5">
        <f>IFERROR(__xludf.DUMMYFUNCTION("""COMPUTED_VALUE"""),43880.50607638889)</f>
        <v>43880.50608</v>
      </c>
      <c r="D435" s="4" t="str">
        <f>IFERROR(__xludf.DUMMYFUNCTION("""COMPUTED_VALUE"""),"RESOLVED")</f>
        <v>RESOLVED</v>
      </c>
      <c r="E435" s="6">
        <f>IFERROR(__xludf.DUMMYFUNCTION("""COMPUTED_VALUE"""),43908.41453703704)</f>
        <v>43908.41454</v>
      </c>
      <c r="F435" s="4" t="str">
        <f>IFERROR(__xludf.DUMMYFUNCTION("""COMPUTED_VALUE""")," ---")</f>
        <v> ---</v>
      </c>
      <c r="G435" s="4" t="str">
        <f>IFERROR(__xludf.DUMMYFUNCTION("""COMPUTED_VALUE"""),"SUSE Linux Enterprise Server 15 SP2")</f>
        <v>SUSE Linux Enterprise Server 15 SP2</v>
      </c>
      <c r="H435" s="7" t="str">
        <f t="shared" si="2"/>
        <v>NO</v>
      </c>
      <c r="I435" s="7" t="str">
        <f t="shared" si="3"/>
        <v>NO</v>
      </c>
    </row>
    <row r="436">
      <c r="A436" s="4">
        <f>IFERROR(__xludf.DUMMYFUNCTION("""COMPUTED_VALUE"""),1164495.0)</f>
        <v>1164495</v>
      </c>
      <c r="B436" s="4" t="str">
        <f>IFERROR(__xludf.DUMMYFUNCTION("""COMPUTED_VALUE"""),"P3 - Medium")</f>
        <v>P3 - Medium</v>
      </c>
      <c r="C436" s="5">
        <f>IFERROR(__xludf.DUMMYFUNCTION("""COMPUTED_VALUE"""),43881.65642361111)</f>
        <v>43881.65642</v>
      </c>
      <c r="D436" s="4" t="str">
        <f>IFERROR(__xludf.DUMMYFUNCTION("""COMPUTED_VALUE"""),"RESOLVED")</f>
        <v>RESOLVED</v>
      </c>
      <c r="E436" s="6">
        <f>IFERROR(__xludf.DUMMYFUNCTION("""COMPUTED_VALUE"""),43882.61280092593)</f>
        <v>43882.6128</v>
      </c>
      <c r="F436" s="4" t="str">
        <f>IFERROR(__xludf.DUMMYFUNCTION("""COMPUTED_VALUE""")," ---")</f>
        <v> ---</v>
      </c>
      <c r="G436" s="4" t="str">
        <f>IFERROR(__xludf.DUMMYFUNCTION("""COMPUTED_VALUE"""),"SUSE Linux Enterprise Server 15 SP2")</f>
        <v>SUSE Linux Enterprise Server 15 SP2</v>
      </c>
      <c r="H436" s="7" t="str">
        <f t="shared" si="2"/>
        <v>NO</v>
      </c>
      <c r="I436" s="7" t="str">
        <f t="shared" si="3"/>
        <v>NO</v>
      </c>
    </row>
    <row r="437">
      <c r="A437" s="4">
        <f>IFERROR(__xludf.DUMMYFUNCTION("""COMPUTED_VALUE"""),1164761.0)</f>
        <v>1164761</v>
      </c>
      <c r="B437" s="4" t="str">
        <f>IFERROR(__xludf.DUMMYFUNCTION("""COMPUTED_VALUE"""),"P3 - Medium")</f>
        <v>P3 - Medium</v>
      </c>
      <c r="C437" s="5">
        <f>IFERROR(__xludf.DUMMYFUNCTION("""COMPUTED_VALUE"""),43886.10402777778)</f>
        <v>43886.10403</v>
      </c>
      <c r="D437" s="4" t="str">
        <f>IFERROR(__xludf.DUMMYFUNCTION("""COMPUTED_VALUE"""),"RESOLVED")</f>
        <v>RESOLVED</v>
      </c>
      <c r="E437" s="6">
        <f>IFERROR(__xludf.DUMMYFUNCTION("""COMPUTED_VALUE"""),43896.49569444444)</f>
        <v>43896.49569</v>
      </c>
      <c r="F437" s="4" t="str">
        <f>IFERROR(__xludf.DUMMYFUNCTION("""COMPUTED_VALUE""")," ---")</f>
        <v> ---</v>
      </c>
      <c r="G437" s="4" t="str">
        <f>IFERROR(__xludf.DUMMYFUNCTION("""COMPUTED_VALUE"""),"SUSE Linux Enterprise Server 15 SP2")</f>
        <v>SUSE Linux Enterprise Server 15 SP2</v>
      </c>
      <c r="H437" s="7" t="str">
        <f t="shared" si="2"/>
        <v>NO</v>
      </c>
      <c r="I437" s="7" t="str">
        <f t="shared" si="3"/>
        <v>NO</v>
      </c>
    </row>
    <row r="438">
      <c r="A438" s="4">
        <f>IFERROR(__xludf.DUMMYFUNCTION("""COMPUTED_VALUE"""),1164916.0)</f>
        <v>1164916</v>
      </c>
      <c r="B438" s="4" t="str">
        <f>IFERROR(__xludf.DUMMYFUNCTION("""COMPUTED_VALUE"""),"P3 - Medium")</f>
        <v>P3 - Medium</v>
      </c>
      <c r="C438" s="5">
        <f>IFERROR(__xludf.DUMMYFUNCTION("""COMPUTED_VALUE"""),43887.0953125)</f>
        <v>43887.09531</v>
      </c>
      <c r="D438" s="4" t="str">
        <f>IFERROR(__xludf.DUMMYFUNCTION("""COMPUTED_VALUE"""),"RESOLVED")</f>
        <v>RESOLVED</v>
      </c>
      <c r="E438" s="6">
        <f>IFERROR(__xludf.DUMMYFUNCTION("""COMPUTED_VALUE"""),43888.58559027778)</f>
        <v>43888.58559</v>
      </c>
      <c r="F438" s="4" t="str">
        <f>IFERROR(__xludf.DUMMYFUNCTION("""COMPUTED_VALUE""")," ---")</f>
        <v> ---</v>
      </c>
      <c r="G438" s="4" t="str">
        <f>IFERROR(__xludf.DUMMYFUNCTION("""COMPUTED_VALUE"""),"SUSE Linux Enterprise Server 15 SP2")</f>
        <v>SUSE Linux Enterprise Server 15 SP2</v>
      </c>
      <c r="H438" s="7" t="str">
        <f t="shared" si="2"/>
        <v>NO</v>
      </c>
      <c r="I438" s="7" t="str">
        <f t="shared" si="3"/>
        <v>NO</v>
      </c>
    </row>
    <row r="439">
      <c r="A439" s="4">
        <f>IFERROR(__xludf.DUMMYFUNCTION("""COMPUTED_VALUE"""),1169787.0)</f>
        <v>1169787</v>
      </c>
      <c r="B439" s="4" t="str">
        <f>IFERROR(__xludf.DUMMYFUNCTION("""COMPUTED_VALUE"""),"P3 - Medium")</f>
        <v>P3 - Medium</v>
      </c>
      <c r="C439" s="5">
        <f>IFERROR(__xludf.DUMMYFUNCTION("""COMPUTED_VALUE"""),43938.65508101852)</f>
        <v>43938.65508</v>
      </c>
      <c r="D439" s="4" t="str">
        <f>IFERROR(__xludf.DUMMYFUNCTION("""COMPUTED_VALUE"""),"RESOLVED")</f>
        <v>RESOLVED</v>
      </c>
      <c r="E439" s="6">
        <f>IFERROR(__xludf.DUMMYFUNCTION("""COMPUTED_VALUE"""),43943.139502314814)</f>
        <v>43943.1395</v>
      </c>
      <c r="F439" s="4" t="str">
        <f>IFERROR(__xludf.DUMMYFUNCTION("""COMPUTED_VALUE""")," ---")</f>
        <v> ---</v>
      </c>
      <c r="G439" s="4" t="str">
        <f>IFERROR(__xludf.DUMMYFUNCTION("""COMPUTED_VALUE"""),"SUSE Linux Enterprise Server 15 SP2")</f>
        <v>SUSE Linux Enterprise Server 15 SP2</v>
      </c>
      <c r="H439" s="7" t="str">
        <f t="shared" si="2"/>
        <v>NO</v>
      </c>
      <c r="I439" s="7" t="str">
        <f t="shared" si="3"/>
        <v>NO</v>
      </c>
    </row>
    <row r="440">
      <c r="A440" s="4">
        <f>IFERROR(__xludf.DUMMYFUNCTION("""COMPUTED_VALUE"""),1171470.0)</f>
        <v>1171470</v>
      </c>
      <c r="B440" s="4" t="str">
        <f>IFERROR(__xludf.DUMMYFUNCTION("""COMPUTED_VALUE"""),"P3 - Medium")</f>
        <v>P3 - Medium</v>
      </c>
      <c r="C440" s="5">
        <f>IFERROR(__xludf.DUMMYFUNCTION("""COMPUTED_VALUE"""),43962.57606481481)</f>
        <v>43962.57606</v>
      </c>
      <c r="D440" s="4" t="str">
        <f>IFERROR(__xludf.DUMMYFUNCTION("""COMPUTED_VALUE"""),"RESOLVED")</f>
        <v>RESOLVED</v>
      </c>
      <c r="E440" s="6">
        <f>IFERROR(__xludf.DUMMYFUNCTION("""COMPUTED_VALUE"""),43972.24538194444)</f>
        <v>43972.24538</v>
      </c>
      <c r="F440" s="4" t="str">
        <f>IFERROR(__xludf.DUMMYFUNCTION("""COMPUTED_VALUE""")," ---")</f>
        <v> ---</v>
      </c>
      <c r="G440" s="4" t="str">
        <f>IFERROR(__xludf.DUMMYFUNCTION("""COMPUTED_VALUE"""),"SUSE Linux Enterprise Server 15 SP2")</f>
        <v>SUSE Linux Enterprise Server 15 SP2</v>
      </c>
      <c r="H440" s="7" t="str">
        <f t="shared" si="2"/>
        <v>NO</v>
      </c>
      <c r="I440" s="7" t="str">
        <f t="shared" si="3"/>
        <v>NO</v>
      </c>
    </row>
    <row r="441">
      <c r="A441" s="4">
        <f>IFERROR(__xludf.DUMMYFUNCTION("""COMPUTED_VALUE"""),1160338.0)</f>
        <v>1160338</v>
      </c>
      <c r="B441" s="4" t="str">
        <f>IFERROR(__xludf.DUMMYFUNCTION("""COMPUTED_VALUE"""),"P3 - Medium")</f>
        <v>P3 - Medium</v>
      </c>
      <c r="C441" s="5">
        <f>IFERROR(__xludf.DUMMYFUNCTION("""COMPUTED_VALUE"""),43837.94521990741)</f>
        <v>43837.94522</v>
      </c>
      <c r="D441" s="4" t="str">
        <f>IFERROR(__xludf.DUMMYFUNCTION("""COMPUTED_VALUE"""),"RESOLVED")</f>
        <v>RESOLVED</v>
      </c>
      <c r="E441" s="6">
        <f>IFERROR(__xludf.DUMMYFUNCTION("""COMPUTED_VALUE"""),43859.71739583334)</f>
        <v>43859.7174</v>
      </c>
      <c r="F441" s="4" t="str">
        <f>IFERROR(__xludf.DUMMYFUNCTION("""COMPUTED_VALUE""")," ---")</f>
        <v> ---</v>
      </c>
      <c r="G441" s="4" t="str">
        <f>IFERROR(__xludf.DUMMYFUNCTION("""COMPUTED_VALUE"""),"SUSE Linux Enterprise Server 15 SP2")</f>
        <v>SUSE Linux Enterprise Server 15 SP2</v>
      </c>
      <c r="H441" s="7" t="str">
        <f t="shared" si="2"/>
        <v>NO</v>
      </c>
      <c r="I441" s="7" t="str">
        <f t="shared" si="3"/>
        <v>NO</v>
      </c>
    </row>
    <row r="442">
      <c r="A442" s="4">
        <f>IFERROR(__xludf.DUMMYFUNCTION("""COMPUTED_VALUE"""),1171915.0)</f>
        <v>1171915</v>
      </c>
      <c r="B442" s="4" t="str">
        <f>IFERROR(__xludf.DUMMYFUNCTION("""COMPUTED_VALUE"""),"P3 - Medium")</f>
        <v>P3 - Medium</v>
      </c>
      <c r="C442" s="5">
        <f>IFERROR(__xludf.DUMMYFUNCTION("""COMPUTED_VALUE"""),43971.428136574075)</f>
        <v>43971.42814</v>
      </c>
      <c r="D442" s="4" t="str">
        <f>IFERROR(__xludf.DUMMYFUNCTION("""COMPUTED_VALUE"""),"RESOLVED")</f>
        <v>RESOLVED</v>
      </c>
      <c r="E442" s="6">
        <f>IFERROR(__xludf.DUMMYFUNCTION("""COMPUTED_VALUE"""),44384.83206018519)</f>
        <v>44384.83206</v>
      </c>
      <c r="F442" s="4" t="str">
        <f>IFERROR(__xludf.DUMMYFUNCTION("""COMPUTED_VALUE""")," ---")</f>
        <v> ---</v>
      </c>
      <c r="G442" s="4" t="str">
        <f>IFERROR(__xludf.DUMMYFUNCTION("""COMPUTED_VALUE"""),"SUSE Linux Enterprise Server 15 SP2")</f>
        <v>SUSE Linux Enterprise Server 15 SP2</v>
      </c>
      <c r="H442" s="7" t="str">
        <f t="shared" si="2"/>
        <v>NO</v>
      </c>
      <c r="I442" s="7" t="str">
        <f t="shared" si="3"/>
        <v>NO</v>
      </c>
    </row>
    <row r="443">
      <c r="A443" s="4">
        <f>IFERROR(__xludf.DUMMYFUNCTION("""COMPUTED_VALUE"""),1172938.0)</f>
        <v>1172938</v>
      </c>
      <c r="B443" s="4" t="str">
        <f>IFERROR(__xludf.DUMMYFUNCTION("""COMPUTED_VALUE"""),"P3 - Medium")</f>
        <v>P3 - Medium</v>
      </c>
      <c r="C443" s="5">
        <f>IFERROR(__xludf.DUMMYFUNCTION("""COMPUTED_VALUE"""),43997.59337962963)</f>
        <v>43997.59338</v>
      </c>
      <c r="D443" s="4" t="str">
        <f>IFERROR(__xludf.DUMMYFUNCTION("""COMPUTED_VALUE"""),"RESOLVED")</f>
        <v>RESOLVED</v>
      </c>
      <c r="E443" s="6">
        <f>IFERROR(__xludf.DUMMYFUNCTION("""COMPUTED_VALUE"""),44384.83460648148)</f>
        <v>44384.83461</v>
      </c>
      <c r="F443" s="4" t="str">
        <f>IFERROR(__xludf.DUMMYFUNCTION("""COMPUTED_VALUE""")," ---")</f>
        <v> ---</v>
      </c>
      <c r="G443" s="4" t="str">
        <f>IFERROR(__xludf.DUMMYFUNCTION("""COMPUTED_VALUE"""),"SUSE Linux Enterprise Server 15 SP2")</f>
        <v>SUSE Linux Enterprise Server 15 SP2</v>
      </c>
      <c r="H443" s="7" t="str">
        <f t="shared" si="2"/>
        <v>NO</v>
      </c>
      <c r="I443" s="7" t="str">
        <f t="shared" si="3"/>
        <v>NO</v>
      </c>
    </row>
    <row r="444">
      <c r="A444" s="4">
        <f>IFERROR(__xludf.DUMMYFUNCTION("""COMPUTED_VALUE"""),1172939.0)</f>
        <v>1172939</v>
      </c>
      <c r="B444" s="4" t="str">
        <f>IFERROR(__xludf.DUMMYFUNCTION("""COMPUTED_VALUE"""),"P3 - Medium")</f>
        <v>P3 - Medium</v>
      </c>
      <c r="C444" s="5">
        <f>IFERROR(__xludf.DUMMYFUNCTION("""COMPUTED_VALUE"""),43997.59511574074)</f>
        <v>43997.59512</v>
      </c>
      <c r="D444" s="4" t="str">
        <f>IFERROR(__xludf.DUMMYFUNCTION("""COMPUTED_VALUE"""),"RESOLVED")</f>
        <v>RESOLVED</v>
      </c>
      <c r="E444" s="6">
        <f>IFERROR(__xludf.DUMMYFUNCTION("""COMPUTED_VALUE"""),44384.8346875)</f>
        <v>44384.83469</v>
      </c>
      <c r="F444" s="4" t="str">
        <f>IFERROR(__xludf.DUMMYFUNCTION("""COMPUTED_VALUE""")," ---")</f>
        <v> ---</v>
      </c>
      <c r="G444" s="4" t="str">
        <f>IFERROR(__xludf.DUMMYFUNCTION("""COMPUTED_VALUE"""),"SUSE Linux Enterprise Server 15 SP2")</f>
        <v>SUSE Linux Enterprise Server 15 SP2</v>
      </c>
      <c r="H444" s="7" t="str">
        <f t="shared" si="2"/>
        <v>NO</v>
      </c>
      <c r="I444" s="7" t="str">
        <f t="shared" si="3"/>
        <v>NO</v>
      </c>
    </row>
    <row r="445">
      <c r="A445" s="4">
        <f>IFERROR(__xludf.DUMMYFUNCTION("""COMPUTED_VALUE"""),1172940.0)</f>
        <v>1172940</v>
      </c>
      <c r="B445" s="4" t="str">
        <f>IFERROR(__xludf.DUMMYFUNCTION("""COMPUTED_VALUE"""),"P3 - Medium")</f>
        <v>P3 - Medium</v>
      </c>
      <c r="C445" s="5">
        <f>IFERROR(__xludf.DUMMYFUNCTION("""COMPUTED_VALUE"""),43997.59988425926)</f>
        <v>43997.59988</v>
      </c>
      <c r="D445" s="4" t="str">
        <f>IFERROR(__xludf.DUMMYFUNCTION("""COMPUTED_VALUE"""),"RESOLVED")</f>
        <v>RESOLVED</v>
      </c>
      <c r="E445" s="6">
        <f>IFERROR(__xludf.DUMMYFUNCTION("""COMPUTED_VALUE"""),44384.83476851852)</f>
        <v>44384.83477</v>
      </c>
      <c r="F445" s="4" t="str">
        <f>IFERROR(__xludf.DUMMYFUNCTION("""COMPUTED_VALUE""")," ---")</f>
        <v> ---</v>
      </c>
      <c r="G445" s="4" t="str">
        <f>IFERROR(__xludf.DUMMYFUNCTION("""COMPUTED_VALUE"""),"SUSE Linux Enterprise Server 15 SP2")</f>
        <v>SUSE Linux Enterprise Server 15 SP2</v>
      </c>
      <c r="H445" s="7" t="str">
        <f t="shared" si="2"/>
        <v>NO</v>
      </c>
      <c r="I445" s="7" t="str">
        <f t="shared" si="3"/>
        <v>NO</v>
      </c>
    </row>
    <row r="446">
      <c r="A446" s="4">
        <f>IFERROR(__xludf.DUMMYFUNCTION("""COMPUTED_VALUE"""),1172983.0)</f>
        <v>1172983</v>
      </c>
      <c r="B446" s="4" t="str">
        <f>IFERROR(__xludf.DUMMYFUNCTION("""COMPUTED_VALUE"""),"P3 - Medium")</f>
        <v>P3 - Medium</v>
      </c>
      <c r="C446" s="5">
        <f>IFERROR(__xludf.DUMMYFUNCTION("""COMPUTED_VALUE"""),43998.547106481485)</f>
        <v>43998.54711</v>
      </c>
      <c r="D446" s="4" t="str">
        <f>IFERROR(__xludf.DUMMYFUNCTION("""COMPUTED_VALUE"""),"RESOLVED")</f>
        <v>RESOLVED</v>
      </c>
      <c r="E446" s="6">
        <f>IFERROR(__xludf.DUMMYFUNCTION("""COMPUTED_VALUE"""),44384.83491898148)</f>
        <v>44384.83492</v>
      </c>
      <c r="F446" s="4" t="str">
        <f>IFERROR(__xludf.DUMMYFUNCTION("""COMPUTED_VALUE""")," ---")</f>
        <v> ---</v>
      </c>
      <c r="G446" s="4" t="str">
        <f>IFERROR(__xludf.DUMMYFUNCTION("""COMPUTED_VALUE"""),"SUSE Linux Enterprise Server 15 SP2")</f>
        <v>SUSE Linux Enterprise Server 15 SP2</v>
      </c>
      <c r="H446" s="7" t="str">
        <f t="shared" si="2"/>
        <v>NO</v>
      </c>
      <c r="I446" s="7" t="str">
        <f t="shared" si="3"/>
        <v>NO</v>
      </c>
    </row>
    <row r="447">
      <c r="A447" s="4">
        <f>IFERROR(__xludf.DUMMYFUNCTION("""COMPUTED_VALUE"""),1172984.0)</f>
        <v>1172984</v>
      </c>
      <c r="B447" s="4" t="str">
        <f>IFERROR(__xludf.DUMMYFUNCTION("""COMPUTED_VALUE"""),"P3 - Medium")</f>
        <v>P3 - Medium</v>
      </c>
      <c r="C447" s="5">
        <f>IFERROR(__xludf.DUMMYFUNCTION("""COMPUTED_VALUE"""),43998.54851851852)</f>
        <v>43998.54852</v>
      </c>
      <c r="D447" s="4" t="str">
        <f>IFERROR(__xludf.DUMMYFUNCTION("""COMPUTED_VALUE"""),"RESOLVED")</f>
        <v>RESOLVED</v>
      </c>
      <c r="E447" s="6">
        <f>IFERROR(__xludf.DUMMYFUNCTION("""COMPUTED_VALUE"""),44384.83498842592)</f>
        <v>44384.83499</v>
      </c>
      <c r="F447" s="4" t="str">
        <f>IFERROR(__xludf.DUMMYFUNCTION("""COMPUTED_VALUE""")," ---")</f>
        <v> ---</v>
      </c>
      <c r="G447" s="4" t="str">
        <f>IFERROR(__xludf.DUMMYFUNCTION("""COMPUTED_VALUE"""),"SUSE Linux Enterprise Server 15 SP2")</f>
        <v>SUSE Linux Enterprise Server 15 SP2</v>
      </c>
      <c r="H447" s="7" t="str">
        <f t="shared" si="2"/>
        <v>NO</v>
      </c>
      <c r="I447" s="7" t="str">
        <f t="shared" si="3"/>
        <v>NO</v>
      </c>
    </row>
    <row r="448">
      <c r="A448" s="4">
        <f>IFERROR(__xludf.DUMMYFUNCTION("""COMPUTED_VALUE"""),1172985.0)</f>
        <v>1172985</v>
      </c>
      <c r="B448" s="4" t="str">
        <f>IFERROR(__xludf.DUMMYFUNCTION("""COMPUTED_VALUE"""),"P3 - Medium")</f>
        <v>P3 - Medium</v>
      </c>
      <c r="C448" s="5">
        <f>IFERROR(__xludf.DUMMYFUNCTION("""COMPUTED_VALUE"""),43998.5487037037)</f>
        <v>43998.5487</v>
      </c>
      <c r="D448" s="4" t="str">
        <f>IFERROR(__xludf.DUMMYFUNCTION("""COMPUTED_VALUE"""),"RESOLVED")</f>
        <v>RESOLVED</v>
      </c>
      <c r="E448" s="6">
        <f>IFERROR(__xludf.DUMMYFUNCTION("""COMPUTED_VALUE"""),44384.835069444445)</f>
        <v>44384.83507</v>
      </c>
      <c r="F448" s="4" t="str">
        <f>IFERROR(__xludf.DUMMYFUNCTION("""COMPUTED_VALUE""")," ---")</f>
        <v> ---</v>
      </c>
      <c r="G448" s="4" t="str">
        <f>IFERROR(__xludf.DUMMYFUNCTION("""COMPUTED_VALUE"""),"SUSE Linux Enterprise Server 15 SP2")</f>
        <v>SUSE Linux Enterprise Server 15 SP2</v>
      </c>
      <c r="H448" s="7" t="str">
        <f t="shared" si="2"/>
        <v>NO</v>
      </c>
      <c r="I448" s="7" t="str">
        <f t="shared" si="3"/>
        <v>NO</v>
      </c>
    </row>
    <row r="449">
      <c r="A449" s="4">
        <f>IFERROR(__xludf.DUMMYFUNCTION("""COMPUTED_VALUE"""),1172986.0)</f>
        <v>1172986</v>
      </c>
      <c r="B449" s="4" t="str">
        <f>IFERROR(__xludf.DUMMYFUNCTION("""COMPUTED_VALUE"""),"P3 - Medium")</f>
        <v>P3 - Medium</v>
      </c>
      <c r="C449" s="5">
        <f>IFERROR(__xludf.DUMMYFUNCTION("""COMPUTED_VALUE"""),43998.54949074074)</f>
        <v>43998.54949</v>
      </c>
      <c r="D449" s="4" t="str">
        <f>IFERROR(__xludf.DUMMYFUNCTION("""COMPUTED_VALUE"""),"RESOLVED")</f>
        <v>RESOLVED</v>
      </c>
      <c r="E449" s="6">
        <f>IFERROR(__xludf.DUMMYFUNCTION("""COMPUTED_VALUE"""),44384.83513888889)</f>
        <v>44384.83514</v>
      </c>
      <c r="F449" s="4" t="str">
        <f>IFERROR(__xludf.DUMMYFUNCTION("""COMPUTED_VALUE""")," ---")</f>
        <v> ---</v>
      </c>
      <c r="G449" s="4" t="str">
        <f>IFERROR(__xludf.DUMMYFUNCTION("""COMPUTED_VALUE"""),"SUSE Linux Enterprise Server 15 SP2")</f>
        <v>SUSE Linux Enterprise Server 15 SP2</v>
      </c>
      <c r="H449" s="7" t="str">
        <f t="shared" si="2"/>
        <v>NO</v>
      </c>
      <c r="I449" s="7" t="str">
        <f t="shared" si="3"/>
        <v>NO</v>
      </c>
    </row>
    <row r="450">
      <c r="A450" s="4">
        <f>IFERROR(__xludf.DUMMYFUNCTION("""COMPUTED_VALUE"""),1172987.0)</f>
        <v>1172987</v>
      </c>
      <c r="B450" s="4" t="str">
        <f>IFERROR(__xludf.DUMMYFUNCTION("""COMPUTED_VALUE"""),"P3 - Medium")</f>
        <v>P3 - Medium</v>
      </c>
      <c r="C450" s="5">
        <f>IFERROR(__xludf.DUMMYFUNCTION("""COMPUTED_VALUE"""),43998.55152777778)</f>
        <v>43998.55153</v>
      </c>
      <c r="D450" s="4" t="str">
        <f>IFERROR(__xludf.DUMMYFUNCTION("""COMPUTED_VALUE"""),"RESOLVED")</f>
        <v>RESOLVED</v>
      </c>
      <c r="E450" s="6">
        <f>IFERROR(__xludf.DUMMYFUNCTION("""COMPUTED_VALUE"""),44384.83520833333)</f>
        <v>44384.83521</v>
      </c>
      <c r="F450" s="4" t="str">
        <f>IFERROR(__xludf.DUMMYFUNCTION("""COMPUTED_VALUE""")," ---")</f>
        <v> ---</v>
      </c>
      <c r="G450" s="4" t="str">
        <f>IFERROR(__xludf.DUMMYFUNCTION("""COMPUTED_VALUE"""),"SUSE Linux Enterprise Server 15 SP2")</f>
        <v>SUSE Linux Enterprise Server 15 SP2</v>
      </c>
      <c r="H450" s="7" t="str">
        <f t="shared" si="2"/>
        <v>NO</v>
      </c>
      <c r="I450" s="7" t="str">
        <f t="shared" si="3"/>
        <v>NO</v>
      </c>
    </row>
    <row r="451">
      <c r="A451" s="4">
        <f>IFERROR(__xludf.DUMMYFUNCTION("""COMPUTED_VALUE"""),1172988.0)</f>
        <v>1172988</v>
      </c>
      <c r="B451" s="4" t="str">
        <f>IFERROR(__xludf.DUMMYFUNCTION("""COMPUTED_VALUE"""),"P3 - Medium")</f>
        <v>P3 - Medium</v>
      </c>
      <c r="C451" s="5">
        <f>IFERROR(__xludf.DUMMYFUNCTION("""COMPUTED_VALUE"""),43998.551712962966)</f>
        <v>43998.55171</v>
      </c>
      <c r="D451" s="4" t="str">
        <f>IFERROR(__xludf.DUMMYFUNCTION("""COMPUTED_VALUE"""),"RESOLVED")</f>
        <v>RESOLVED</v>
      </c>
      <c r="E451" s="6">
        <f>IFERROR(__xludf.DUMMYFUNCTION("""COMPUTED_VALUE"""),44384.835277777776)</f>
        <v>44384.83528</v>
      </c>
      <c r="F451" s="4" t="str">
        <f>IFERROR(__xludf.DUMMYFUNCTION("""COMPUTED_VALUE""")," ---")</f>
        <v> ---</v>
      </c>
      <c r="G451" s="4" t="str">
        <f>IFERROR(__xludf.DUMMYFUNCTION("""COMPUTED_VALUE"""),"SUSE Linux Enterprise Server 15 SP2")</f>
        <v>SUSE Linux Enterprise Server 15 SP2</v>
      </c>
      <c r="H451" s="7" t="str">
        <f t="shared" si="2"/>
        <v>NO</v>
      </c>
      <c r="I451" s="7" t="str">
        <f t="shared" si="3"/>
        <v>NO</v>
      </c>
    </row>
    <row r="452">
      <c r="A452" s="4">
        <f>IFERROR(__xludf.DUMMYFUNCTION("""COMPUTED_VALUE"""),1172989.0)</f>
        <v>1172989</v>
      </c>
      <c r="B452" s="4" t="str">
        <f>IFERROR(__xludf.DUMMYFUNCTION("""COMPUTED_VALUE"""),"P3 - Medium")</f>
        <v>P3 - Medium</v>
      </c>
      <c r="C452" s="5">
        <f>IFERROR(__xludf.DUMMYFUNCTION("""COMPUTED_VALUE"""),43998.55322916667)</f>
        <v>43998.55323</v>
      </c>
      <c r="D452" s="4" t="str">
        <f>IFERROR(__xludf.DUMMYFUNCTION("""COMPUTED_VALUE"""),"RESOLVED")</f>
        <v>RESOLVED</v>
      </c>
      <c r="E452" s="6">
        <f>IFERROR(__xludf.DUMMYFUNCTION("""COMPUTED_VALUE"""),44384.8353587963)</f>
        <v>44384.83536</v>
      </c>
      <c r="F452" s="4" t="str">
        <f>IFERROR(__xludf.DUMMYFUNCTION("""COMPUTED_VALUE""")," ---")</f>
        <v> ---</v>
      </c>
      <c r="G452" s="4" t="str">
        <f>IFERROR(__xludf.DUMMYFUNCTION("""COMPUTED_VALUE"""),"SUSE Linux Enterprise Server 15 SP2")</f>
        <v>SUSE Linux Enterprise Server 15 SP2</v>
      </c>
      <c r="H452" s="7" t="str">
        <f t="shared" si="2"/>
        <v>NO</v>
      </c>
      <c r="I452" s="7" t="str">
        <f t="shared" si="3"/>
        <v>NO</v>
      </c>
    </row>
    <row r="453">
      <c r="A453" s="4">
        <f>IFERROR(__xludf.DUMMYFUNCTION("""COMPUTED_VALUE"""),1172990.0)</f>
        <v>1172990</v>
      </c>
      <c r="B453" s="4" t="str">
        <f>IFERROR(__xludf.DUMMYFUNCTION("""COMPUTED_VALUE"""),"P3 - Medium")</f>
        <v>P3 - Medium</v>
      </c>
      <c r="C453" s="5">
        <f>IFERROR(__xludf.DUMMYFUNCTION("""COMPUTED_VALUE"""),43998.5537962963)</f>
        <v>43998.5538</v>
      </c>
      <c r="D453" s="4" t="str">
        <f>IFERROR(__xludf.DUMMYFUNCTION("""COMPUTED_VALUE"""),"RESOLVED")</f>
        <v>RESOLVED</v>
      </c>
      <c r="E453" s="6">
        <f>IFERROR(__xludf.DUMMYFUNCTION("""COMPUTED_VALUE"""),44384.83542824074)</f>
        <v>44384.83543</v>
      </c>
      <c r="F453" s="4" t="str">
        <f>IFERROR(__xludf.DUMMYFUNCTION("""COMPUTED_VALUE""")," ---")</f>
        <v> ---</v>
      </c>
      <c r="G453" s="4" t="str">
        <f>IFERROR(__xludf.DUMMYFUNCTION("""COMPUTED_VALUE"""),"SUSE Linux Enterprise Server 15 SP2")</f>
        <v>SUSE Linux Enterprise Server 15 SP2</v>
      </c>
      <c r="H453" s="7" t="str">
        <f t="shared" si="2"/>
        <v>NO</v>
      </c>
      <c r="I453" s="7" t="str">
        <f t="shared" si="3"/>
        <v>NO</v>
      </c>
    </row>
    <row r="454">
      <c r="A454" s="4">
        <f>IFERROR(__xludf.DUMMYFUNCTION("""COMPUTED_VALUE"""),1160659.0)</f>
        <v>1160659</v>
      </c>
      <c r="B454" s="4" t="str">
        <f>IFERROR(__xludf.DUMMYFUNCTION("""COMPUTED_VALUE"""),"P3 - Medium")</f>
        <v>P3 - Medium</v>
      </c>
      <c r="C454" s="5">
        <f>IFERROR(__xludf.DUMMYFUNCTION("""COMPUTED_VALUE"""),43840.43377314815)</f>
        <v>43840.43377</v>
      </c>
      <c r="D454" s="4" t="str">
        <f>IFERROR(__xludf.DUMMYFUNCTION("""COMPUTED_VALUE"""),"RESOLVED")</f>
        <v>RESOLVED</v>
      </c>
      <c r="E454" s="6">
        <f>IFERROR(__xludf.DUMMYFUNCTION("""COMPUTED_VALUE"""),44624.91554398148)</f>
        <v>44624.91554</v>
      </c>
      <c r="F454" s="4" t="str">
        <f>IFERROR(__xludf.DUMMYFUNCTION("""COMPUTED_VALUE""")," ---")</f>
        <v> ---</v>
      </c>
      <c r="G454" s="4" t="str">
        <f>IFERROR(__xludf.DUMMYFUNCTION("""COMPUTED_VALUE"""),"SUSE Linux Enterprise Server 15 SP2")</f>
        <v>SUSE Linux Enterprise Server 15 SP2</v>
      </c>
      <c r="H454" s="7" t="str">
        <f t="shared" si="2"/>
        <v>NO</v>
      </c>
      <c r="I454" s="7" t="str">
        <f t="shared" si="3"/>
        <v>NO</v>
      </c>
    </row>
    <row r="455">
      <c r="A455" s="4">
        <f>IFERROR(__xludf.DUMMYFUNCTION("""COMPUTED_VALUE"""),1170269.0)</f>
        <v>1170269</v>
      </c>
      <c r="B455" s="4" t="str">
        <f>IFERROR(__xludf.DUMMYFUNCTION("""COMPUTED_VALUE"""),"P3 - Medium")</f>
        <v>P3 - Medium</v>
      </c>
      <c r="C455" s="5">
        <f>IFERROR(__xludf.DUMMYFUNCTION("""COMPUTED_VALUE"""),43943.889918981484)</f>
        <v>43943.88992</v>
      </c>
      <c r="D455" s="4" t="str">
        <f>IFERROR(__xludf.DUMMYFUNCTION("""COMPUTED_VALUE"""),"RESOLVED")</f>
        <v>RESOLVED</v>
      </c>
      <c r="E455" s="6">
        <f>IFERROR(__xludf.DUMMYFUNCTION("""COMPUTED_VALUE"""),44567.299305555556)</f>
        <v>44567.29931</v>
      </c>
      <c r="F455" s="4" t="str">
        <f>IFERROR(__xludf.DUMMYFUNCTION("""COMPUTED_VALUE""")," ---")</f>
        <v> ---</v>
      </c>
      <c r="G455" s="4" t="str">
        <f>IFERROR(__xludf.DUMMYFUNCTION("""COMPUTED_VALUE"""),"SUSE Linux Enterprise Server 15 SP2")</f>
        <v>SUSE Linux Enterprise Server 15 SP2</v>
      </c>
      <c r="H455" s="7" t="str">
        <f t="shared" si="2"/>
        <v>NO</v>
      </c>
      <c r="I455" s="7" t="str">
        <f t="shared" si="3"/>
        <v>NO</v>
      </c>
    </row>
    <row r="456">
      <c r="A456" s="4">
        <f>IFERROR(__xludf.DUMMYFUNCTION("""COMPUTED_VALUE"""),1171295.0)</f>
        <v>1171295</v>
      </c>
      <c r="B456" s="4" t="str">
        <f>IFERROR(__xludf.DUMMYFUNCTION("""COMPUTED_VALUE"""),"P3 - Medium")</f>
        <v>P3 - Medium</v>
      </c>
      <c r="C456" s="5">
        <f>IFERROR(__xludf.DUMMYFUNCTION("""COMPUTED_VALUE"""),43957.62037037037)</f>
        <v>43957.62037</v>
      </c>
      <c r="D456" s="4" t="str">
        <f>IFERROR(__xludf.DUMMYFUNCTION("""COMPUTED_VALUE"""),"RESOLVED")</f>
        <v>RESOLVED</v>
      </c>
      <c r="E456" s="6">
        <f>IFERROR(__xludf.DUMMYFUNCTION("""COMPUTED_VALUE"""),44407.81853009259)</f>
        <v>44407.81853</v>
      </c>
      <c r="F456" s="4" t="str">
        <f>IFERROR(__xludf.DUMMYFUNCTION("""COMPUTED_VALUE""")," ---")</f>
        <v> ---</v>
      </c>
      <c r="G456" s="4" t="str">
        <f>IFERROR(__xludf.DUMMYFUNCTION("""COMPUTED_VALUE"""),"SUSE Linux Enterprise Server 15 SP2")</f>
        <v>SUSE Linux Enterprise Server 15 SP2</v>
      </c>
      <c r="H456" s="7" t="str">
        <f t="shared" si="2"/>
        <v>NO</v>
      </c>
      <c r="I456" s="7" t="str">
        <f t="shared" si="3"/>
        <v>NO</v>
      </c>
    </row>
    <row r="457">
      <c r="A457" s="4">
        <f>IFERROR(__xludf.DUMMYFUNCTION("""COMPUTED_VALUE"""),1172713.0)</f>
        <v>1172713</v>
      </c>
      <c r="B457" s="4" t="str">
        <f>IFERROR(__xludf.DUMMYFUNCTION("""COMPUTED_VALUE"""),"P3 - Medium")</f>
        <v>P3 - Medium</v>
      </c>
      <c r="C457" s="5">
        <f>IFERROR(__xludf.DUMMYFUNCTION("""COMPUTED_VALUE"""),43991.4074537037)</f>
        <v>43991.40745</v>
      </c>
      <c r="D457" s="4" t="str">
        <f>IFERROR(__xludf.DUMMYFUNCTION("""COMPUTED_VALUE"""),"RESOLVED")</f>
        <v>RESOLVED</v>
      </c>
      <c r="E457" s="6">
        <f>IFERROR(__xludf.DUMMYFUNCTION("""COMPUTED_VALUE"""),44011.27775462963)</f>
        <v>44011.27775</v>
      </c>
      <c r="F457" s="4" t="str">
        <f>IFERROR(__xludf.DUMMYFUNCTION("""COMPUTED_VALUE""")," ---")</f>
        <v> ---</v>
      </c>
      <c r="G457" s="4" t="str">
        <f>IFERROR(__xludf.DUMMYFUNCTION("""COMPUTED_VALUE"""),"SUSE Linux Enterprise Server 15 SP2")</f>
        <v>SUSE Linux Enterprise Server 15 SP2</v>
      </c>
      <c r="H457" s="7" t="str">
        <f t="shared" si="2"/>
        <v>NO</v>
      </c>
      <c r="I457" s="7" t="str">
        <f t="shared" si="3"/>
        <v>NO</v>
      </c>
    </row>
    <row r="458">
      <c r="A458" s="4">
        <f>IFERROR(__xludf.DUMMYFUNCTION("""COMPUTED_VALUE"""),1159662.0)</f>
        <v>1159662</v>
      </c>
      <c r="B458" s="4" t="str">
        <f>IFERROR(__xludf.DUMMYFUNCTION("""COMPUTED_VALUE"""),"P3 - Medium")</f>
        <v>P3 - Medium</v>
      </c>
      <c r="C458" s="5">
        <f>IFERROR(__xludf.DUMMYFUNCTION("""COMPUTED_VALUE"""),43819.57288194444)</f>
        <v>43819.57288</v>
      </c>
      <c r="D458" s="4" t="str">
        <f>IFERROR(__xludf.DUMMYFUNCTION("""COMPUTED_VALUE"""),"RESOLVED")</f>
        <v>RESOLVED</v>
      </c>
      <c r="E458" s="6">
        <f>IFERROR(__xludf.DUMMYFUNCTION("""COMPUTED_VALUE"""),44384.797847222224)</f>
        <v>44384.79785</v>
      </c>
      <c r="F458" s="4" t="str">
        <f>IFERROR(__xludf.DUMMYFUNCTION("""COMPUTED_VALUE""")," ---")</f>
        <v> ---</v>
      </c>
      <c r="G458" s="4" t="str">
        <f>IFERROR(__xludf.DUMMYFUNCTION("""COMPUTED_VALUE"""),"SUSE Linux Enterprise Server 15 SP2")</f>
        <v>SUSE Linux Enterprise Server 15 SP2</v>
      </c>
      <c r="H458" s="7" t="str">
        <f t="shared" si="2"/>
        <v>NO</v>
      </c>
      <c r="I458" s="7" t="str">
        <f t="shared" si="3"/>
        <v>NO</v>
      </c>
    </row>
    <row r="459">
      <c r="A459" s="4">
        <f>IFERROR(__xludf.DUMMYFUNCTION("""COMPUTED_VALUE"""),1164118.0)</f>
        <v>1164118</v>
      </c>
      <c r="B459" s="4" t="str">
        <f>IFERROR(__xludf.DUMMYFUNCTION("""COMPUTED_VALUE"""),"P3 - Medium")</f>
        <v>P3 - Medium</v>
      </c>
      <c r="C459" s="5">
        <f>IFERROR(__xludf.DUMMYFUNCTION("""COMPUTED_VALUE"""),43879.529861111114)</f>
        <v>43879.52986</v>
      </c>
      <c r="D459" s="4" t="str">
        <f>IFERROR(__xludf.DUMMYFUNCTION("""COMPUTED_VALUE"""),"RESOLVED")</f>
        <v>RESOLVED</v>
      </c>
      <c r="E459" s="6">
        <f>IFERROR(__xludf.DUMMYFUNCTION("""COMPUTED_VALUE"""),44384.80674768519)</f>
        <v>44384.80675</v>
      </c>
      <c r="F459" s="4" t="str">
        <f>IFERROR(__xludf.DUMMYFUNCTION("""COMPUTED_VALUE""")," ---")</f>
        <v> ---</v>
      </c>
      <c r="G459" s="4" t="str">
        <f>IFERROR(__xludf.DUMMYFUNCTION("""COMPUTED_VALUE"""),"SUSE Linux Enterprise Server 15 SP2")</f>
        <v>SUSE Linux Enterprise Server 15 SP2</v>
      </c>
      <c r="H459" s="7" t="str">
        <f t="shared" si="2"/>
        <v>NO</v>
      </c>
      <c r="I459" s="7" t="str">
        <f t="shared" si="3"/>
        <v>NO</v>
      </c>
    </row>
    <row r="460">
      <c r="A460" s="4">
        <f>IFERROR(__xludf.DUMMYFUNCTION("""COMPUTED_VALUE"""),1164194.0)</f>
        <v>1164194</v>
      </c>
      <c r="B460" s="4" t="str">
        <f>IFERROR(__xludf.DUMMYFUNCTION("""COMPUTED_VALUE"""),"P3 - Medium")</f>
        <v>P3 - Medium</v>
      </c>
      <c r="C460" s="5">
        <f>IFERROR(__xludf.DUMMYFUNCTION("""COMPUTED_VALUE"""),43879.7130787037)</f>
        <v>43879.71308</v>
      </c>
      <c r="D460" s="4" t="str">
        <f>IFERROR(__xludf.DUMMYFUNCTION("""COMPUTED_VALUE"""),"RESOLVED")</f>
        <v>RESOLVED</v>
      </c>
      <c r="E460" s="6">
        <f>IFERROR(__xludf.DUMMYFUNCTION("""COMPUTED_VALUE"""),44384.80972222222)</f>
        <v>44384.80972</v>
      </c>
      <c r="F460" s="4" t="str">
        <f>IFERROR(__xludf.DUMMYFUNCTION("""COMPUTED_VALUE""")," ---")</f>
        <v> ---</v>
      </c>
      <c r="G460" s="4" t="str">
        <f>IFERROR(__xludf.DUMMYFUNCTION("""COMPUTED_VALUE"""),"SUSE Linux Enterprise Server 15 SP2")</f>
        <v>SUSE Linux Enterprise Server 15 SP2</v>
      </c>
      <c r="H460" s="7" t="str">
        <f t="shared" si="2"/>
        <v>NO</v>
      </c>
      <c r="I460" s="7" t="str">
        <f t="shared" si="3"/>
        <v>NO</v>
      </c>
    </row>
    <row r="461">
      <c r="A461" s="4">
        <f>IFERROR(__xludf.DUMMYFUNCTION("""COMPUTED_VALUE"""),1164195.0)</f>
        <v>1164195</v>
      </c>
      <c r="B461" s="4" t="str">
        <f>IFERROR(__xludf.DUMMYFUNCTION("""COMPUTED_VALUE"""),"P3 - Medium")</f>
        <v>P3 - Medium</v>
      </c>
      <c r="C461" s="5">
        <f>IFERROR(__xludf.DUMMYFUNCTION("""COMPUTED_VALUE"""),43879.713159722225)</f>
        <v>43879.71316</v>
      </c>
      <c r="D461" s="4" t="str">
        <f>IFERROR(__xludf.DUMMYFUNCTION("""COMPUTED_VALUE"""),"RESOLVED")</f>
        <v>RESOLVED</v>
      </c>
      <c r="E461" s="6">
        <f>IFERROR(__xludf.DUMMYFUNCTION("""COMPUTED_VALUE"""),44384.80978009259)</f>
        <v>44384.80978</v>
      </c>
      <c r="F461" s="4" t="str">
        <f>IFERROR(__xludf.DUMMYFUNCTION("""COMPUTED_VALUE""")," ---")</f>
        <v> ---</v>
      </c>
      <c r="G461" s="4" t="str">
        <f>IFERROR(__xludf.DUMMYFUNCTION("""COMPUTED_VALUE"""),"SUSE Linux Enterprise Server 15 SP2")</f>
        <v>SUSE Linux Enterprise Server 15 SP2</v>
      </c>
      <c r="H461" s="7" t="str">
        <f t="shared" si="2"/>
        <v>NO</v>
      </c>
      <c r="I461" s="7" t="str">
        <f t="shared" si="3"/>
        <v>NO</v>
      </c>
    </row>
    <row r="462">
      <c r="A462" s="4">
        <f>IFERROR(__xludf.DUMMYFUNCTION("""COMPUTED_VALUE"""),1164196.0)</f>
        <v>1164196</v>
      </c>
      <c r="B462" s="4" t="str">
        <f>IFERROR(__xludf.DUMMYFUNCTION("""COMPUTED_VALUE"""),"P3 - Medium")</f>
        <v>P3 - Medium</v>
      </c>
      <c r="C462" s="5">
        <f>IFERROR(__xludf.DUMMYFUNCTION("""COMPUTED_VALUE"""),43879.71324074074)</f>
        <v>43879.71324</v>
      </c>
      <c r="D462" s="4" t="str">
        <f>IFERROR(__xludf.DUMMYFUNCTION("""COMPUTED_VALUE"""),"RESOLVED")</f>
        <v>RESOLVED</v>
      </c>
      <c r="E462" s="6">
        <f>IFERROR(__xludf.DUMMYFUNCTION("""COMPUTED_VALUE"""),44384.809849537036)</f>
        <v>44384.80985</v>
      </c>
      <c r="F462" s="4" t="str">
        <f>IFERROR(__xludf.DUMMYFUNCTION("""COMPUTED_VALUE""")," ---")</f>
        <v> ---</v>
      </c>
      <c r="G462" s="4" t="str">
        <f>IFERROR(__xludf.DUMMYFUNCTION("""COMPUTED_VALUE"""),"SUSE Linux Enterprise Server 15 SP2")</f>
        <v>SUSE Linux Enterprise Server 15 SP2</v>
      </c>
      <c r="H462" s="7" t="str">
        <f t="shared" si="2"/>
        <v>NO</v>
      </c>
      <c r="I462" s="7" t="str">
        <f t="shared" si="3"/>
        <v>NO</v>
      </c>
    </row>
    <row r="463">
      <c r="A463" s="4">
        <f>IFERROR(__xludf.DUMMYFUNCTION("""COMPUTED_VALUE"""),1164197.0)</f>
        <v>1164197</v>
      </c>
      <c r="B463" s="4" t="str">
        <f>IFERROR(__xludf.DUMMYFUNCTION("""COMPUTED_VALUE"""),"P3 - Medium")</f>
        <v>P3 - Medium</v>
      </c>
      <c r="C463" s="5">
        <f>IFERROR(__xludf.DUMMYFUNCTION("""COMPUTED_VALUE"""),43879.713321759256)</f>
        <v>43879.71332</v>
      </c>
      <c r="D463" s="4" t="str">
        <f>IFERROR(__xludf.DUMMYFUNCTION("""COMPUTED_VALUE"""),"RESOLVED")</f>
        <v>RESOLVED</v>
      </c>
      <c r="E463" s="6">
        <f>IFERROR(__xludf.DUMMYFUNCTION("""COMPUTED_VALUE"""),44384.80991898148)</f>
        <v>44384.80992</v>
      </c>
      <c r="F463" s="4" t="str">
        <f>IFERROR(__xludf.DUMMYFUNCTION("""COMPUTED_VALUE""")," ---")</f>
        <v> ---</v>
      </c>
      <c r="G463" s="4" t="str">
        <f>IFERROR(__xludf.DUMMYFUNCTION("""COMPUTED_VALUE"""),"SUSE Linux Enterprise Server 15 SP2")</f>
        <v>SUSE Linux Enterprise Server 15 SP2</v>
      </c>
      <c r="H463" s="7" t="str">
        <f t="shared" si="2"/>
        <v>NO</v>
      </c>
      <c r="I463" s="7" t="str">
        <f t="shared" si="3"/>
        <v>NO</v>
      </c>
    </row>
    <row r="464">
      <c r="A464" s="4">
        <f>IFERROR(__xludf.DUMMYFUNCTION("""COMPUTED_VALUE"""),1164198.0)</f>
        <v>1164198</v>
      </c>
      <c r="B464" s="4" t="str">
        <f>IFERROR(__xludf.DUMMYFUNCTION("""COMPUTED_VALUE"""),"P3 - Medium")</f>
        <v>P3 - Medium</v>
      </c>
      <c r="C464" s="5">
        <f>IFERROR(__xludf.DUMMYFUNCTION("""COMPUTED_VALUE"""),43879.71341435185)</f>
        <v>43879.71341</v>
      </c>
      <c r="D464" s="4" t="str">
        <f>IFERROR(__xludf.DUMMYFUNCTION("""COMPUTED_VALUE"""),"RESOLVED")</f>
        <v>RESOLVED</v>
      </c>
      <c r="E464" s="6">
        <f>IFERROR(__xludf.DUMMYFUNCTION("""COMPUTED_VALUE"""),44384.80998842593)</f>
        <v>44384.80999</v>
      </c>
      <c r="F464" s="4" t="str">
        <f>IFERROR(__xludf.DUMMYFUNCTION("""COMPUTED_VALUE""")," ---")</f>
        <v> ---</v>
      </c>
      <c r="G464" s="4" t="str">
        <f>IFERROR(__xludf.DUMMYFUNCTION("""COMPUTED_VALUE"""),"SUSE Linux Enterprise Server 15 SP2")</f>
        <v>SUSE Linux Enterprise Server 15 SP2</v>
      </c>
      <c r="H464" s="7" t="str">
        <f t="shared" si="2"/>
        <v>NO</v>
      </c>
      <c r="I464" s="7" t="str">
        <f t="shared" si="3"/>
        <v>NO</v>
      </c>
    </row>
    <row r="465">
      <c r="A465" s="4">
        <f>IFERROR(__xludf.DUMMYFUNCTION("""COMPUTED_VALUE"""),1164199.0)</f>
        <v>1164199</v>
      </c>
      <c r="B465" s="4" t="str">
        <f>IFERROR(__xludf.DUMMYFUNCTION("""COMPUTED_VALUE"""),"P3 - Medium")</f>
        <v>P3 - Medium</v>
      </c>
      <c r="C465" s="5">
        <f>IFERROR(__xludf.DUMMYFUNCTION("""COMPUTED_VALUE"""),43879.71350694444)</f>
        <v>43879.71351</v>
      </c>
      <c r="D465" s="4" t="str">
        <f>IFERROR(__xludf.DUMMYFUNCTION("""COMPUTED_VALUE"""),"RESOLVED")</f>
        <v>RESOLVED</v>
      </c>
      <c r="E465" s="6">
        <f>IFERROR(__xludf.DUMMYFUNCTION("""COMPUTED_VALUE"""),44384.81005787037)</f>
        <v>44384.81006</v>
      </c>
      <c r="F465" s="4" t="str">
        <f>IFERROR(__xludf.DUMMYFUNCTION("""COMPUTED_VALUE""")," ---")</f>
        <v> ---</v>
      </c>
      <c r="G465" s="4" t="str">
        <f>IFERROR(__xludf.DUMMYFUNCTION("""COMPUTED_VALUE"""),"SUSE Linux Enterprise Server 15 SP2")</f>
        <v>SUSE Linux Enterprise Server 15 SP2</v>
      </c>
      <c r="H465" s="7" t="str">
        <f t="shared" si="2"/>
        <v>NO</v>
      </c>
      <c r="I465" s="7" t="str">
        <f t="shared" si="3"/>
        <v>NO</v>
      </c>
    </row>
    <row r="466">
      <c r="A466" s="4">
        <f>IFERROR(__xludf.DUMMYFUNCTION("""COMPUTED_VALUE"""),1164200.0)</f>
        <v>1164200</v>
      </c>
      <c r="B466" s="4" t="str">
        <f>IFERROR(__xludf.DUMMYFUNCTION("""COMPUTED_VALUE"""),"P3 - Medium")</f>
        <v>P3 - Medium</v>
      </c>
      <c r="C466" s="5">
        <f>IFERROR(__xludf.DUMMYFUNCTION("""COMPUTED_VALUE"""),43879.713587962964)</f>
        <v>43879.71359</v>
      </c>
      <c r="D466" s="4" t="str">
        <f>IFERROR(__xludf.DUMMYFUNCTION("""COMPUTED_VALUE"""),"RESOLVED")</f>
        <v>RESOLVED</v>
      </c>
      <c r="E466" s="6">
        <f>IFERROR(__xludf.DUMMYFUNCTION("""COMPUTED_VALUE"""),44384.81012731481)</f>
        <v>44384.81013</v>
      </c>
      <c r="F466" s="4" t="str">
        <f>IFERROR(__xludf.DUMMYFUNCTION("""COMPUTED_VALUE""")," ---")</f>
        <v> ---</v>
      </c>
      <c r="G466" s="4" t="str">
        <f>IFERROR(__xludf.DUMMYFUNCTION("""COMPUTED_VALUE"""),"SUSE Linux Enterprise Server 15 SP2")</f>
        <v>SUSE Linux Enterprise Server 15 SP2</v>
      </c>
      <c r="H466" s="7" t="str">
        <f t="shared" si="2"/>
        <v>NO</v>
      </c>
      <c r="I466" s="7" t="str">
        <f t="shared" si="3"/>
        <v>NO</v>
      </c>
    </row>
    <row r="467">
      <c r="A467" s="4">
        <f>IFERROR(__xludf.DUMMYFUNCTION("""COMPUTED_VALUE"""),1164201.0)</f>
        <v>1164201</v>
      </c>
      <c r="B467" s="4" t="str">
        <f>IFERROR(__xludf.DUMMYFUNCTION("""COMPUTED_VALUE"""),"P3 - Medium")</f>
        <v>P3 - Medium</v>
      </c>
      <c r="C467" s="5">
        <f>IFERROR(__xludf.DUMMYFUNCTION("""COMPUTED_VALUE"""),43879.71366898148)</f>
        <v>43879.71367</v>
      </c>
      <c r="D467" s="4" t="str">
        <f>IFERROR(__xludf.DUMMYFUNCTION("""COMPUTED_VALUE"""),"RESOLVED")</f>
        <v>RESOLVED</v>
      </c>
      <c r="E467" s="6">
        <f>IFERROR(__xludf.DUMMYFUNCTION("""COMPUTED_VALUE"""),44384.81019675926)</f>
        <v>44384.8102</v>
      </c>
      <c r="F467" s="4" t="str">
        <f>IFERROR(__xludf.DUMMYFUNCTION("""COMPUTED_VALUE""")," ---")</f>
        <v> ---</v>
      </c>
      <c r="G467" s="4" t="str">
        <f>IFERROR(__xludf.DUMMYFUNCTION("""COMPUTED_VALUE"""),"SUSE Linux Enterprise Server 15 SP2")</f>
        <v>SUSE Linux Enterprise Server 15 SP2</v>
      </c>
      <c r="H467" s="7" t="str">
        <f t="shared" si="2"/>
        <v>NO</v>
      </c>
      <c r="I467" s="7" t="str">
        <f t="shared" si="3"/>
        <v>NO</v>
      </c>
    </row>
    <row r="468">
      <c r="A468" s="4">
        <f>IFERROR(__xludf.DUMMYFUNCTION("""COMPUTED_VALUE"""),1164202.0)</f>
        <v>1164202</v>
      </c>
      <c r="B468" s="4" t="str">
        <f>IFERROR(__xludf.DUMMYFUNCTION("""COMPUTED_VALUE"""),"P3 - Medium")</f>
        <v>P3 - Medium</v>
      </c>
      <c r="C468" s="5">
        <f>IFERROR(__xludf.DUMMYFUNCTION("""COMPUTED_VALUE"""),43879.71375)</f>
        <v>43879.71375</v>
      </c>
      <c r="D468" s="4" t="str">
        <f>IFERROR(__xludf.DUMMYFUNCTION("""COMPUTED_VALUE"""),"RESOLVED")</f>
        <v>RESOLVED</v>
      </c>
      <c r="E468" s="6">
        <f>IFERROR(__xludf.DUMMYFUNCTION("""COMPUTED_VALUE"""),44384.810266203705)</f>
        <v>44384.81027</v>
      </c>
      <c r="F468" s="4" t="str">
        <f>IFERROR(__xludf.DUMMYFUNCTION("""COMPUTED_VALUE""")," ---")</f>
        <v> ---</v>
      </c>
      <c r="G468" s="4" t="str">
        <f>IFERROR(__xludf.DUMMYFUNCTION("""COMPUTED_VALUE"""),"SUSE Linux Enterprise Server 15 SP2")</f>
        <v>SUSE Linux Enterprise Server 15 SP2</v>
      </c>
      <c r="H468" s="7" t="str">
        <f t="shared" si="2"/>
        <v>NO</v>
      </c>
      <c r="I468" s="7" t="str">
        <f t="shared" si="3"/>
        <v>NO</v>
      </c>
    </row>
    <row r="469">
      <c r="A469" s="4">
        <f>IFERROR(__xludf.DUMMYFUNCTION("""COMPUTED_VALUE"""),1164203.0)</f>
        <v>1164203</v>
      </c>
      <c r="B469" s="4" t="str">
        <f>IFERROR(__xludf.DUMMYFUNCTION("""COMPUTED_VALUE"""),"P3 - Medium")</f>
        <v>P3 - Medium</v>
      </c>
      <c r="C469" s="5">
        <f>IFERROR(__xludf.DUMMYFUNCTION("""COMPUTED_VALUE"""),43879.71383101852)</f>
        <v>43879.71383</v>
      </c>
      <c r="D469" s="4" t="str">
        <f>IFERROR(__xludf.DUMMYFUNCTION("""COMPUTED_VALUE"""),"RESOLVED")</f>
        <v>RESOLVED</v>
      </c>
      <c r="E469" s="6">
        <f>IFERROR(__xludf.DUMMYFUNCTION("""COMPUTED_VALUE"""),44384.81033564815)</f>
        <v>44384.81034</v>
      </c>
      <c r="F469" s="4" t="str">
        <f>IFERROR(__xludf.DUMMYFUNCTION("""COMPUTED_VALUE""")," ---")</f>
        <v> ---</v>
      </c>
      <c r="G469" s="4" t="str">
        <f>IFERROR(__xludf.DUMMYFUNCTION("""COMPUTED_VALUE"""),"SUSE Linux Enterprise Server 15 SP2")</f>
        <v>SUSE Linux Enterprise Server 15 SP2</v>
      </c>
      <c r="H469" s="7" t="str">
        <f t="shared" si="2"/>
        <v>NO</v>
      </c>
      <c r="I469" s="7" t="str">
        <f t="shared" si="3"/>
        <v>NO</v>
      </c>
    </row>
    <row r="470">
      <c r="A470" s="4">
        <f>IFERROR(__xludf.DUMMYFUNCTION("""COMPUTED_VALUE"""),1164204.0)</f>
        <v>1164204</v>
      </c>
      <c r="B470" s="4" t="str">
        <f>IFERROR(__xludf.DUMMYFUNCTION("""COMPUTED_VALUE"""),"P3 - Medium")</f>
        <v>P3 - Medium</v>
      </c>
      <c r="C470" s="5">
        <f>IFERROR(__xludf.DUMMYFUNCTION("""COMPUTED_VALUE"""),43879.713900462964)</f>
        <v>43879.7139</v>
      </c>
      <c r="D470" s="4" t="str">
        <f>IFERROR(__xludf.DUMMYFUNCTION("""COMPUTED_VALUE"""),"RESOLVED")</f>
        <v>RESOLVED</v>
      </c>
      <c r="E470" s="6">
        <f>IFERROR(__xludf.DUMMYFUNCTION("""COMPUTED_VALUE"""),43880.38825231481)</f>
        <v>43880.38825</v>
      </c>
      <c r="F470" s="4" t="str">
        <f>IFERROR(__xludf.DUMMYFUNCTION("""COMPUTED_VALUE""")," ---")</f>
        <v> ---</v>
      </c>
      <c r="G470" s="4" t="str">
        <f>IFERROR(__xludf.DUMMYFUNCTION("""COMPUTED_VALUE"""),"SUSE Linux Enterprise Server 15 SP2")</f>
        <v>SUSE Linux Enterprise Server 15 SP2</v>
      </c>
      <c r="H470" s="7" t="str">
        <f t="shared" si="2"/>
        <v>NO</v>
      </c>
      <c r="I470" s="7" t="str">
        <f t="shared" si="3"/>
        <v>NO</v>
      </c>
    </row>
    <row r="471">
      <c r="A471" s="4">
        <f>IFERROR(__xludf.DUMMYFUNCTION("""COMPUTED_VALUE"""),1164205.0)</f>
        <v>1164205</v>
      </c>
      <c r="B471" s="4" t="str">
        <f>IFERROR(__xludf.DUMMYFUNCTION("""COMPUTED_VALUE"""),"P3 - Medium")</f>
        <v>P3 - Medium</v>
      </c>
      <c r="C471" s="5">
        <f>IFERROR(__xludf.DUMMYFUNCTION("""COMPUTED_VALUE"""),43879.71398148148)</f>
        <v>43879.71398</v>
      </c>
      <c r="D471" s="4" t="str">
        <f>IFERROR(__xludf.DUMMYFUNCTION("""COMPUTED_VALUE"""),"RESOLVED")</f>
        <v>RESOLVED</v>
      </c>
      <c r="E471" s="6">
        <f>IFERROR(__xludf.DUMMYFUNCTION("""COMPUTED_VALUE"""),44384.81040509259)</f>
        <v>44384.81041</v>
      </c>
      <c r="F471" s="4" t="str">
        <f>IFERROR(__xludf.DUMMYFUNCTION("""COMPUTED_VALUE""")," ---")</f>
        <v> ---</v>
      </c>
      <c r="G471" s="4" t="str">
        <f>IFERROR(__xludf.DUMMYFUNCTION("""COMPUTED_VALUE"""),"SUSE Linux Enterprise Server 15 SP2")</f>
        <v>SUSE Linux Enterprise Server 15 SP2</v>
      </c>
      <c r="H471" s="7" t="str">
        <f t="shared" si="2"/>
        <v>NO</v>
      </c>
      <c r="I471" s="7" t="str">
        <f t="shared" si="3"/>
        <v>NO</v>
      </c>
    </row>
    <row r="472">
      <c r="A472" s="4">
        <f>IFERROR(__xludf.DUMMYFUNCTION("""COMPUTED_VALUE"""),1164206.0)</f>
        <v>1164206</v>
      </c>
      <c r="B472" s="4" t="str">
        <f>IFERROR(__xludf.DUMMYFUNCTION("""COMPUTED_VALUE"""),"P3 - Medium")</f>
        <v>P3 - Medium</v>
      </c>
      <c r="C472" s="5">
        <f>IFERROR(__xludf.DUMMYFUNCTION("""COMPUTED_VALUE"""),43879.71407407407)</f>
        <v>43879.71407</v>
      </c>
      <c r="D472" s="4" t="str">
        <f>IFERROR(__xludf.DUMMYFUNCTION("""COMPUTED_VALUE"""),"RESOLVED")</f>
        <v>RESOLVED</v>
      </c>
      <c r="E472" s="6">
        <f>IFERROR(__xludf.DUMMYFUNCTION("""COMPUTED_VALUE"""),44384.81047453704)</f>
        <v>44384.81047</v>
      </c>
      <c r="F472" s="4" t="str">
        <f>IFERROR(__xludf.DUMMYFUNCTION("""COMPUTED_VALUE""")," ---")</f>
        <v> ---</v>
      </c>
      <c r="G472" s="4" t="str">
        <f>IFERROR(__xludf.DUMMYFUNCTION("""COMPUTED_VALUE"""),"SUSE Linux Enterprise Server 15 SP2")</f>
        <v>SUSE Linux Enterprise Server 15 SP2</v>
      </c>
      <c r="H472" s="7" t="str">
        <f t="shared" si="2"/>
        <v>NO</v>
      </c>
      <c r="I472" s="7" t="str">
        <f t="shared" si="3"/>
        <v>NO</v>
      </c>
    </row>
    <row r="473">
      <c r="A473" s="4">
        <f>IFERROR(__xludf.DUMMYFUNCTION("""COMPUTED_VALUE"""),1164208.0)</f>
        <v>1164208</v>
      </c>
      <c r="B473" s="4" t="str">
        <f>IFERROR(__xludf.DUMMYFUNCTION("""COMPUTED_VALUE"""),"P3 - Medium")</f>
        <v>P3 - Medium</v>
      </c>
      <c r="C473" s="5">
        <f>IFERROR(__xludf.DUMMYFUNCTION("""COMPUTED_VALUE"""),43879.71414351852)</f>
        <v>43879.71414</v>
      </c>
      <c r="D473" s="4" t="str">
        <f>IFERROR(__xludf.DUMMYFUNCTION("""COMPUTED_VALUE"""),"RESOLVED")</f>
        <v>RESOLVED</v>
      </c>
      <c r="E473" s="6">
        <f>IFERROR(__xludf.DUMMYFUNCTION("""COMPUTED_VALUE"""),44384.810532407406)</f>
        <v>44384.81053</v>
      </c>
      <c r="F473" s="4" t="str">
        <f>IFERROR(__xludf.DUMMYFUNCTION("""COMPUTED_VALUE""")," ---")</f>
        <v> ---</v>
      </c>
      <c r="G473" s="4" t="str">
        <f>IFERROR(__xludf.DUMMYFUNCTION("""COMPUTED_VALUE"""),"SUSE Linux Enterprise Server 15 SP2")</f>
        <v>SUSE Linux Enterprise Server 15 SP2</v>
      </c>
      <c r="H473" s="7" t="str">
        <f t="shared" si="2"/>
        <v>NO</v>
      </c>
      <c r="I473" s="7" t="str">
        <f t="shared" si="3"/>
        <v>NO</v>
      </c>
    </row>
    <row r="474">
      <c r="A474" s="4">
        <f>IFERROR(__xludf.DUMMYFUNCTION("""COMPUTED_VALUE"""),1164209.0)</f>
        <v>1164209</v>
      </c>
      <c r="B474" s="4" t="str">
        <f>IFERROR(__xludf.DUMMYFUNCTION("""COMPUTED_VALUE"""),"P3 - Medium")</f>
        <v>P3 - Medium</v>
      </c>
      <c r="C474" s="5">
        <f>IFERROR(__xludf.DUMMYFUNCTION("""COMPUTED_VALUE"""),43879.714224537034)</f>
        <v>43879.71422</v>
      </c>
      <c r="D474" s="4" t="str">
        <f>IFERROR(__xludf.DUMMYFUNCTION("""COMPUTED_VALUE"""),"RESOLVED")</f>
        <v>RESOLVED</v>
      </c>
      <c r="E474" s="6">
        <f>IFERROR(__xludf.DUMMYFUNCTION("""COMPUTED_VALUE"""),44384.81060185185)</f>
        <v>44384.8106</v>
      </c>
      <c r="F474" s="4" t="str">
        <f>IFERROR(__xludf.DUMMYFUNCTION("""COMPUTED_VALUE""")," ---")</f>
        <v> ---</v>
      </c>
      <c r="G474" s="4" t="str">
        <f>IFERROR(__xludf.DUMMYFUNCTION("""COMPUTED_VALUE"""),"SUSE Linux Enterprise Server 15 SP2")</f>
        <v>SUSE Linux Enterprise Server 15 SP2</v>
      </c>
      <c r="H474" s="7" t="str">
        <f t="shared" si="2"/>
        <v>NO</v>
      </c>
      <c r="I474" s="7" t="str">
        <f t="shared" si="3"/>
        <v>NO</v>
      </c>
    </row>
    <row r="475">
      <c r="A475" s="4">
        <f>IFERROR(__xludf.DUMMYFUNCTION("""COMPUTED_VALUE"""),1164210.0)</f>
        <v>1164210</v>
      </c>
      <c r="B475" s="4" t="str">
        <f>IFERROR(__xludf.DUMMYFUNCTION("""COMPUTED_VALUE"""),"P3 - Medium")</f>
        <v>P3 - Medium</v>
      </c>
      <c r="C475" s="5">
        <f>IFERROR(__xludf.DUMMYFUNCTION("""COMPUTED_VALUE"""),43879.71431712963)</f>
        <v>43879.71432</v>
      </c>
      <c r="D475" s="4" t="str">
        <f>IFERROR(__xludf.DUMMYFUNCTION("""COMPUTED_VALUE"""),"RESOLVED")</f>
        <v>RESOLVED</v>
      </c>
      <c r="E475" s="6">
        <f>IFERROR(__xludf.DUMMYFUNCTION("""COMPUTED_VALUE"""),44384.8106712963)</f>
        <v>44384.81067</v>
      </c>
      <c r="F475" s="4" t="str">
        <f>IFERROR(__xludf.DUMMYFUNCTION("""COMPUTED_VALUE""")," ---")</f>
        <v> ---</v>
      </c>
      <c r="G475" s="4" t="str">
        <f>IFERROR(__xludf.DUMMYFUNCTION("""COMPUTED_VALUE"""),"SUSE Linux Enterprise Server 15 SP2")</f>
        <v>SUSE Linux Enterprise Server 15 SP2</v>
      </c>
      <c r="H475" s="7" t="str">
        <f t="shared" si="2"/>
        <v>NO</v>
      </c>
      <c r="I475" s="7" t="str">
        <f t="shared" si="3"/>
        <v>NO</v>
      </c>
    </row>
    <row r="476">
      <c r="A476" s="4">
        <f>IFERROR(__xludf.DUMMYFUNCTION("""COMPUTED_VALUE"""),1164211.0)</f>
        <v>1164211</v>
      </c>
      <c r="B476" s="4" t="str">
        <f>IFERROR(__xludf.DUMMYFUNCTION("""COMPUTED_VALUE"""),"P3 - Medium")</f>
        <v>P3 - Medium</v>
      </c>
      <c r="C476" s="5">
        <f>IFERROR(__xludf.DUMMYFUNCTION("""COMPUTED_VALUE"""),43879.71438657407)</f>
        <v>43879.71439</v>
      </c>
      <c r="D476" s="4" t="str">
        <f>IFERROR(__xludf.DUMMYFUNCTION("""COMPUTED_VALUE"""),"RESOLVED")</f>
        <v>RESOLVED</v>
      </c>
      <c r="E476" s="6">
        <f>IFERROR(__xludf.DUMMYFUNCTION("""COMPUTED_VALUE"""),44384.810740740744)</f>
        <v>44384.81074</v>
      </c>
      <c r="F476" s="4" t="str">
        <f>IFERROR(__xludf.DUMMYFUNCTION("""COMPUTED_VALUE""")," ---")</f>
        <v> ---</v>
      </c>
      <c r="G476" s="4" t="str">
        <f>IFERROR(__xludf.DUMMYFUNCTION("""COMPUTED_VALUE"""),"SUSE Linux Enterprise Server 15 SP2")</f>
        <v>SUSE Linux Enterprise Server 15 SP2</v>
      </c>
      <c r="H476" s="7" t="str">
        <f t="shared" si="2"/>
        <v>NO</v>
      </c>
      <c r="I476" s="7" t="str">
        <f t="shared" si="3"/>
        <v>NO</v>
      </c>
    </row>
    <row r="477">
      <c r="A477" s="4">
        <f>IFERROR(__xludf.DUMMYFUNCTION("""COMPUTED_VALUE"""),1164212.0)</f>
        <v>1164212</v>
      </c>
      <c r="B477" s="4" t="str">
        <f>IFERROR(__xludf.DUMMYFUNCTION("""COMPUTED_VALUE"""),"P3 - Medium")</f>
        <v>P3 - Medium</v>
      </c>
      <c r="C477" s="5">
        <f>IFERROR(__xludf.DUMMYFUNCTION("""COMPUTED_VALUE"""),43879.714467592596)</f>
        <v>43879.71447</v>
      </c>
      <c r="D477" s="4" t="str">
        <f>IFERROR(__xludf.DUMMYFUNCTION("""COMPUTED_VALUE"""),"RESOLVED")</f>
        <v>RESOLVED</v>
      </c>
      <c r="E477" s="6">
        <f>IFERROR(__xludf.DUMMYFUNCTION("""COMPUTED_VALUE"""),44384.81081018518)</f>
        <v>44384.81081</v>
      </c>
      <c r="F477" s="4" t="str">
        <f>IFERROR(__xludf.DUMMYFUNCTION("""COMPUTED_VALUE""")," ---")</f>
        <v> ---</v>
      </c>
      <c r="G477" s="4" t="str">
        <f>IFERROR(__xludf.DUMMYFUNCTION("""COMPUTED_VALUE"""),"SUSE Linux Enterprise Server 15 SP2")</f>
        <v>SUSE Linux Enterprise Server 15 SP2</v>
      </c>
      <c r="H477" s="7" t="str">
        <f t="shared" si="2"/>
        <v>NO</v>
      </c>
      <c r="I477" s="7" t="str">
        <f t="shared" si="3"/>
        <v>NO</v>
      </c>
    </row>
    <row r="478">
      <c r="A478" s="4">
        <f>IFERROR(__xludf.DUMMYFUNCTION("""COMPUTED_VALUE"""),1164214.0)</f>
        <v>1164214</v>
      </c>
      <c r="B478" s="4" t="str">
        <f>IFERROR(__xludf.DUMMYFUNCTION("""COMPUTED_VALUE"""),"P3 - Medium")</f>
        <v>P3 - Medium</v>
      </c>
      <c r="C478" s="5">
        <f>IFERROR(__xludf.DUMMYFUNCTION("""COMPUTED_VALUE"""),43879.71576388889)</f>
        <v>43879.71576</v>
      </c>
      <c r="D478" s="4" t="str">
        <f>IFERROR(__xludf.DUMMYFUNCTION("""COMPUTED_VALUE"""),"RESOLVED")</f>
        <v>RESOLVED</v>
      </c>
      <c r="E478" s="6">
        <f>IFERROR(__xludf.DUMMYFUNCTION("""COMPUTED_VALUE"""),44384.81087962963)</f>
        <v>44384.81088</v>
      </c>
      <c r="F478" s="4" t="str">
        <f>IFERROR(__xludf.DUMMYFUNCTION("""COMPUTED_VALUE""")," ---")</f>
        <v> ---</v>
      </c>
      <c r="G478" s="4" t="str">
        <f>IFERROR(__xludf.DUMMYFUNCTION("""COMPUTED_VALUE"""),"SUSE Linux Enterprise Server 15 SP2")</f>
        <v>SUSE Linux Enterprise Server 15 SP2</v>
      </c>
      <c r="H478" s="7" t="str">
        <f t="shared" si="2"/>
        <v>NO</v>
      </c>
      <c r="I478" s="7" t="str">
        <f t="shared" si="3"/>
        <v>NO</v>
      </c>
    </row>
    <row r="479">
      <c r="A479" s="4">
        <f>IFERROR(__xludf.DUMMYFUNCTION("""COMPUTED_VALUE"""),1164215.0)</f>
        <v>1164215</v>
      </c>
      <c r="B479" s="4" t="str">
        <f>IFERROR(__xludf.DUMMYFUNCTION("""COMPUTED_VALUE"""),"P3 - Medium")</f>
        <v>P3 - Medium</v>
      </c>
      <c r="C479" s="5">
        <f>IFERROR(__xludf.DUMMYFUNCTION("""COMPUTED_VALUE"""),43879.715844907405)</f>
        <v>43879.71584</v>
      </c>
      <c r="D479" s="4" t="str">
        <f>IFERROR(__xludf.DUMMYFUNCTION("""COMPUTED_VALUE"""),"RESOLVED")</f>
        <v>RESOLVED</v>
      </c>
      <c r="E479" s="6">
        <f>IFERROR(__xludf.DUMMYFUNCTION("""COMPUTED_VALUE"""),44384.810949074075)</f>
        <v>44384.81095</v>
      </c>
      <c r="F479" s="4" t="str">
        <f>IFERROR(__xludf.DUMMYFUNCTION("""COMPUTED_VALUE""")," ---")</f>
        <v> ---</v>
      </c>
      <c r="G479" s="4" t="str">
        <f>IFERROR(__xludf.DUMMYFUNCTION("""COMPUTED_VALUE"""),"SUSE Linux Enterprise Server 15 SP2")</f>
        <v>SUSE Linux Enterprise Server 15 SP2</v>
      </c>
      <c r="H479" s="7" t="str">
        <f t="shared" si="2"/>
        <v>NO</v>
      </c>
      <c r="I479" s="7" t="str">
        <f t="shared" si="3"/>
        <v>NO</v>
      </c>
    </row>
    <row r="480">
      <c r="A480" s="4">
        <f>IFERROR(__xludf.DUMMYFUNCTION("""COMPUTED_VALUE"""),1164216.0)</f>
        <v>1164216</v>
      </c>
      <c r="B480" s="4" t="str">
        <f>IFERROR(__xludf.DUMMYFUNCTION("""COMPUTED_VALUE"""),"P3 - Medium")</f>
        <v>P3 - Medium</v>
      </c>
      <c r="C480" s="5">
        <f>IFERROR(__xludf.DUMMYFUNCTION("""COMPUTED_VALUE"""),43879.71592592593)</f>
        <v>43879.71593</v>
      </c>
      <c r="D480" s="4" t="str">
        <f>IFERROR(__xludf.DUMMYFUNCTION("""COMPUTED_VALUE"""),"RESOLVED")</f>
        <v>RESOLVED</v>
      </c>
      <c r="E480" s="6">
        <f>IFERROR(__xludf.DUMMYFUNCTION("""COMPUTED_VALUE"""),44384.811006944445)</f>
        <v>44384.81101</v>
      </c>
      <c r="F480" s="4" t="str">
        <f>IFERROR(__xludf.DUMMYFUNCTION("""COMPUTED_VALUE""")," ---")</f>
        <v> ---</v>
      </c>
      <c r="G480" s="4" t="str">
        <f>IFERROR(__xludf.DUMMYFUNCTION("""COMPUTED_VALUE"""),"SUSE Linux Enterprise Server 15 SP2")</f>
        <v>SUSE Linux Enterprise Server 15 SP2</v>
      </c>
      <c r="H480" s="7" t="str">
        <f t="shared" si="2"/>
        <v>NO</v>
      </c>
      <c r="I480" s="7" t="str">
        <f t="shared" si="3"/>
        <v>NO</v>
      </c>
    </row>
    <row r="481">
      <c r="A481" s="4">
        <f>IFERROR(__xludf.DUMMYFUNCTION("""COMPUTED_VALUE"""),1164217.0)</f>
        <v>1164217</v>
      </c>
      <c r="B481" s="4" t="str">
        <f>IFERROR(__xludf.DUMMYFUNCTION("""COMPUTED_VALUE"""),"P3 - Medium")</f>
        <v>P3 - Medium</v>
      </c>
      <c r="C481" s="5">
        <f>IFERROR(__xludf.DUMMYFUNCTION("""COMPUTED_VALUE"""),43879.715995370374)</f>
        <v>43879.716</v>
      </c>
      <c r="D481" s="4" t="str">
        <f>IFERROR(__xludf.DUMMYFUNCTION("""COMPUTED_VALUE"""),"RESOLVED")</f>
        <v>RESOLVED</v>
      </c>
      <c r="E481" s="6">
        <f>IFERROR(__xludf.DUMMYFUNCTION("""COMPUTED_VALUE"""),44384.81107638889)</f>
        <v>44384.81108</v>
      </c>
      <c r="F481" s="4" t="str">
        <f>IFERROR(__xludf.DUMMYFUNCTION("""COMPUTED_VALUE""")," ---")</f>
        <v> ---</v>
      </c>
      <c r="G481" s="4" t="str">
        <f>IFERROR(__xludf.DUMMYFUNCTION("""COMPUTED_VALUE"""),"SUSE Linux Enterprise Server 15 SP2")</f>
        <v>SUSE Linux Enterprise Server 15 SP2</v>
      </c>
      <c r="H481" s="7" t="str">
        <f t="shared" si="2"/>
        <v>NO</v>
      </c>
      <c r="I481" s="7" t="str">
        <f t="shared" si="3"/>
        <v>NO</v>
      </c>
    </row>
    <row r="482">
      <c r="A482" s="4">
        <f>IFERROR(__xludf.DUMMYFUNCTION("""COMPUTED_VALUE"""),1164218.0)</f>
        <v>1164218</v>
      </c>
      <c r="B482" s="4" t="str">
        <f>IFERROR(__xludf.DUMMYFUNCTION("""COMPUTED_VALUE"""),"P3 - Medium")</f>
        <v>P3 - Medium</v>
      </c>
      <c r="C482" s="5">
        <f>IFERROR(__xludf.DUMMYFUNCTION("""COMPUTED_VALUE"""),43879.71611111111)</f>
        <v>43879.71611</v>
      </c>
      <c r="D482" s="4" t="str">
        <f>IFERROR(__xludf.DUMMYFUNCTION("""COMPUTED_VALUE"""),"RESOLVED")</f>
        <v>RESOLVED</v>
      </c>
      <c r="E482" s="6">
        <f>IFERROR(__xludf.DUMMYFUNCTION("""COMPUTED_VALUE"""),44384.81114583334)</f>
        <v>44384.81115</v>
      </c>
      <c r="F482" s="4" t="str">
        <f>IFERROR(__xludf.DUMMYFUNCTION("""COMPUTED_VALUE""")," ---")</f>
        <v> ---</v>
      </c>
      <c r="G482" s="4" t="str">
        <f>IFERROR(__xludf.DUMMYFUNCTION("""COMPUTED_VALUE"""),"SUSE Linux Enterprise Server 15 SP2")</f>
        <v>SUSE Linux Enterprise Server 15 SP2</v>
      </c>
      <c r="H482" s="7" t="str">
        <f t="shared" si="2"/>
        <v>NO</v>
      </c>
      <c r="I482" s="7" t="str">
        <f t="shared" si="3"/>
        <v>NO</v>
      </c>
    </row>
    <row r="483">
      <c r="A483" s="4">
        <f>IFERROR(__xludf.DUMMYFUNCTION("""COMPUTED_VALUE"""),1164219.0)</f>
        <v>1164219</v>
      </c>
      <c r="B483" s="4" t="str">
        <f>IFERROR(__xludf.DUMMYFUNCTION("""COMPUTED_VALUE"""),"P3 - Medium")</f>
        <v>P3 - Medium</v>
      </c>
      <c r="C483" s="5">
        <f>IFERROR(__xludf.DUMMYFUNCTION("""COMPUTED_VALUE"""),43879.71619212963)</f>
        <v>43879.71619</v>
      </c>
      <c r="D483" s="4" t="str">
        <f>IFERROR(__xludf.DUMMYFUNCTION("""COMPUTED_VALUE"""),"RESOLVED")</f>
        <v>RESOLVED</v>
      </c>
      <c r="E483" s="6">
        <f>IFERROR(__xludf.DUMMYFUNCTION("""COMPUTED_VALUE"""),44384.811215277776)</f>
        <v>44384.81122</v>
      </c>
      <c r="F483" s="4" t="str">
        <f>IFERROR(__xludf.DUMMYFUNCTION("""COMPUTED_VALUE""")," ---")</f>
        <v> ---</v>
      </c>
      <c r="G483" s="4" t="str">
        <f>IFERROR(__xludf.DUMMYFUNCTION("""COMPUTED_VALUE"""),"SUSE Linux Enterprise Server 15 SP2")</f>
        <v>SUSE Linux Enterprise Server 15 SP2</v>
      </c>
      <c r="H483" s="7" t="str">
        <f t="shared" si="2"/>
        <v>NO</v>
      </c>
      <c r="I483" s="7" t="str">
        <f t="shared" si="3"/>
        <v>NO</v>
      </c>
    </row>
    <row r="484">
      <c r="A484" s="4">
        <f>IFERROR(__xludf.DUMMYFUNCTION("""COMPUTED_VALUE"""),1164220.0)</f>
        <v>1164220</v>
      </c>
      <c r="B484" s="4" t="str">
        <f>IFERROR(__xludf.DUMMYFUNCTION("""COMPUTED_VALUE"""),"P3 - Medium")</f>
        <v>P3 - Medium</v>
      </c>
      <c r="C484" s="5">
        <f>IFERROR(__xludf.DUMMYFUNCTION("""COMPUTED_VALUE"""),43879.71627314815)</f>
        <v>43879.71627</v>
      </c>
      <c r="D484" s="4" t="str">
        <f>IFERROR(__xludf.DUMMYFUNCTION("""COMPUTED_VALUE"""),"RESOLVED")</f>
        <v>RESOLVED</v>
      </c>
      <c r="E484" s="6">
        <f>IFERROR(__xludf.DUMMYFUNCTION("""COMPUTED_VALUE"""),44384.81128472222)</f>
        <v>44384.81128</v>
      </c>
      <c r="F484" s="4" t="str">
        <f>IFERROR(__xludf.DUMMYFUNCTION("""COMPUTED_VALUE""")," ---")</f>
        <v> ---</v>
      </c>
      <c r="G484" s="4" t="str">
        <f>IFERROR(__xludf.DUMMYFUNCTION("""COMPUTED_VALUE"""),"SUSE Linux Enterprise Server 15 SP2")</f>
        <v>SUSE Linux Enterprise Server 15 SP2</v>
      </c>
      <c r="H484" s="7" t="str">
        <f t="shared" si="2"/>
        <v>NO</v>
      </c>
      <c r="I484" s="7" t="str">
        <f t="shared" si="3"/>
        <v>NO</v>
      </c>
    </row>
    <row r="485">
      <c r="A485" s="4">
        <f>IFERROR(__xludf.DUMMYFUNCTION("""COMPUTED_VALUE"""),1164221.0)</f>
        <v>1164221</v>
      </c>
      <c r="B485" s="4" t="str">
        <f>IFERROR(__xludf.DUMMYFUNCTION("""COMPUTED_VALUE"""),"P3 - Medium")</f>
        <v>P3 - Medium</v>
      </c>
      <c r="C485" s="5">
        <f>IFERROR(__xludf.DUMMYFUNCTION("""COMPUTED_VALUE"""),43879.71635416667)</f>
        <v>43879.71635</v>
      </c>
      <c r="D485" s="4" t="str">
        <f>IFERROR(__xludf.DUMMYFUNCTION("""COMPUTED_VALUE"""),"RESOLVED")</f>
        <v>RESOLVED</v>
      </c>
      <c r="E485" s="6">
        <f>IFERROR(__xludf.DUMMYFUNCTION("""COMPUTED_VALUE"""),44384.81134259259)</f>
        <v>44384.81134</v>
      </c>
      <c r="F485" s="4" t="str">
        <f>IFERROR(__xludf.DUMMYFUNCTION("""COMPUTED_VALUE""")," ---")</f>
        <v> ---</v>
      </c>
      <c r="G485" s="4" t="str">
        <f>IFERROR(__xludf.DUMMYFUNCTION("""COMPUTED_VALUE"""),"SUSE Linux Enterprise Server 15 SP2")</f>
        <v>SUSE Linux Enterprise Server 15 SP2</v>
      </c>
      <c r="H485" s="7" t="str">
        <f t="shared" si="2"/>
        <v>NO</v>
      </c>
      <c r="I485" s="7" t="str">
        <f t="shared" si="3"/>
        <v>NO</v>
      </c>
    </row>
    <row r="486">
      <c r="A486" s="4">
        <f>IFERROR(__xludf.DUMMYFUNCTION("""COMPUTED_VALUE"""),1164388.0)</f>
        <v>1164388</v>
      </c>
      <c r="B486" s="4" t="str">
        <f>IFERROR(__xludf.DUMMYFUNCTION("""COMPUTED_VALUE"""),"P3 - Medium")</f>
        <v>P3 - Medium</v>
      </c>
      <c r="C486" s="5">
        <f>IFERROR(__xludf.DUMMYFUNCTION("""COMPUTED_VALUE"""),43880.684907407405)</f>
        <v>43880.68491</v>
      </c>
      <c r="D486" s="4" t="str">
        <f>IFERROR(__xludf.DUMMYFUNCTION("""COMPUTED_VALUE"""),"RESOLVED")</f>
        <v>RESOLVED</v>
      </c>
      <c r="E486" s="6">
        <f>IFERROR(__xludf.DUMMYFUNCTION("""COMPUTED_VALUE"""),44624.9187962963)</f>
        <v>44624.9188</v>
      </c>
      <c r="F486" s="4" t="str">
        <f>IFERROR(__xludf.DUMMYFUNCTION("""COMPUTED_VALUE""")," ---")</f>
        <v> ---</v>
      </c>
      <c r="G486" s="4" t="str">
        <f>IFERROR(__xludf.DUMMYFUNCTION("""COMPUTED_VALUE"""),"SUSE Linux Enterprise Server 15 SP2")</f>
        <v>SUSE Linux Enterprise Server 15 SP2</v>
      </c>
      <c r="H486" s="7" t="str">
        <f t="shared" si="2"/>
        <v>NO</v>
      </c>
      <c r="I486" s="7" t="str">
        <f t="shared" si="3"/>
        <v>NO</v>
      </c>
    </row>
    <row r="487">
      <c r="A487" s="4">
        <f>IFERROR(__xludf.DUMMYFUNCTION("""COMPUTED_VALUE"""),1164512.0)</f>
        <v>1164512</v>
      </c>
      <c r="B487" s="4" t="str">
        <f>IFERROR(__xludf.DUMMYFUNCTION("""COMPUTED_VALUE"""),"P3 - Medium")</f>
        <v>P3 - Medium</v>
      </c>
      <c r="C487" s="5">
        <f>IFERROR(__xludf.DUMMYFUNCTION("""COMPUTED_VALUE"""),43881.76261574074)</f>
        <v>43881.76262</v>
      </c>
      <c r="D487" s="4" t="str">
        <f>IFERROR(__xludf.DUMMYFUNCTION("""COMPUTED_VALUE"""),"RESOLVED")</f>
        <v>RESOLVED</v>
      </c>
      <c r="E487" s="6">
        <f>IFERROR(__xludf.DUMMYFUNCTION("""COMPUTED_VALUE"""),44025.36554398148)</f>
        <v>44025.36554</v>
      </c>
      <c r="F487" s="4" t="str">
        <f>IFERROR(__xludf.DUMMYFUNCTION("""COMPUTED_VALUE""")," ---")</f>
        <v> ---</v>
      </c>
      <c r="G487" s="4" t="str">
        <f>IFERROR(__xludf.DUMMYFUNCTION("""COMPUTED_VALUE"""),"SUSE Linux Enterprise Server 15 SP2")</f>
        <v>SUSE Linux Enterprise Server 15 SP2</v>
      </c>
      <c r="H487" s="7" t="str">
        <f t="shared" si="2"/>
        <v>NO</v>
      </c>
      <c r="I487" s="7" t="str">
        <f t="shared" si="3"/>
        <v>NO</v>
      </c>
    </row>
    <row r="488">
      <c r="A488" s="4">
        <f>IFERROR(__xludf.DUMMYFUNCTION("""COMPUTED_VALUE"""),1170680.0)</f>
        <v>1170680</v>
      </c>
      <c r="B488" s="4" t="str">
        <f>IFERROR(__xludf.DUMMYFUNCTION("""COMPUTED_VALUE"""),"P3 - Medium")</f>
        <v>P3 - Medium</v>
      </c>
      <c r="C488" s="5">
        <f>IFERROR(__xludf.DUMMYFUNCTION("""COMPUTED_VALUE"""),43949.44467592592)</f>
        <v>43949.44468</v>
      </c>
      <c r="D488" s="4" t="str">
        <f>IFERROR(__xludf.DUMMYFUNCTION("""COMPUTED_VALUE"""),"RESOLVED")</f>
        <v>RESOLVED</v>
      </c>
      <c r="E488" s="6">
        <f>IFERROR(__xludf.DUMMYFUNCTION("""COMPUTED_VALUE"""),44384.82607638889)</f>
        <v>44384.82608</v>
      </c>
      <c r="F488" s="4" t="str">
        <f>IFERROR(__xludf.DUMMYFUNCTION("""COMPUTED_VALUE""")," ---")</f>
        <v> ---</v>
      </c>
      <c r="G488" s="4" t="str">
        <f>IFERROR(__xludf.DUMMYFUNCTION("""COMPUTED_VALUE"""),"SUSE Linux Enterprise Server 15 SP2")</f>
        <v>SUSE Linux Enterprise Server 15 SP2</v>
      </c>
      <c r="H488" s="7" t="str">
        <f t="shared" si="2"/>
        <v>NO</v>
      </c>
      <c r="I488" s="7" t="str">
        <f t="shared" si="3"/>
        <v>NO</v>
      </c>
    </row>
    <row r="489">
      <c r="A489" s="4">
        <f>IFERROR(__xludf.DUMMYFUNCTION("""COMPUTED_VALUE"""),1171075.0)</f>
        <v>1171075</v>
      </c>
      <c r="B489" s="4" t="str">
        <f>IFERROR(__xludf.DUMMYFUNCTION("""COMPUTED_VALUE"""),"P3 - Medium")</f>
        <v>P3 - Medium</v>
      </c>
      <c r="C489" s="5">
        <f>IFERROR(__xludf.DUMMYFUNCTION("""COMPUTED_VALUE"""),43955.5425)</f>
        <v>43955.5425</v>
      </c>
      <c r="D489" s="4" t="str">
        <f>IFERROR(__xludf.DUMMYFUNCTION("""COMPUTED_VALUE"""),"RESOLVED")</f>
        <v>RESOLVED</v>
      </c>
      <c r="E489" s="6">
        <f>IFERROR(__xludf.DUMMYFUNCTION("""COMPUTED_VALUE"""),44384.82686342593)</f>
        <v>44384.82686</v>
      </c>
      <c r="F489" s="4" t="str">
        <f>IFERROR(__xludf.DUMMYFUNCTION("""COMPUTED_VALUE""")," ---")</f>
        <v> ---</v>
      </c>
      <c r="G489" s="4" t="str">
        <f>IFERROR(__xludf.DUMMYFUNCTION("""COMPUTED_VALUE"""),"SUSE Linux Enterprise Server 15 SP2")</f>
        <v>SUSE Linux Enterprise Server 15 SP2</v>
      </c>
      <c r="H489" s="7" t="str">
        <f t="shared" si="2"/>
        <v>NO</v>
      </c>
      <c r="I489" s="7" t="str">
        <f t="shared" si="3"/>
        <v>NO</v>
      </c>
    </row>
    <row r="490">
      <c r="A490" s="4">
        <f>IFERROR(__xludf.DUMMYFUNCTION("""COMPUTED_VALUE"""),1171076.0)</f>
        <v>1171076</v>
      </c>
      <c r="B490" s="4" t="str">
        <f>IFERROR(__xludf.DUMMYFUNCTION("""COMPUTED_VALUE"""),"P3 - Medium")</f>
        <v>P3 - Medium</v>
      </c>
      <c r="C490" s="5">
        <f>IFERROR(__xludf.DUMMYFUNCTION("""COMPUTED_VALUE"""),43955.542592592596)</f>
        <v>43955.54259</v>
      </c>
      <c r="D490" s="4" t="str">
        <f>IFERROR(__xludf.DUMMYFUNCTION("""COMPUTED_VALUE"""),"RESOLVED")</f>
        <v>RESOLVED</v>
      </c>
      <c r="E490" s="6">
        <f>IFERROR(__xludf.DUMMYFUNCTION("""COMPUTED_VALUE"""),44384.826944444445)</f>
        <v>44384.82694</v>
      </c>
      <c r="F490" s="4" t="str">
        <f>IFERROR(__xludf.DUMMYFUNCTION("""COMPUTED_VALUE""")," ---")</f>
        <v> ---</v>
      </c>
      <c r="G490" s="4" t="str">
        <f>IFERROR(__xludf.DUMMYFUNCTION("""COMPUTED_VALUE"""),"SUSE Linux Enterprise Server 15 SP2")</f>
        <v>SUSE Linux Enterprise Server 15 SP2</v>
      </c>
      <c r="H490" s="7" t="str">
        <f t="shared" si="2"/>
        <v>NO</v>
      </c>
      <c r="I490" s="7" t="str">
        <f t="shared" si="3"/>
        <v>NO</v>
      </c>
    </row>
    <row r="491">
      <c r="A491" s="4">
        <f>IFERROR(__xludf.DUMMYFUNCTION("""COMPUTED_VALUE"""),1171079.0)</f>
        <v>1171079</v>
      </c>
      <c r="B491" s="4" t="str">
        <f>IFERROR(__xludf.DUMMYFUNCTION("""COMPUTED_VALUE"""),"P3 - Medium")</f>
        <v>P3 - Medium</v>
      </c>
      <c r="C491" s="5">
        <f>IFERROR(__xludf.DUMMYFUNCTION("""COMPUTED_VALUE"""),43955.543854166666)</f>
        <v>43955.54385</v>
      </c>
      <c r="D491" s="4" t="str">
        <f>IFERROR(__xludf.DUMMYFUNCTION("""COMPUTED_VALUE"""),"RESOLVED")</f>
        <v>RESOLVED</v>
      </c>
      <c r="E491" s="6">
        <f>IFERROR(__xludf.DUMMYFUNCTION("""COMPUTED_VALUE"""),44384.82702546296)</f>
        <v>44384.82703</v>
      </c>
      <c r="F491" s="4" t="str">
        <f>IFERROR(__xludf.DUMMYFUNCTION("""COMPUTED_VALUE""")," ---")</f>
        <v> ---</v>
      </c>
      <c r="G491" s="4" t="str">
        <f>IFERROR(__xludf.DUMMYFUNCTION("""COMPUTED_VALUE"""),"SUSE Linux Enterprise Server 15 SP2")</f>
        <v>SUSE Linux Enterprise Server 15 SP2</v>
      </c>
      <c r="H491" s="7" t="str">
        <f t="shared" si="2"/>
        <v>NO</v>
      </c>
      <c r="I491" s="7" t="str">
        <f t="shared" si="3"/>
        <v>NO</v>
      </c>
    </row>
    <row r="492">
      <c r="A492" s="4">
        <f>IFERROR(__xludf.DUMMYFUNCTION("""COMPUTED_VALUE"""),1171080.0)</f>
        <v>1171080</v>
      </c>
      <c r="B492" s="4" t="str">
        <f>IFERROR(__xludf.DUMMYFUNCTION("""COMPUTED_VALUE"""),"P3 - Medium")</f>
        <v>P3 - Medium</v>
      </c>
      <c r="C492" s="5">
        <f>IFERROR(__xludf.DUMMYFUNCTION("""COMPUTED_VALUE"""),43955.54393518518)</f>
        <v>43955.54394</v>
      </c>
      <c r="D492" s="4" t="str">
        <f>IFERROR(__xludf.DUMMYFUNCTION("""COMPUTED_VALUE"""),"RESOLVED")</f>
        <v>RESOLVED</v>
      </c>
      <c r="E492" s="6">
        <f>IFERROR(__xludf.DUMMYFUNCTION("""COMPUTED_VALUE"""),44384.82709490741)</f>
        <v>44384.82709</v>
      </c>
      <c r="F492" s="4" t="str">
        <f>IFERROR(__xludf.DUMMYFUNCTION("""COMPUTED_VALUE""")," ---")</f>
        <v> ---</v>
      </c>
      <c r="G492" s="4" t="str">
        <f>IFERROR(__xludf.DUMMYFUNCTION("""COMPUTED_VALUE"""),"SUSE Linux Enterprise Server 15 SP2")</f>
        <v>SUSE Linux Enterprise Server 15 SP2</v>
      </c>
      <c r="H492" s="7" t="str">
        <f t="shared" si="2"/>
        <v>NO</v>
      </c>
      <c r="I492" s="7" t="str">
        <f t="shared" si="3"/>
        <v>NO</v>
      </c>
    </row>
    <row r="493">
      <c r="A493" s="4">
        <f>IFERROR(__xludf.DUMMYFUNCTION("""COMPUTED_VALUE"""),1171081.0)</f>
        <v>1171081</v>
      </c>
      <c r="B493" s="4" t="str">
        <f>IFERROR(__xludf.DUMMYFUNCTION("""COMPUTED_VALUE"""),"P3 - Medium")</f>
        <v>P3 - Medium</v>
      </c>
      <c r="C493" s="5">
        <f>IFERROR(__xludf.DUMMYFUNCTION("""COMPUTED_VALUE"""),43955.544016203705)</f>
        <v>43955.54402</v>
      </c>
      <c r="D493" s="4" t="str">
        <f>IFERROR(__xludf.DUMMYFUNCTION("""COMPUTED_VALUE"""),"RESOLVED")</f>
        <v>RESOLVED</v>
      </c>
      <c r="E493" s="6">
        <f>IFERROR(__xludf.DUMMYFUNCTION("""COMPUTED_VALUE"""),44384.82717592592)</f>
        <v>44384.82718</v>
      </c>
      <c r="F493" s="4" t="str">
        <f>IFERROR(__xludf.DUMMYFUNCTION("""COMPUTED_VALUE""")," ---")</f>
        <v> ---</v>
      </c>
      <c r="G493" s="4" t="str">
        <f>IFERROR(__xludf.DUMMYFUNCTION("""COMPUTED_VALUE"""),"SUSE Linux Enterprise Server 15 SP2")</f>
        <v>SUSE Linux Enterprise Server 15 SP2</v>
      </c>
      <c r="H493" s="7" t="str">
        <f t="shared" si="2"/>
        <v>NO</v>
      </c>
      <c r="I493" s="7" t="str">
        <f t="shared" si="3"/>
        <v>NO</v>
      </c>
    </row>
    <row r="494">
      <c r="A494" s="4">
        <f>IFERROR(__xludf.DUMMYFUNCTION("""COMPUTED_VALUE"""),1171082.0)</f>
        <v>1171082</v>
      </c>
      <c r="B494" s="4" t="str">
        <f>IFERROR(__xludf.DUMMYFUNCTION("""COMPUTED_VALUE"""),"P3 - Medium")</f>
        <v>P3 - Medium</v>
      </c>
      <c r="C494" s="5">
        <f>IFERROR(__xludf.DUMMYFUNCTION("""COMPUTED_VALUE"""),43955.54409722222)</f>
        <v>43955.5441</v>
      </c>
      <c r="D494" s="4" t="str">
        <f>IFERROR(__xludf.DUMMYFUNCTION("""COMPUTED_VALUE"""),"RESOLVED")</f>
        <v>RESOLVED</v>
      </c>
      <c r="E494" s="6">
        <f>IFERROR(__xludf.DUMMYFUNCTION("""COMPUTED_VALUE"""),44384.82724537037)</f>
        <v>44384.82725</v>
      </c>
      <c r="F494" s="4" t="str">
        <f>IFERROR(__xludf.DUMMYFUNCTION("""COMPUTED_VALUE""")," ---")</f>
        <v> ---</v>
      </c>
      <c r="G494" s="4" t="str">
        <f>IFERROR(__xludf.DUMMYFUNCTION("""COMPUTED_VALUE"""),"SUSE Linux Enterprise Server 15 SP2")</f>
        <v>SUSE Linux Enterprise Server 15 SP2</v>
      </c>
      <c r="H494" s="7" t="str">
        <f t="shared" si="2"/>
        <v>NO</v>
      </c>
      <c r="I494" s="7" t="str">
        <f t="shared" si="3"/>
        <v>NO</v>
      </c>
    </row>
    <row r="495">
      <c r="A495" s="4">
        <f>IFERROR(__xludf.DUMMYFUNCTION("""COMPUTED_VALUE"""),1171083.0)</f>
        <v>1171083</v>
      </c>
      <c r="B495" s="4" t="str">
        <f>IFERROR(__xludf.DUMMYFUNCTION("""COMPUTED_VALUE"""),"P3 - Medium")</f>
        <v>P3 - Medium</v>
      </c>
      <c r="C495" s="5">
        <f>IFERROR(__xludf.DUMMYFUNCTION("""COMPUTED_VALUE"""),43955.54418981481)</f>
        <v>43955.54419</v>
      </c>
      <c r="D495" s="4" t="str">
        <f>IFERROR(__xludf.DUMMYFUNCTION("""COMPUTED_VALUE"""),"RESOLVED")</f>
        <v>RESOLVED</v>
      </c>
      <c r="E495" s="6">
        <f>IFERROR(__xludf.DUMMYFUNCTION("""COMPUTED_VALUE"""),44384.82732638889)</f>
        <v>44384.82733</v>
      </c>
      <c r="F495" s="4" t="str">
        <f>IFERROR(__xludf.DUMMYFUNCTION("""COMPUTED_VALUE""")," ---")</f>
        <v> ---</v>
      </c>
      <c r="G495" s="4" t="str">
        <f>IFERROR(__xludf.DUMMYFUNCTION("""COMPUTED_VALUE"""),"SUSE Linux Enterprise Server 15 SP2")</f>
        <v>SUSE Linux Enterprise Server 15 SP2</v>
      </c>
      <c r="H495" s="7" t="str">
        <f t="shared" si="2"/>
        <v>NO</v>
      </c>
      <c r="I495" s="7" t="str">
        <f t="shared" si="3"/>
        <v>NO</v>
      </c>
    </row>
    <row r="496">
      <c r="A496" s="4">
        <f>IFERROR(__xludf.DUMMYFUNCTION("""COMPUTED_VALUE"""),1171084.0)</f>
        <v>1171084</v>
      </c>
      <c r="B496" s="4" t="str">
        <f>IFERROR(__xludf.DUMMYFUNCTION("""COMPUTED_VALUE"""),"P3 - Medium")</f>
        <v>P3 - Medium</v>
      </c>
      <c r="C496" s="5">
        <f>IFERROR(__xludf.DUMMYFUNCTION("""COMPUTED_VALUE"""),43955.544270833336)</f>
        <v>43955.54427</v>
      </c>
      <c r="D496" s="4" t="str">
        <f>IFERROR(__xludf.DUMMYFUNCTION("""COMPUTED_VALUE"""),"RESOLVED")</f>
        <v>RESOLVED</v>
      </c>
      <c r="E496" s="6">
        <f>IFERROR(__xludf.DUMMYFUNCTION("""COMPUTED_VALUE"""),44384.82739583333)</f>
        <v>44384.8274</v>
      </c>
      <c r="F496" s="4" t="str">
        <f>IFERROR(__xludf.DUMMYFUNCTION("""COMPUTED_VALUE""")," ---")</f>
        <v> ---</v>
      </c>
      <c r="G496" s="4" t="str">
        <f>IFERROR(__xludf.DUMMYFUNCTION("""COMPUTED_VALUE"""),"SUSE Linux Enterprise Server 15 SP2")</f>
        <v>SUSE Linux Enterprise Server 15 SP2</v>
      </c>
      <c r="H496" s="7" t="str">
        <f t="shared" si="2"/>
        <v>NO</v>
      </c>
      <c r="I496" s="7" t="str">
        <f t="shared" si="3"/>
        <v>NO</v>
      </c>
    </row>
    <row r="497">
      <c r="A497" s="4">
        <f>IFERROR(__xludf.DUMMYFUNCTION("""COMPUTED_VALUE"""),1171279.0)</f>
        <v>1171279</v>
      </c>
      <c r="B497" s="4" t="str">
        <f>IFERROR(__xludf.DUMMYFUNCTION("""COMPUTED_VALUE"""),"P3 - Medium")</f>
        <v>P3 - Medium</v>
      </c>
      <c r="C497" s="5">
        <f>IFERROR(__xludf.DUMMYFUNCTION("""COMPUTED_VALUE"""),43957.535162037035)</f>
        <v>43957.53516</v>
      </c>
      <c r="D497" s="4" t="str">
        <f>IFERROR(__xludf.DUMMYFUNCTION("""COMPUTED_VALUE"""),"RESOLVED")</f>
        <v>RESOLVED</v>
      </c>
      <c r="E497" s="6">
        <f>IFERROR(__xludf.DUMMYFUNCTION("""COMPUTED_VALUE"""),44384.82792824074)</f>
        <v>44384.82793</v>
      </c>
      <c r="F497" s="4" t="str">
        <f>IFERROR(__xludf.DUMMYFUNCTION("""COMPUTED_VALUE""")," ---")</f>
        <v> ---</v>
      </c>
      <c r="G497" s="4" t="str">
        <f>IFERROR(__xludf.DUMMYFUNCTION("""COMPUTED_VALUE"""),"SUSE Linux Enterprise Server 15 SP2")</f>
        <v>SUSE Linux Enterprise Server 15 SP2</v>
      </c>
      <c r="H497" s="7" t="str">
        <f t="shared" si="2"/>
        <v>NO</v>
      </c>
      <c r="I497" s="7" t="str">
        <f t="shared" si="3"/>
        <v>NO</v>
      </c>
    </row>
    <row r="498">
      <c r="A498" s="4">
        <f>IFERROR(__xludf.DUMMYFUNCTION("""COMPUTED_VALUE"""),1170391.0)</f>
        <v>1170391</v>
      </c>
      <c r="B498" s="4" t="str">
        <f>IFERROR(__xludf.DUMMYFUNCTION("""COMPUTED_VALUE"""),"P3 - Medium")</f>
        <v>P3 - Medium</v>
      </c>
      <c r="C498" s="5">
        <f>IFERROR(__xludf.DUMMYFUNCTION("""COMPUTED_VALUE"""),43945.132060185184)</f>
        <v>43945.13206</v>
      </c>
      <c r="D498" s="4" t="str">
        <f>IFERROR(__xludf.DUMMYFUNCTION("""COMPUTED_VALUE"""),"RESOLVED")</f>
        <v>RESOLVED</v>
      </c>
      <c r="E498" s="6">
        <f>IFERROR(__xludf.DUMMYFUNCTION("""COMPUTED_VALUE"""),43972.269108796296)</f>
        <v>43972.26911</v>
      </c>
      <c r="F498" s="4" t="str">
        <f>IFERROR(__xludf.DUMMYFUNCTION("""COMPUTED_VALUE""")," ---")</f>
        <v> ---</v>
      </c>
      <c r="G498" s="4" t="str">
        <f>IFERROR(__xludf.DUMMYFUNCTION("""COMPUTED_VALUE"""),"SUSE Linux Enterprise Real Time 15 SP2")</f>
        <v>SUSE Linux Enterprise Real Time 15 SP2</v>
      </c>
      <c r="H498" s="7" t="str">
        <f t="shared" si="2"/>
        <v>NO</v>
      </c>
      <c r="I498" s="7" t="str">
        <f t="shared" si="3"/>
        <v>NO</v>
      </c>
    </row>
    <row r="499">
      <c r="A499" s="4">
        <f>IFERROR(__xludf.DUMMYFUNCTION("""COMPUTED_VALUE"""),1154329.0)</f>
        <v>1154329</v>
      </c>
      <c r="B499" s="4" t="str">
        <f>IFERROR(__xludf.DUMMYFUNCTION("""COMPUTED_VALUE"""),"P3 - Medium")</f>
        <v>P3 - Medium</v>
      </c>
      <c r="C499" s="5">
        <f>IFERROR(__xludf.DUMMYFUNCTION("""COMPUTED_VALUE"""),43755.47087962963)</f>
        <v>43755.47088</v>
      </c>
      <c r="D499" s="4" t="str">
        <f>IFERROR(__xludf.DUMMYFUNCTION("""COMPUTED_VALUE"""),"RESOLVED")</f>
        <v>RESOLVED</v>
      </c>
      <c r="E499" s="6">
        <f>IFERROR(__xludf.DUMMYFUNCTION("""COMPUTED_VALUE"""),44384.78957175926)</f>
        <v>44384.78957</v>
      </c>
      <c r="F499" s="4" t="str">
        <f>IFERROR(__xludf.DUMMYFUNCTION("""COMPUTED_VALUE""")," ---")</f>
        <v> ---</v>
      </c>
      <c r="G499" s="4" t="str">
        <f>IFERROR(__xludf.DUMMYFUNCTION("""COMPUTED_VALUE"""),"SUSE Linux Enterprise Server 15 SP2")</f>
        <v>SUSE Linux Enterprise Server 15 SP2</v>
      </c>
      <c r="H499" s="7" t="str">
        <f t="shared" si="2"/>
        <v>NO</v>
      </c>
      <c r="I499" s="7" t="str">
        <f t="shared" si="3"/>
        <v>NO</v>
      </c>
    </row>
    <row r="500">
      <c r="A500" s="4">
        <f>IFERROR(__xludf.DUMMYFUNCTION("""COMPUTED_VALUE"""),1155628.0)</f>
        <v>1155628</v>
      </c>
      <c r="B500" s="4" t="str">
        <f>IFERROR(__xludf.DUMMYFUNCTION("""COMPUTED_VALUE"""),"P3 - Medium")</f>
        <v>P3 - Medium</v>
      </c>
      <c r="C500" s="5">
        <f>IFERROR(__xludf.DUMMYFUNCTION("""COMPUTED_VALUE"""),43770.37184027778)</f>
        <v>43770.37184</v>
      </c>
      <c r="D500" s="4" t="str">
        <f>IFERROR(__xludf.DUMMYFUNCTION("""COMPUTED_VALUE"""),"RESOLVED")</f>
        <v>RESOLVED</v>
      </c>
      <c r="E500" s="6">
        <f>IFERROR(__xludf.DUMMYFUNCTION("""COMPUTED_VALUE"""),44384.79148148148)</f>
        <v>44384.79148</v>
      </c>
      <c r="F500" s="4" t="str">
        <f>IFERROR(__xludf.DUMMYFUNCTION("""COMPUTED_VALUE""")," ---")</f>
        <v> ---</v>
      </c>
      <c r="G500" s="4" t="str">
        <f>IFERROR(__xludf.DUMMYFUNCTION("""COMPUTED_VALUE"""),"SUSE Linux Enterprise Server 15 SP2")</f>
        <v>SUSE Linux Enterprise Server 15 SP2</v>
      </c>
      <c r="H500" s="7" t="str">
        <f t="shared" si="2"/>
        <v>NO</v>
      </c>
      <c r="I500" s="7" t="str">
        <f t="shared" si="3"/>
        <v>NO</v>
      </c>
    </row>
    <row r="501">
      <c r="A501" s="4">
        <f>IFERROR(__xludf.DUMMYFUNCTION("""COMPUTED_VALUE"""),1155756.0)</f>
        <v>1155756</v>
      </c>
      <c r="B501" s="4" t="str">
        <f>IFERROR(__xludf.DUMMYFUNCTION("""COMPUTED_VALUE"""),"P3 - Medium")</f>
        <v>P3 - Medium</v>
      </c>
      <c r="C501" s="5">
        <f>IFERROR(__xludf.DUMMYFUNCTION("""COMPUTED_VALUE"""),43773.39813657408)</f>
        <v>43773.39814</v>
      </c>
      <c r="D501" s="4" t="str">
        <f>IFERROR(__xludf.DUMMYFUNCTION("""COMPUTED_VALUE"""),"RESOLVED")</f>
        <v>RESOLVED</v>
      </c>
      <c r="E501" s="6">
        <f>IFERROR(__xludf.DUMMYFUNCTION("""COMPUTED_VALUE"""),44384.791550925926)</f>
        <v>44384.79155</v>
      </c>
      <c r="F501" s="4" t="str">
        <f>IFERROR(__xludf.DUMMYFUNCTION("""COMPUTED_VALUE""")," ---")</f>
        <v> ---</v>
      </c>
      <c r="G501" s="4" t="str">
        <f>IFERROR(__xludf.DUMMYFUNCTION("""COMPUTED_VALUE"""),"SUSE Linux Enterprise Server 15 SP2")</f>
        <v>SUSE Linux Enterprise Server 15 SP2</v>
      </c>
      <c r="H501" s="7" t="str">
        <f t="shared" si="2"/>
        <v>NO</v>
      </c>
      <c r="I501" s="7" t="str">
        <f t="shared" si="3"/>
        <v>NO</v>
      </c>
    </row>
    <row r="502">
      <c r="A502" s="4">
        <f>IFERROR(__xludf.DUMMYFUNCTION("""COMPUTED_VALUE"""),1155780.0)</f>
        <v>1155780</v>
      </c>
      <c r="B502" s="4" t="str">
        <f>IFERROR(__xludf.DUMMYFUNCTION("""COMPUTED_VALUE"""),"P3 - Medium")</f>
        <v>P3 - Medium</v>
      </c>
      <c r="C502" s="5">
        <f>IFERROR(__xludf.DUMMYFUNCTION("""COMPUTED_VALUE"""),43773.46849537037)</f>
        <v>43773.4685</v>
      </c>
      <c r="D502" s="4" t="str">
        <f>IFERROR(__xludf.DUMMYFUNCTION("""COMPUTED_VALUE"""),"RESOLVED")</f>
        <v>RESOLVED</v>
      </c>
      <c r="E502" s="6">
        <f>IFERROR(__xludf.DUMMYFUNCTION("""COMPUTED_VALUE"""),44384.79162037037)</f>
        <v>44384.79162</v>
      </c>
      <c r="F502" s="4" t="str">
        <f>IFERROR(__xludf.DUMMYFUNCTION("""COMPUTED_VALUE""")," ---")</f>
        <v> ---</v>
      </c>
      <c r="G502" s="4" t="str">
        <f>IFERROR(__xludf.DUMMYFUNCTION("""COMPUTED_VALUE"""),"SUSE Linux Enterprise Server 15 SP2")</f>
        <v>SUSE Linux Enterprise Server 15 SP2</v>
      </c>
      <c r="H502" s="7" t="str">
        <f t="shared" si="2"/>
        <v>NO</v>
      </c>
      <c r="I502" s="7" t="str">
        <f t="shared" si="3"/>
        <v>NO</v>
      </c>
    </row>
    <row r="503">
      <c r="A503" s="4">
        <f>IFERROR(__xludf.DUMMYFUNCTION("""COMPUTED_VALUE"""),1155798.0)</f>
        <v>1155798</v>
      </c>
      <c r="B503" s="4" t="str">
        <f>IFERROR(__xludf.DUMMYFUNCTION("""COMPUTED_VALUE"""),"P3 - Medium")</f>
        <v>P3 - Medium</v>
      </c>
      <c r="C503" s="5">
        <f>IFERROR(__xludf.DUMMYFUNCTION("""COMPUTED_VALUE"""),43773.55244212963)</f>
        <v>43773.55244</v>
      </c>
      <c r="D503" s="4" t="str">
        <f>IFERROR(__xludf.DUMMYFUNCTION("""COMPUTED_VALUE"""),"RESOLVED")</f>
        <v>RESOLVED</v>
      </c>
      <c r="E503" s="6">
        <f>IFERROR(__xludf.DUMMYFUNCTION("""COMPUTED_VALUE"""),44668.48988425926)</f>
        <v>44668.48988</v>
      </c>
      <c r="F503" s="4" t="str">
        <f>IFERROR(__xludf.DUMMYFUNCTION("""COMPUTED_VALUE""")," ---")</f>
        <v> ---</v>
      </c>
      <c r="G503" s="4" t="str">
        <f>IFERROR(__xludf.DUMMYFUNCTION("""COMPUTED_VALUE"""),"SUSE Linux Enterprise Server 15 SP2")</f>
        <v>SUSE Linux Enterprise Server 15 SP2</v>
      </c>
      <c r="H503" s="7" t="str">
        <f t="shared" si="2"/>
        <v>NO</v>
      </c>
      <c r="I503" s="7" t="str">
        <f t="shared" si="3"/>
        <v>NO</v>
      </c>
    </row>
    <row r="504">
      <c r="A504" s="4">
        <f>IFERROR(__xludf.DUMMYFUNCTION("""COMPUTED_VALUE"""),1160896.0)</f>
        <v>1160896</v>
      </c>
      <c r="B504" s="4" t="str">
        <f>IFERROR(__xludf.DUMMYFUNCTION("""COMPUTED_VALUE"""),"P3 - Medium")</f>
        <v>P3 - Medium</v>
      </c>
      <c r="C504" s="5">
        <f>IFERROR(__xludf.DUMMYFUNCTION("""COMPUTED_VALUE"""),43844.466527777775)</f>
        <v>43844.46653</v>
      </c>
      <c r="D504" s="4" t="str">
        <f>IFERROR(__xludf.DUMMYFUNCTION("""COMPUTED_VALUE"""),"RESOLVED")</f>
        <v>RESOLVED</v>
      </c>
      <c r="E504" s="6">
        <f>IFERROR(__xludf.DUMMYFUNCTION("""COMPUTED_VALUE"""),44384.80126157407)</f>
        <v>44384.80126</v>
      </c>
      <c r="F504" s="4" t="str">
        <f>IFERROR(__xludf.DUMMYFUNCTION("""COMPUTED_VALUE""")," ---")</f>
        <v> ---</v>
      </c>
      <c r="G504" s="4" t="str">
        <f>IFERROR(__xludf.DUMMYFUNCTION("""COMPUTED_VALUE"""),"SUSE Linux Enterprise Server 15 SP2")</f>
        <v>SUSE Linux Enterprise Server 15 SP2</v>
      </c>
      <c r="H504" s="7" t="str">
        <f t="shared" si="2"/>
        <v>NO</v>
      </c>
      <c r="I504" s="7" t="str">
        <f t="shared" si="3"/>
        <v>NO</v>
      </c>
    </row>
    <row r="505">
      <c r="A505" s="4">
        <f>IFERROR(__xludf.DUMMYFUNCTION("""COMPUTED_VALUE"""),1166060.0)</f>
        <v>1166060</v>
      </c>
      <c r="B505" s="4" t="str">
        <f>IFERROR(__xludf.DUMMYFUNCTION("""COMPUTED_VALUE"""),"P3 - Medium")</f>
        <v>P3 - Medium</v>
      </c>
      <c r="C505" s="5">
        <f>IFERROR(__xludf.DUMMYFUNCTION("""COMPUTED_VALUE"""),43899.41619212963)</f>
        <v>43899.41619</v>
      </c>
      <c r="D505" s="4" t="str">
        <f>IFERROR(__xludf.DUMMYFUNCTION("""COMPUTED_VALUE"""),"RESOLVED")</f>
        <v>RESOLVED</v>
      </c>
      <c r="E505" s="6">
        <f>IFERROR(__xludf.DUMMYFUNCTION("""COMPUTED_VALUE"""),44365.26136574074)</f>
        <v>44365.26137</v>
      </c>
      <c r="F505" s="4" t="str">
        <f>IFERROR(__xludf.DUMMYFUNCTION("""COMPUTED_VALUE""")," ---")</f>
        <v> ---</v>
      </c>
      <c r="G505" s="4" t="str">
        <f>IFERROR(__xludf.DUMMYFUNCTION("""COMPUTED_VALUE"""),"SUSE Linux Enterprise Server 15 SP2")</f>
        <v>SUSE Linux Enterprise Server 15 SP2</v>
      </c>
      <c r="H505" s="7" t="str">
        <f t="shared" si="2"/>
        <v>NO</v>
      </c>
      <c r="I505" s="7" t="str">
        <f t="shared" si="3"/>
        <v>NO</v>
      </c>
    </row>
    <row r="506">
      <c r="A506" s="4">
        <f>IFERROR(__xludf.DUMMYFUNCTION("""COMPUTED_VALUE"""),1167415.0)</f>
        <v>1167415</v>
      </c>
      <c r="B506" s="4" t="str">
        <f>IFERROR(__xludf.DUMMYFUNCTION("""COMPUTED_VALUE"""),"P3 - Medium")</f>
        <v>P3 - Medium</v>
      </c>
      <c r="C506" s="5">
        <f>IFERROR(__xludf.DUMMYFUNCTION("""COMPUTED_VALUE"""),43913.44225694444)</f>
        <v>43913.44226</v>
      </c>
      <c r="D506" s="4" t="str">
        <f>IFERROR(__xludf.DUMMYFUNCTION("""COMPUTED_VALUE"""),"RESOLVED")</f>
        <v>RESOLVED</v>
      </c>
      <c r="E506" s="6">
        <f>IFERROR(__xludf.DUMMYFUNCTION("""COMPUTED_VALUE"""),44384.822164351855)</f>
        <v>44384.82216</v>
      </c>
      <c r="F506" s="4" t="str">
        <f>IFERROR(__xludf.DUMMYFUNCTION("""COMPUTED_VALUE""")," ---")</f>
        <v> ---</v>
      </c>
      <c r="G506" s="4" t="str">
        <f>IFERROR(__xludf.DUMMYFUNCTION("""COMPUTED_VALUE"""),"SUSE Linux Enterprise Server 15 SP2")</f>
        <v>SUSE Linux Enterprise Server 15 SP2</v>
      </c>
      <c r="H506" s="7" t="str">
        <f t="shared" si="2"/>
        <v>NO</v>
      </c>
      <c r="I506" s="7" t="str">
        <f t="shared" si="3"/>
        <v>NO</v>
      </c>
    </row>
    <row r="507">
      <c r="A507" s="4">
        <f>IFERROR(__xludf.DUMMYFUNCTION("""COMPUTED_VALUE"""),1168354.0)</f>
        <v>1168354</v>
      </c>
      <c r="B507" s="4" t="str">
        <f>IFERROR(__xludf.DUMMYFUNCTION("""COMPUTED_VALUE"""),"P3 - Medium")</f>
        <v>P3 - Medium</v>
      </c>
      <c r="C507" s="5">
        <f>IFERROR(__xludf.DUMMYFUNCTION("""COMPUTED_VALUE"""),43922.656273148146)</f>
        <v>43922.65627</v>
      </c>
      <c r="D507" s="4" t="str">
        <f>IFERROR(__xludf.DUMMYFUNCTION("""COMPUTED_VALUE"""),"RESOLVED")</f>
        <v>RESOLVED</v>
      </c>
      <c r="E507" s="6">
        <f>IFERROR(__xludf.DUMMYFUNCTION("""COMPUTED_VALUE"""),44384.82336805556)</f>
        <v>44384.82337</v>
      </c>
      <c r="F507" s="4" t="str">
        <f>IFERROR(__xludf.DUMMYFUNCTION("""COMPUTED_VALUE""")," ---")</f>
        <v> ---</v>
      </c>
      <c r="G507" s="4" t="str">
        <f>IFERROR(__xludf.DUMMYFUNCTION("""COMPUTED_VALUE"""),"SUSE Linux Enterprise Server 15 SP2")</f>
        <v>SUSE Linux Enterprise Server 15 SP2</v>
      </c>
      <c r="H507" s="7" t="str">
        <f t="shared" si="2"/>
        <v>NO</v>
      </c>
      <c r="I507" s="7" t="str">
        <f t="shared" si="3"/>
        <v>NO</v>
      </c>
    </row>
    <row r="508">
      <c r="A508" s="4">
        <f>IFERROR(__xludf.DUMMYFUNCTION("""COMPUTED_VALUE"""),1168888.0)</f>
        <v>1168888</v>
      </c>
      <c r="B508" s="4" t="str">
        <f>IFERROR(__xludf.DUMMYFUNCTION("""COMPUTED_VALUE"""),"P3 - Medium")</f>
        <v>P3 - Medium</v>
      </c>
      <c r="C508" s="5">
        <f>IFERROR(__xludf.DUMMYFUNCTION("""COMPUTED_VALUE"""),43928.63597222222)</f>
        <v>43928.63597</v>
      </c>
      <c r="D508" s="4" t="str">
        <f>IFERROR(__xludf.DUMMYFUNCTION("""COMPUTED_VALUE"""),"RESOLVED")</f>
        <v>RESOLVED</v>
      </c>
      <c r="E508" s="6">
        <f>IFERROR(__xludf.DUMMYFUNCTION("""COMPUTED_VALUE"""),44384.82436342593)</f>
        <v>44384.82436</v>
      </c>
      <c r="F508" s="4" t="str">
        <f>IFERROR(__xludf.DUMMYFUNCTION("""COMPUTED_VALUE""")," ---")</f>
        <v> ---</v>
      </c>
      <c r="G508" s="4" t="str">
        <f>IFERROR(__xludf.DUMMYFUNCTION("""COMPUTED_VALUE"""),"SUSE Linux Enterprise Server 15 SP2")</f>
        <v>SUSE Linux Enterprise Server 15 SP2</v>
      </c>
      <c r="H508" s="7" t="str">
        <f t="shared" si="2"/>
        <v>NO</v>
      </c>
      <c r="I508" s="7" t="str">
        <f t="shared" si="3"/>
        <v>NO</v>
      </c>
    </row>
    <row r="509">
      <c r="A509" s="4">
        <f>IFERROR(__xludf.DUMMYFUNCTION("""COMPUTED_VALUE"""),1169078.0)</f>
        <v>1169078</v>
      </c>
      <c r="B509" s="4" t="str">
        <f>IFERROR(__xludf.DUMMYFUNCTION("""COMPUTED_VALUE"""),"P3 - Medium")</f>
        <v>P3 - Medium</v>
      </c>
      <c r="C509" s="5">
        <f>IFERROR(__xludf.DUMMYFUNCTION("""COMPUTED_VALUE"""),43930.450474537036)</f>
        <v>43930.45047</v>
      </c>
      <c r="D509" s="4" t="str">
        <f>IFERROR(__xludf.DUMMYFUNCTION("""COMPUTED_VALUE"""),"RESOLVED")</f>
        <v>RESOLVED</v>
      </c>
      <c r="E509" s="6">
        <f>IFERROR(__xludf.DUMMYFUNCTION("""COMPUTED_VALUE"""),44384.8253125)</f>
        <v>44384.82531</v>
      </c>
      <c r="F509" s="4" t="str">
        <f>IFERROR(__xludf.DUMMYFUNCTION("""COMPUTED_VALUE""")," ---")</f>
        <v> ---</v>
      </c>
      <c r="G509" s="4" t="str">
        <f>IFERROR(__xludf.DUMMYFUNCTION("""COMPUTED_VALUE"""),"SUSE Linux Enterprise Server 15 SP2")</f>
        <v>SUSE Linux Enterprise Server 15 SP2</v>
      </c>
      <c r="H509" s="7" t="str">
        <f t="shared" si="2"/>
        <v>NO</v>
      </c>
      <c r="I509" s="7" t="str">
        <f t="shared" si="3"/>
        <v>NO</v>
      </c>
    </row>
    <row r="510">
      <c r="A510" s="4">
        <f>IFERROR(__xludf.DUMMYFUNCTION("""COMPUTED_VALUE"""),1167625.0)</f>
        <v>1167625</v>
      </c>
      <c r="B510" s="4" t="str">
        <f>IFERROR(__xludf.DUMMYFUNCTION("""COMPUTED_VALUE"""),"P3 - Medium")</f>
        <v>P3 - Medium</v>
      </c>
      <c r="C510" s="5">
        <f>IFERROR(__xludf.DUMMYFUNCTION("""COMPUTED_VALUE"""),43915.33037037037)</f>
        <v>43915.33037</v>
      </c>
      <c r="D510" s="4" t="str">
        <f>IFERROR(__xludf.DUMMYFUNCTION("""COMPUTED_VALUE"""),"RESOLVED")</f>
        <v>RESOLVED</v>
      </c>
      <c r="E510" s="6">
        <f>IFERROR(__xludf.DUMMYFUNCTION("""COMPUTED_VALUE"""),43920.40087962963)</f>
        <v>43920.40088</v>
      </c>
      <c r="F510" s="4" t="str">
        <f>IFERROR(__xludf.DUMMYFUNCTION("""COMPUTED_VALUE""")," ---")</f>
        <v> ---</v>
      </c>
      <c r="G510" s="4" t="str">
        <f>IFERROR(__xludf.DUMMYFUNCTION("""COMPUTED_VALUE"""),"SUSE Linux Enterprise Server 15 SP2")</f>
        <v>SUSE Linux Enterprise Server 15 SP2</v>
      </c>
      <c r="H510" s="7" t="str">
        <f t="shared" si="2"/>
        <v>NO</v>
      </c>
      <c r="I510" s="7" t="str">
        <f t="shared" si="3"/>
        <v>NO</v>
      </c>
    </row>
    <row r="511">
      <c r="A511" s="4">
        <f>IFERROR(__xludf.DUMMYFUNCTION("""COMPUTED_VALUE"""),1169681.0)</f>
        <v>1169681</v>
      </c>
      <c r="B511" s="4" t="str">
        <f>IFERROR(__xludf.DUMMYFUNCTION("""COMPUTED_VALUE"""),"P3 - Medium")</f>
        <v>P3 - Medium</v>
      </c>
      <c r="C511" s="5">
        <f>IFERROR(__xludf.DUMMYFUNCTION("""COMPUTED_VALUE"""),43937.67138888889)</f>
        <v>43937.67139</v>
      </c>
      <c r="D511" s="4" t="str">
        <f>IFERROR(__xludf.DUMMYFUNCTION("""COMPUTED_VALUE"""),"RESOLVED")</f>
        <v>RESOLVED</v>
      </c>
      <c r="E511" s="6">
        <f>IFERROR(__xludf.DUMMYFUNCTION("""COMPUTED_VALUE"""),44384.82576388889)</f>
        <v>44384.82576</v>
      </c>
      <c r="F511" s="4" t="str">
        <f>IFERROR(__xludf.DUMMYFUNCTION("""COMPUTED_VALUE""")," ---")</f>
        <v> ---</v>
      </c>
      <c r="G511" s="4" t="str">
        <f>IFERROR(__xludf.DUMMYFUNCTION("""COMPUTED_VALUE"""),"SUSE Linux Enterprise Server 15 SP2")</f>
        <v>SUSE Linux Enterprise Server 15 SP2</v>
      </c>
      <c r="H511" s="7" t="str">
        <f t="shared" si="2"/>
        <v>NO</v>
      </c>
      <c r="I511" s="7" t="str">
        <f t="shared" si="3"/>
        <v>NO</v>
      </c>
    </row>
    <row r="512">
      <c r="A512" s="4">
        <f>IFERROR(__xludf.DUMMYFUNCTION("""COMPUTED_VALUE"""),1171068.0)</f>
        <v>1171068</v>
      </c>
      <c r="B512" s="4" t="str">
        <f>IFERROR(__xludf.DUMMYFUNCTION("""COMPUTED_VALUE"""),"P3 - Medium")</f>
        <v>P3 - Medium</v>
      </c>
      <c r="C512" s="5">
        <f>IFERROR(__xludf.DUMMYFUNCTION("""COMPUTED_VALUE"""),43955.515625)</f>
        <v>43955.51563</v>
      </c>
      <c r="D512" s="4" t="str">
        <f>IFERROR(__xludf.DUMMYFUNCTION("""COMPUTED_VALUE"""),"RESOLVED")</f>
        <v>RESOLVED</v>
      </c>
      <c r="E512" s="6">
        <f>IFERROR(__xludf.DUMMYFUNCTION("""COMPUTED_VALUE"""),44384.82670138889)</f>
        <v>44384.8267</v>
      </c>
      <c r="F512" s="4" t="str">
        <f>IFERROR(__xludf.DUMMYFUNCTION("""COMPUTED_VALUE""")," ---")</f>
        <v> ---</v>
      </c>
      <c r="G512" s="4" t="str">
        <f>IFERROR(__xludf.DUMMYFUNCTION("""COMPUTED_VALUE"""),"SUSE Linux Enterprise Server 15 SP2")</f>
        <v>SUSE Linux Enterprise Server 15 SP2</v>
      </c>
      <c r="H512" s="7" t="str">
        <f t="shared" si="2"/>
        <v>NO</v>
      </c>
      <c r="I512" s="7" t="str">
        <f t="shared" si="3"/>
        <v>NO</v>
      </c>
    </row>
    <row r="513">
      <c r="A513" s="4">
        <f>IFERROR(__xludf.DUMMYFUNCTION("""COMPUTED_VALUE"""),1173271.0)</f>
        <v>1173271</v>
      </c>
      <c r="B513" s="4" t="str">
        <f>IFERROR(__xludf.DUMMYFUNCTION("""COMPUTED_VALUE"""),"P3 - Medium")</f>
        <v>P3 - Medium</v>
      </c>
      <c r="C513" s="5">
        <f>IFERROR(__xludf.DUMMYFUNCTION("""COMPUTED_VALUE"""),44005.553402777776)</f>
        <v>44005.5534</v>
      </c>
      <c r="D513" s="4" t="str">
        <f>IFERROR(__xludf.DUMMYFUNCTION("""COMPUTED_VALUE"""),"RESOLVED")</f>
        <v>RESOLVED</v>
      </c>
      <c r="E513" s="6">
        <f>IFERROR(__xludf.DUMMYFUNCTION("""COMPUTED_VALUE"""),44384.835960648146)</f>
        <v>44384.83596</v>
      </c>
      <c r="F513" s="4" t="str">
        <f>IFERROR(__xludf.DUMMYFUNCTION("""COMPUTED_VALUE""")," ---")</f>
        <v> ---</v>
      </c>
      <c r="G513" s="4" t="str">
        <f>IFERROR(__xludf.DUMMYFUNCTION("""COMPUTED_VALUE"""),"SUSE Linux Enterprise Server 15 SP2")</f>
        <v>SUSE Linux Enterprise Server 15 SP2</v>
      </c>
      <c r="H513" s="7" t="str">
        <f t="shared" si="2"/>
        <v>NO</v>
      </c>
      <c r="I513" s="7" t="str">
        <f t="shared" si="3"/>
        <v>NO</v>
      </c>
    </row>
    <row r="514">
      <c r="A514" s="4">
        <f>IFERROR(__xludf.DUMMYFUNCTION("""COMPUTED_VALUE"""),1163988.0)</f>
        <v>1163988</v>
      </c>
      <c r="B514" s="4" t="str">
        <f>IFERROR(__xludf.DUMMYFUNCTION("""COMPUTED_VALUE"""),"P3 - Medium")</f>
        <v>P3 - Medium</v>
      </c>
      <c r="C514" s="5">
        <f>IFERROR(__xludf.DUMMYFUNCTION("""COMPUTED_VALUE"""),43878.75987268519)</f>
        <v>43878.75987</v>
      </c>
      <c r="D514" s="4" t="str">
        <f>IFERROR(__xludf.DUMMYFUNCTION("""COMPUTED_VALUE"""),"RESOLVED")</f>
        <v>RESOLVED</v>
      </c>
      <c r="E514" s="6">
        <f>IFERROR(__xludf.DUMMYFUNCTION("""COMPUTED_VALUE"""),44384.80652777778)</f>
        <v>44384.80653</v>
      </c>
      <c r="F514" s="4" t="str">
        <f>IFERROR(__xludf.DUMMYFUNCTION("""COMPUTED_VALUE""")," ---")</f>
        <v> ---</v>
      </c>
      <c r="G514" s="4" t="str">
        <f>IFERROR(__xludf.DUMMYFUNCTION("""COMPUTED_VALUE"""),"SUSE Linux Enterprise Server 15 SP2")</f>
        <v>SUSE Linux Enterprise Server 15 SP2</v>
      </c>
      <c r="H514" s="7" t="str">
        <f t="shared" si="2"/>
        <v>NO</v>
      </c>
      <c r="I514" s="7" t="str">
        <f t="shared" si="3"/>
        <v>NO</v>
      </c>
    </row>
    <row r="515">
      <c r="A515" s="4">
        <f>IFERROR(__xludf.DUMMYFUNCTION("""COMPUTED_VALUE"""),1164094.0)</f>
        <v>1164094</v>
      </c>
      <c r="B515" s="4" t="str">
        <f>IFERROR(__xludf.DUMMYFUNCTION("""COMPUTED_VALUE"""),"P3 - Medium")</f>
        <v>P3 - Medium</v>
      </c>
      <c r="C515" s="5">
        <f>IFERROR(__xludf.DUMMYFUNCTION("""COMPUTED_VALUE"""),43879.43203703704)</f>
        <v>43879.43204</v>
      </c>
      <c r="D515" s="4" t="str">
        <f>IFERROR(__xludf.DUMMYFUNCTION("""COMPUTED_VALUE"""),"RESOLVED")</f>
        <v>RESOLVED</v>
      </c>
      <c r="E515" s="6">
        <f>IFERROR(__xludf.DUMMYFUNCTION("""COMPUTED_VALUE"""),44384.806597222225)</f>
        <v>44384.8066</v>
      </c>
      <c r="F515" s="4" t="str">
        <f>IFERROR(__xludf.DUMMYFUNCTION("""COMPUTED_VALUE""")," ---")</f>
        <v> ---</v>
      </c>
      <c r="G515" s="4" t="str">
        <f>IFERROR(__xludf.DUMMYFUNCTION("""COMPUTED_VALUE"""),"SUSE Linux Enterprise Server 15 SP2")</f>
        <v>SUSE Linux Enterprise Server 15 SP2</v>
      </c>
      <c r="H515" s="7" t="str">
        <f t="shared" si="2"/>
        <v>NO</v>
      </c>
      <c r="I515" s="7" t="str">
        <f t="shared" si="3"/>
        <v>NO</v>
      </c>
    </row>
    <row r="516">
      <c r="A516" s="4">
        <f>IFERROR(__xludf.DUMMYFUNCTION("""COMPUTED_VALUE"""),1167151.0)</f>
        <v>1167151</v>
      </c>
      <c r="B516" s="4" t="str">
        <f>IFERROR(__xludf.DUMMYFUNCTION("""COMPUTED_VALUE"""),"P3 - Medium")</f>
        <v>P3 - Medium</v>
      </c>
      <c r="C516" s="5">
        <f>IFERROR(__xludf.DUMMYFUNCTION("""COMPUTED_VALUE"""),43909.73873842593)</f>
        <v>43909.73874</v>
      </c>
      <c r="D516" s="4" t="str">
        <f>IFERROR(__xludf.DUMMYFUNCTION("""COMPUTED_VALUE"""),"RESOLVED")</f>
        <v>RESOLVED</v>
      </c>
      <c r="E516" s="6">
        <f>IFERROR(__xludf.DUMMYFUNCTION("""COMPUTED_VALUE"""),44384.82162037037)</f>
        <v>44384.82162</v>
      </c>
      <c r="F516" s="4" t="str">
        <f>IFERROR(__xludf.DUMMYFUNCTION("""COMPUTED_VALUE""")," ---")</f>
        <v> ---</v>
      </c>
      <c r="G516" s="4" t="str">
        <f>IFERROR(__xludf.DUMMYFUNCTION("""COMPUTED_VALUE"""),"SUSE Linux Enterprise Server 15 SP2")</f>
        <v>SUSE Linux Enterprise Server 15 SP2</v>
      </c>
      <c r="H516" s="7" t="str">
        <f t="shared" si="2"/>
        <v>NO</v>
      </c>
      <c r="I516" s="7" t="str">
        <f t="shared" si="3"/>
        <v>NO</v>
      </c>
    </row>
    <row r="517">
      <c r="A517" s="4">
        <f>IFERROR(__xludf.DUMMYFUNCTION("""COMPUTED_VALUE"""),1167241.0)</f>
        <v>1167241</v>
      </c>
      <c r="B517" s="4" t="str">
        <f>IFERROR(__xludf.DUMMYFUNCTION("""COMPUTED_VALUE"""),"P3 - Medium")</f>
        <v>P3 - Medium</v>
      </c>
      <c r="C517" s="5">
        <f>IFERROR(__xludf.DUMMYFUNCTION("""COMPUTED_VALUE"""),43910.477175925924)</f>
        <v>43910.47718</v>
      </c>
      <c r="D517" s="4" t="str">
        <f>IFERROR(__xludf.DUMMYFUNCTION("""COMPUTED_VALUE"""),"RESOLVED")</f>
        <v>RESOLVED</v>
      </c>
      <c r="E517" s="6">
        <f>IFERROR(__xludf.DUMMYFUNCTION("""COMPUTED_VALUE"""),44529.55416666667)</f>
        <v>44529.55417</v>
      </c>
      <c r="F517" s="4" t="str">
        <f>IFERROR(__xludf.DUMMYFUNCTION("""COMPUTED_VALUE""")," ---")</f>
        <v> ---</v>
      </c>
      <c r="G517" s="4" t="str">
        <f>IFERROR(__xludf.DUMMYFUNCTION("""COMPUTED_VALUE"""),"SUSE Linux Enterprise Server 15 SP2")</f>
        <v>SUSE Linux Enterprise Server 15 SP2</v>
      </c>
      <c r="H517" s="7" t="str">
        <f t="shared" si="2"/>
        <v>NO</v>
      </c>
      <c r="I517" s="7" t="str">
        <f t="shared" si="3"/>
        <v>NO</v>
      </c>
    </row>
    <row r="518">
      <c r="A518" s="4">
        <f>IFERROR(__xludf.DUMMYFUNCTION("""COMPUTED_VALUE"""),1168230.0)</f>
        <v>1168230</v>
      </c>
      <c r="B518" s="4" t="str">
        <f>IFERROR(__xludf.DUMMYFUNCTION("""COMPUTED_VALUE"""),"P3 - Medium")</f>
        <v>P3 - Medium</v>
      </c>
      <c r="C518" s="5">
        <f>IFERROR(__xludf.DUMMYFUNCTION("""COMPUTED_VALUE"""),43921.80210648148)</f>
        <v>43921.80211</v>
      </c>
      <c r="D518" s="4" t="str">
        <f>IFERROR(__xludf.DUMMYFUNCTION("""COMPUTED_VALUE"""),"RESOLVED")</f>
        <v>RESOLVED</v>
      </c>
      <c r="E518" s="6">
        <f>IFERROR(__xludf.DUMMYFUNCTION("""COMPUTED_VALUE"""),44384.82314814815)</f>
        <v>44384.82315</v>
      </c>
      <c r="F518" s="4" t="str">
        <f>IFERROR(__xludf.DUMMYFUNCTION("""COMPUTED_VALUE""")," ---")</f>
        <v> ---</v>
      </c>
      <c r="G518" s="4" t="str">
        <f>IFERROR(__xludf.DUMMYFUNCTION("""COMPUTED_VALUE"""),"SUSE Linux Enterprise Server 15 SP2")</f>
        <v>SUSE Linux Enterprise Server 15 SP2</v>
      </c>
      <c r="H518" s="7" t="str">
        <f t="shared" si="2"/>
        <v>NO</v>
      </c>
      <c r="I518" s="7" t="str">
        <f t="shared" si="3"/>
        <v>NO</v>
      </c>
    </row>
    <row r="519">
      <c r="A519" s="4">
        <f>IFERROR(__xludf.DUMMYFUNCTION("""COMPUTED_VALUE"""),1169539.0)</f>
        <v>1169539</v>
      </c>
      <c r="B519" s="4" t="str">
        <f>IFERROR(__xludf.DUMMYFUNCTION("""COMPUTED_VALUE"""),"P3 - Medium")</f>
        <v>P3 - Medium</v>
      </c>
      <c r="C519" s="5">
        <f>IFERROR(__xludf.DUMMYFUNCTION("""COMPUTED_VALUE"""),43936.458344907405)</f>
        <v>43936.45834</v>
      </c>
      <c r="D519" s="4" t="str">
        <f>IFERROR(__xludf.DUMMYFUNCTION("""COMPUTED_VALUE"""),"RESOLVED")</f>
        <v>RESOLVED</v>
      </c>
      <c r="E519" s="6">
        <f>IFERROR(__xludf.DUMMYFUNCTION("""COMPUTED_VALUE"""),44140.60082175926)</f>
        <v>44140.60082</v>
      </c>
      <c r="F519" s="4" t="str">
        <f>IFERROR(__xludf.DUMMYFUNCTION("""COMPUTED_VALUE""")," ---")</f>
        <v> ---</v>
      </c>
      <c r="G519" s="4" t="str">
        <f>IFERROR(__xludf.DUMMYFUNCTION("""COMPUTED_VALUE"""),"SUSE Linux Enterprise Server 15 SP2")</f>
        <v>SUSE Linux Enterprise Server 15 SP2</v>
      </c>
      <c r="H519" s="7" t="str">
        <f t="shared" si="2"/>
        <v>NO</v>
      </c>
      <c r="I519" s="7" t="str">
        <f t="shared" si="3"/>
        <v>NO</v>
      </c>
    </row>
    <row r="520">
      <c r="A520" s="4">
        <f>IFERROR(__xludf.DUMMYFUNCTION("""COMPUTED_VALUE"""),1171529.0)</f>
        <v>1171529</v>
      </c>
      <c r="B520" s="4" t="str">
        <f>IFERROR(__xludf.DUMMYFUNCTION("""COMPUTED_VALUE"""),"P3 - Medium")</f>
        <v>P3 - Medium</v>
      </c>
      <c r="C520" s="5">
        <f>IFERROR(__xludf.DUMMYFUNCTION("""COMPUTED_VALUE"""),43963.67414351852)</f>
        <v>43963.67414</v>
      </c>
      <c r="D520" s="4" t="str">
        <f>IFERROR(__xludf.DUMMYFUNCTION("""COMPUTED_VALUE"""),"RESOLVED")</f>
        <v>RESOLVED</v>
      </c>
      <c r="E520" s="6">
        <f>IFERROR(__xludf.DUMMYFUNCTION("""COMPUTED_VALUE"""),44362.57609953704)</f>
        <v>44362.5761</v>
      </c>
      <c r="F520" s="4" t="str">
        <f>IFERROR(__xludf.DUMMYFUNCTION("""COMPUTED_VALUE""")," ---")</f>
        <v> ---</v>
      </c>
      <c r="G520" s="4" t="str">
        <f>IFERROR(__xludf.DUMMYFUNCTION("""COMPUTED_VALUE"""),"SUSE Linux Enterprise Server 15 SP2")</f>
        <v>SUSE Linux Enterprise Server 15 SP2</v>
      </c>
      <c r="H520" s="7" t="str">
        <f t="shared" si="2"/>
        <v>NO</v>
      </c>
      <c r="I520" s="7" t="str">
        <f t="shared" si="3"/>
        <v>NO</v>
      </c>
    </row>
    <row r="521">
      <c r="A521" s="4">
        <f>IFERROR(__xludf.DUMMYFUNCTION("""COMPUTED_VALUE"""),1171857.0)</f>
        <v>1171857</v>
      </c>
      <c r="B521" s="4" t="str">
        <f>IFERROR(__xludf.DUMMYFUNCTION("""COMPUTED_VALUE"""),"P3 - Medium")</f>
        <v>P3 - Medium</v>
      </c>
      <c r="C521" s="5">
        <f>IFERROR(__xludf.DUMMYFUNCTION("""COMPUTED_VALUE"""),43970.278912037036)</f>
        <v>43970.27891</v>
      </c>
      <c r="D521" s="4" t="str">
        <f>IFERROR(__xludf.DUMMYFUNCTION("""COMPUTED_VALUE"""),"RESOLVED")</f>
        <v>RESOLVED</v>
      </c>
      <c r="E521" s="6">
        <f>IFERROR(__xludf.DUMMYFUNCTION("""COMPUTED_VALUE"""),44384.83199074074)</f>
        <v>44384.83199</v>
      </c>
      <c r="F521" s="4" t="str">
        <f>IFERROR(__xludf.DUMMYFUNCTION("""COMPUTED_VALUE""")," ---")</f>
        <v> ---</v>
      </c>
      <c r="G521" s="4" t="str">
        <f>IFERROR(__xludf.DUMMYFUNCTION("""COMPUTED_VALUE"""),"SUSE Linux Enterprise Server 15 SP2")</f>
        <v>SUSE Linux Enterprise Server 15 SP2</v>
      </c>
      <c r="H521" s="7" t="str">
        <f t="shared" si="2"/>
        <v>NO</v>
      </c>
      <c r="I521" s="7" t="str">
        <f t="shared" si="3"/>
        <v>NO</v>
      </c>
    </row>
    <row r="522">
      <c r="A522" s="4">
        <f>IFERROR(__xludf.DUMMYFUNCTION("""COMPUTED_VALUE"""),1156395.0)</f>
        <v>1156395</v>
      </c>
      <c r="B522" s="4" t="str">
        <f>IFERROR(__xludf.DUMMYFUNCTION("""COMPUTED_VALUE"""),"P3 - Medium")</f>
        <v>P3 - Medium</v>
      </c>
      <c r="C522" s="5">
        <f>IFERROR(__xludf.DUMMYFUNCTION("""COMPUTED_VALUE"""),43780.38605324074)</f>
        <v>43780.38605</v>
      </c>
      <c r="D522" s="4" t="str">
        <f>IFERROR(__xludf.DUMMYFUNCTION("""COMPUTED_VALUE"""),"RESOLVED")</f>
        <v>RESOLVED</v>
      </c>
      <c r="E522" s="6">
        <f>IFERROR(__xludf.DUMMYFUNCTION("""COMPUTED_VALUE"""),44736.681539351855)</f>
        <v>44736.68154</v>
      </c>
      <c r="F522" s="4" t="str">
        <f>IFERROR(__xludf.DUMMYFUNCTION("""COMPUTED_VALUE""")," ---")</f>
        <v> ---</v>
      </c>
      <c r="G522" s="4" t="str">
        <f>IFERROR(__xludf.DUMMYFUNCTION("""COMPUTED_VALUE"""),"SUSE Linux Enterprise Server 15 SP2")</f>
        <v>SUSE Linux Enterprise Server 15 SP2</v>
      </c>
      <c r="H522" s="7" t="str">
        <f t="shared" si="2"/>
        <v>NO</v>
      </c>
      <c r="I522" s="7" t="str">
        <f t="shared" si="3"/>
        <v>NO</v>
      </c>
    </row>
    <row r="523">
      <c r="A523" s="4">
        <f>IFERROR(__xludf.DUMMYFUNCTION("""COMPUTED_VALUE"""),1161291.0)</f>
        <v>1161291</v>
      </c>
      <c r="B523" s="4" t="str">
        <f>IFERROR(__xludf.DUMMYFUNCTION("""COMPUTED_VALUE"""),"P3 - Medium")</f>
        <v>P3 - Medium</v>
      </c>
      <c r="C523" s="5">
        <f>IFERROR(__xludf.DUMMYFUNCTION("""COMPUTED_VALUE"""),43850.34756944444)</f>
        <v>43850.34757</v>
      </c>
      <c r="D523" s="4" t="str">
        <f>IFERROR(__xludf.DUMMYFUNCTION("""COMPUTED_VALUE"""),"RESOLVED")</f>
        <v>RESOLVED</v>
      </c>
      <c r="E523" s="6">
        <f>IFERROR(__xludf.DUMMYFUNCTION("""COMPUTED_VALUE"""),44384.801724537036)</f>
        <v>44384.80172</v>
      </c>
      <c r="F523" s="4" t="str">
        <f>IFERROR(__xludf.DUMMYFUNCTION("""COMPUTED_VALUE""")," ---")</f>
        <v> ---</v>
      </c>
      <c r="G523" s="4" t="str">
        <f>IFERROR(__xludf.DUMMYFUNCTION("""COMPUTED_VALUE"""),"SUSE Linux Enterprise Server 15 SP2")</f>
        <v>SUSE Linux Enterprise Server 15 SP2</v>
      </c>
      <c r="H523" s="7" t="str">
        <f t="shared" si="2"/>
        <v>NO</v>
      </c>
      <c r="I523" s="7" t="str">
        <f t="shared" si="3"/>
        <v>NO</v>
      </c>
    </row>
    <row r="524">
      <c r="A524" s="4">
        <f>IFERROR(__xludf.DUMMYFUNCTION("""COMPUTED_VALUE"""),1162400.0)</f>
        <v>1162400</v>
      </c>
      <c r="B524" s="4" t="str">
        <f>IFERROR(__xludf.DUMMYFUNCTION("""COMPUTED_VALUE"""),"P3 - Medium")</f>
        <v>P3 - Medium</v>
      </c>
      <c r="C524" s="5">
        <f>IFERROR(__xludf.DUMMYFUNCTION("""COMPUTED_VALUE"""),43861.688576388886)</f>
        <v>43861.68858</v>
      </c>
      <c r="D524" s="4" t="str">
        <f>IFERROR(__xludf.DUMMYFUNCTION("""COMPUTED_VALUE"""),"RESOLVED")</f>
        <v>RESOLVED</v>
      </c>
      <c r="E524" s="6">
        <f>IFERROR(__xludf.DUMMYFUNCTION("""COMPUTED_VALUE"""),44384.80300925926)</f>
        <v>44384.80301</v>
      </c>
      <c r="F524" s="4" t="str">
        <f>IFERROR(__xludf.DUMMYFUNCTION("""COMPUTED_VALUE""")," ---")</f>
        <v> ---</v>
      </c>
      <c r="G524" s="4" t="str">
        <f>IFERROR(__xludf.DUMMYFUNCTION("""COMPUTED_VALUE"""),"SUSE Linux Enterprise Server 15 SP2")</f>
        <v>SUSE Linux Enterprise Server 15 SP2</v>
      </c>
      <c r="H524" s="7" t="str">
        <f t="shared" si="2"/>
        <v>NO</v>
      </c>
      <c r="I524" s="7" t="str">
        <f t="shared" si="3"/>
        <v>YES</v>
      </c>
    </row>
    <row r="525">
      <c r="A525" s="4">
        <f>IFERROR(__xludf.DUMMYFUNCTION("""COMPUTED_VALUE"""),1163838.0)</f>
        <v>1163838</v>
      </c>
      <c r="B525" s="4" t="str">
        <f>IFERROR(__xludf.DUMMYFUNCTION("""COMPUTED_VALUE"""),"P3 - Medium")</f>
        <v>P3 - Medium</v>
      </c>
      <c r="C525" s="5">
        <f>IFERROR(__xludf.DUMMYFUNCTION("""COMPUTED_VALUE"""),43878.46690972222)</f>
        <v>43878.46691</v>
      </c>
      <c r="D525" s="4" t="str">
        <f>IFERROR(__xludf.DUMMYFUNCTION("""COMPUTED_VALUE"""),"RESOLVED")</f>
        <v>RESOLVED</v>
      </c>
      <c r="E525" s="6">
        <f>IFERROR(__xludf.DUMMYFUNCTION("""COMPUTED_VALUE"""),44384.80465277778)</f>
        <v>44384.80465</v>
      </c>
      <c r="F525" s="4" t="str">
        <f>IFERROR(__xludf.DUMMYFUNCTION("""COMPUTED_VALUE""")," ---")</f>
        <v> ---</v>
      </c>
      <c r="G525" s="4" t="str">
        <f>IFERROR(__xludf.DUMMYFUNCTION("""COMPUTED_VALUE"""),"SUSE Linux Enterprise Server 15 SP2")</f>
        <v>SUSE Linux Enterprise Server 15 SP2</v>
      </c>
      <c r="H525" s="7" t="str">
        <f t="shared" si="2"/>
        <v>NO</v>
      </c>
      <c r="I525" s="7" t="str">
        <f t="shared" si="3"/>
        <v>NO</v>
      </c>
    </row>
    <row r="526">
      <c r="A526" s="4">
        <f>IFERROR(__xludf.DUMMYFUNCTION("""COMPUTED_VALUE"""),1165813.0)</f>
        <v>1165813</v>
      </c>
      <c r="B526" s="4" t="str">
        <f>IFERROR(__xludf.DUMMYFUNCTION("""COMPUTED_VALUE"""),"P3 - Medium")</f>
        <v>P3 - Medium</v>
      </c>
      <c r="C526" s="5">
        <f>IFERROR(__xludf.DUMMYFUNCTION("""COMPUTED_VALUE"""),43895.56297453704)</f>
        <v>43895.56297</v>
      </c>
      <c r="D526" s="4" t="str">
        <f>IFERROR(__xludf.DUMMYFUNCTION("""COMPUTED_VALUE"""),"RESOLVED")</f>
        <v>RESOLVED</v>
      </c>
      <c r="E526" s="6">
        <f>IFERROR(__xludf.DUMMYFUNCTION("""COMPUTED_VALUE"""),44624.91979166667)</f>
        <v>44624.91979</v>
      </c>
      <c r="F526" s="4" t="str">
        <f>IFERROR(__xludf.DUMMYFUNCTION("""COMPUTED_VALUE""")," ---")</f>
        <v> ---</v>
      </c>
      <c r="G526" s="4" t="str">
        <f>IFERROR(__xludf.DUMMYFUNCTION("""COMPUTED_VALUE"""),"SUSE Linux Enterprise Server 15 SP2")</f>
        <v>SUSE Linux Enterprise Server 15 SP2</v>
      </c>
      <c r="H526" s="7" t="str">
        <f t="shared" si="2"/>
        <v>NO</v>
      </c>
      <c r="I526" s="7" t="str">
        <f t="shared" si="3"/>
        <v>NO</v>
      </c>
    </row>
    <row r="527">
      <c r="A527" s="4">
        <f>IFERROR(__xludf.DUMMYFUNCTION("""COMPUTED_VALUE"""),1171699.0)</f>
        <v>1171699</v>
      </c>
      <c r="B527" s="4" t="str">
        <f>IFERROR(__xludf.DUMMYFUNCTION("""COMPUTED_VALUE"""),"P3 - Medium")</f>
        <v>P3 - Medium</v>
      </c>
      <c r="C527" s="5">
        <f>IFERROR(__xludf.DUMMYFUNCTION("""COMPUTED_VALUE"""),43965.712916666664)</f>
        <v>43965.71292</v>
      </c>
      <c r="D527" s="4" t="str">
        <f>IFERROR(__xludf.DUMMYFUNCTION("""COMPUTED_VALUE"""),"RESOLVED")</f>
        <v>RESOLVED</v>
      </c>
      <c r="E527" s="6">
        <f>IFERROR(__xludf.DUMMYFUNCTION("""COMPUTED_VALUE"""),44384.82895833333)</f>
        <v>44384.82896</v>
      </c>
      <c r="F527" s="4" t="str">
        <f>IFERROR(__xludf.DUMMYFUNCTION("""COMPUTED_VALUE""")," ---")</f>
        <v> ---</v>
      </c>
      <c r="G527" s="4" t="str">
        <f>IFERROR(__xludf.DUMMYFUNCTION("""COMPUTED_VALUE"""),"SUSE Linux Enterprise Server 15 SP2")</f>
        <v>SUSE Linux Enterprise Server 15 SP2</v>
      </c>
      <c r="H527" s="7" t="str">
        <f t="shared" si="2"/>
        <v>NO</v>
      </c>
      <c r="I527" s="7" t="str">
        <f t="shared" si="3"/>
        <v>NO</v>
      </c>
    </row>
    <row r="528">
      <c r="A528" s="4">
        <f>IFERROR(__xludf.DUMMYFUNCTION("""COMPUTED_VALUE"""),1162831.0)</f>
        <v>1162831</v>
      </c>
      <c r="B528" s="4" t="str">
        <f>IFERROR(__xludf.DUMMYFUNCTION("""COMPUTED_VALUE"""),"P3 - Medium")</f>
        <v>P3 - Medium</v>
      </c>
      <c r="C528" s="5">
        <f>IFERROR(__xludf.DUMMYFUNCTION("""COMPUTED_VALUE"""),43866.52980324074)</f>
        <v>43866.5298</v>
      </c>
      <c r="D528" s="4" t="str">
        <f>IFERROR(__xludf.DUMMYFUNCTION("""COMPUTED_VALUE"""),"RESOLVED")</f>
        <v>RESOLVED</v>
      </c>
      <c r="E528" s="6">
        <f>IFERROR(__xludf.DUMMYFUNCTION("""COMPUTED_VALUE"""),44384.803611111114)</f>
        <v>44384.80361</v>
      </c>
      <c r="F528" s="4" t="str">
        <f>IFERROR(__xludf.DUMMYFUNCTION("""COMPUTED_VALUE""")," ---")</f>
        <v> ---</v>
      </c>
      <c r="G528" s="4" t="str">
        <f>IFERROR(__xludf.DUMMYFUNCTION("""COMPUTED_VALUE"""),"SUSE Linux Enterprise Server 15 SP2")</f>
        <v>SUSE Linux Enterprise Server 15 SP2</v>
      </c>
      <c r="H528" s="7" t="str">
        <f t="shared" si="2"/>
        <v>NO</v>
      </c>
      <c r="I528" s="7" t="str">
        <f t="shared" si="3"/>
        <v>NO</v>
      </c>
    </row>
    <row r="529">
      <c r="A529" s="4">
        <f>IFERROR(__xludf.DUMMYFUNCTION("""COMPUTED_VALUE"""),1166772.0)</f>
        <v>1166772</v>
      </c>
      <c r="B529" s="4" t="str">
        <f>IFERROR(__xludf.DUMMYFUNCTION("""COMPUTED_VALUE"""),"P3 - Medium")</f>
        <v>P3 - Medium</v>
      </c>
      <c r="C529" s="5">
        <f>IFERROR(__xludf.DUMMYFUNCTION("""COMPUTED_VALUE"""),43906.51008101852)</f>
        <v>43906.51008</v>
      </c>
      <c r="D529" s="4" t="str">
        <f>IFERROR(__xludf.DUMMYFUNCTION("""COMPUTED_VALUE"""),"RESOLVED")</f>
        <v>RESOLVED</v>
      </c>
      <c r="E529" s="6">
        <f>IFERROR(__xludf.DUMMYFUNCTION("""COMPUTED_VALUE"""),44384.82098379629)</f>
        <v>44384.82098</v>
      </c>
      <c r="F529" s="4" t="str">
        <f>IFERROR(__xludf.DUMMYFUNCTION("""COMPUTED_VALUE""")," ---")</f>
        <v> ---</v>
      </c>
      <c r="G529" s="4" t="str">
        <f>IFERROR(__xludf.DUMMYFUNCTION("""COMPUTED_VALUE"""),"SUSE Linux Enterprise Server 15 SP2")</f>
        <v>SUSE Linux Enterprise Server 15 SP2</v>
      </c>
      <c r="H529" s="7" t="str">
        <f t="shared" si="2"/>
        <v>NO</v>
      </c>
      <c r="I529" s="7" t="str">
        <f t="shared" si="3"/>
        <v>NO</v>
      </c>
    </row>
    <row r="530">
      <c r="A530" s="4">
        <f>IFERROR(__xludf.DUMMYFUNCTION("""COMPUTED_VALUE"""),1158406.0)</f>
        <v>1158406</v>
      </c>
      <c r="B530" s="4" t="str">
        <f>IFERROR(__xludf.DUMMYFUNCTION("""COMPUTED_VALUE"""),"P3 - Medium")</f>
        <v>P3 - Medium</v>
      </c>
      <c r="C530" s="5">
        <f>IFERROR(__xludf.DUMMYFUNCTION("""COMPUTED_VALUE"""),43803.489583333336)</f>
        <v>43803.48958</v>
      </c>
      <c r="D530" s="4" t="str">
        <f>IFERROR(__xludf.DUMMYFUNCTION("""COMPUTED_VALUE"""),"RESOLVED")</f>
        <v>RESOLVED</v>
      </c>
      <c r="E530" s="6">
        <f>IFERROR(__xludf.DUMMYFUNCTION("""COMPUTED_VALUE"""),43837.63829861111)</f>
        <v>43837.6383</v>
      </c>
      <c r="F530" s="4" t="str">
        <f>IFERROR(__xludf.DUMMYFUNCTION("""COMPUTED_VALUE""")," ---")</f>
        <v> ---</v>
      </c>
      <c r="G530" s="4" t="str">
        <f>IFERROR(__xludf.DUMMYFUNCTION("""COMPUTED_VALUE"""),"SUSE Linux Enterprise Server 15 SP2")</f>
        <v>SUSE Linux Enterprise Server 15 SP2</v>
      </c>
      <c r="H530" s="7" t="str">
        <f t="shared" si="2"/>
        <v>NO</v>
      </c>
      <c r="I530" s="7" t="str">
        <f t="shared" si="3"/>
        <v>NO</v>
      </c>
    </row>
    <row r="531">
      <c r="A531" s="4">
        <f>IFERROR(__xludf.DUMMYFUNCTION("""COMPUTED_VALUE"""),1158451.0)</f>
        <v>1158451</v>
      </c>
      <c r="B531" s="4" t="str">
        <f>IFERROR(__xludf.DUMMYFUNCTION("""COMPUTED_VALUE"""),"P3 - Medium")</f>
        <v>P3 - Medium</v>
      </c>
      <c r="C531" s="5">
        <f>IFERROR(__xludf.DUMMYFUNCTION("""COMPUTED_VALUE"""),43803.7146875)</f>
        <v>43803.71469</v>
      </c>
      <c r="D531" s="4" t="str">
        <f>IFERROR(__xludf.DUMMYFUNCTION("""COMPUTED_VALUE"""),"RESOLVED")</f>
        <v>RESOLVED</v>
      </c>
      <c r="E531" s="6">
        <f>IFERROR(__xludf.DUMMYFUNCTION("""COMPUTED_VALUE"""),44384.79519675926)</f>
        <v>44384.7952</v>
      </c>
      <c r="F531" s="4" t="str">
        <f>IFERROR(__xludf.DUMMYFUNCTION("""COMPUTED_VALUE""")," ---")</f>
        <v> ---</v>
      </c>
      <c r="G531" s="4" t="str">
        <f>IFERROR(__xludf.DUMMYFUNCTION("""COMPUTED_VALUE"""),"SUSE Linux Enterprise Server 15 SP2")</f>
        <v>SUSE Linux Enterprise Server 15 SP2</v>
      </c>
      <c r="H531" s="7" t="str">
        <f t="shared" si="2"/>
        <v>NO</v>
      </c>
      <c r="I531" s="7" t="str">
        <f t="shared" si="3"/>
        <v>NO</v>
      </c>
    </row>
    <row r="532">
      <c r="A532" s="4">
        <f>IFERROR(__xludf.DUMMYFUNCTION("""COMPUTED_VALUE"""),1160310.0)</f>
        <v>1160310</v>
      </c>
      <c r="B532" s="4" t="str">
        <f>IFERROR(__xludf.DUMMYFUNCTION("""COMPUTED_VALUE"""),"P3 - Medium")</f>
        <v>P3 - Medium</v>
      </c>
      <c r="C532" s="5">
        <f>IFERROR(__xludf.DUMMYFUNCTION("""COMPUTED_VALUE"""),43837.62658564815)</f>
        <v>43837.62659</v>
      </c>
      <c r="D532" s="4" t="str">
        <f>IFERROR(__xludf.DUMMYFUNCTION("""COMPUTED_VALUE"""),"RESOLVED")</f>
        <v>RESOLVED</v>
      </c>
      <c r="E532" s="6">
        <f>IFERROR(__xludf.DUMMYFUNCTION("""COMPUTED_VALUE"""),44384.80008101852)</f>
        <v>44384.80008</v>
      </c>
      <c r="F532" s="4" t="str">
        <f>IFERROR(__xludf.DUMMYFUNCTION("""COMPUTED_VALUE""")," ---")</f>
        <v> ---</v>
      </c>
      <c r="G532" s="4" t="str">
        <f>IFERROR(__xludf.DUMMYFUNCTION("""COMPUTED_VALUE"""),"SUSE Linux Enterprise Server 15 SP2")</f>
        <v>SUSE Linux Enterprise Server 15 SP2</v>
      </c>
      <c r="H532" s="7" t="str">
        <f t="shared" si="2"/>
        <v>NO</v>
      </c>
      <c r="I532" s="7" t="str">
        <f t="shared" si="3"/>
        <v>NO</v>
      </c>
    </row>
    <row r="533">
      <c r="A533" s="4">
        <f>IFERROR(__xludf.DUMMYFUNCTION("""COMPUTED_VALUE"""),1160311.0)</f>
        <v>1160311</v>
      </c>
      <c r="B533" s="4" t="str">
        <f>IFERROR(__xludf.DUMMYFUNCTION("""COMPUTED_VALUE"""),"P3 - Medium")</f>
        <v>P3 - Medium</v>
      </c>
      <c r="C533" s="5">
        <f>IFERROR(__xludf.DUMMYFUNCTION("""COMPUTED_VALUE"""),43837.631516203706)</f>
        <v>43837.63152</v>
      </c>
      <c r="D533" s="4" t="str">
        <f>IFERROR(__xludf.DUMMYFUNCTION("""COMPUTED_VALUE"""),"RESOLVED")</f>
        <v>RESOLVED</v>
      </c>
      <c r="E533" s="6">
        <f>IFERROR(__xludf.DUMMYFUNCTION("""COMPUTED_VALUE"""),44384.800162037034)</f>
        <v>44384.80016</v>
      </c>
      <c r="F533" s="4" t="str">
        <f>IFERROR(__xludf.DUMMYFUNCTION("""COMPUTED_VALUE""")," ---")</f>
        <v> ---</v>
      </c>
      <c r="G533" s="4" t="str">
        <f>IFERROR(__xludf.DUMMYFUNCTION("""COMPUTED_VALUE"""),"SUSE Linux Enterprise Server 15 SP2")</f>
        <v>SUSE Linux Enterprise Server 15 SP2</v>
      </c>
      <c r="H533" s="7" t="str">
        <f t="shared" si="2"/>
        <v>NO</v>
      </c>
      <c r="I533" s="7" t="str">
        <f t="shared" si="3"/>
        <v>NO</v>
      </c>
    </row>
    <row r="534">
      <c r="A534" s="4">
        <f>IFERROR(__xludf.DUMMYFUNCTION("""COMPUTED_VALUE"""),1160461.0)</f>
        <v>1160461</v>
      </c>
      <c r="B534" s="4" t="str">
        <f>IFERROR(__xludf.DUMMYFUNCTION("""COMPUTED_VALUE"""),"P3 - Medium")</f>
        <v>P3 - Medium</v>
      </c>
      <c r="C534" s="5">
        <f>IFERROR(__xludf.DUMMYFUNCTION("""COMPUTED_VALUE"""),43838.63296296296)</f>
        <v>43838.63296</v>
      </c>
      <c r="D534" s="4" t="str">
        <f>IFERROR(__xludf.DUMMYFUNCTION("""COMPUTED_VALUE"""),"RESOLVED")</f>
        <v>RESOLVED</v>
      </c>
      <c r="E534" s="6">
        <f>IFERROR(__xludf.DUMMYFUNCTION("""COMPUTED_VALUE"""),44384.80038194444)</f>
        <v>44384.80038</v>
      </c>
      <c r="F534" s="4" t="str">
        <f>IFERROR(__xludf.DUMMYFUNCTION("""COMPUTED_VALUE""")," ---")</f>
        <v> ---</v>
      </c>
      <c r="G534" s="4" t="str">
        <f>IFERROR(__xludf.DUMMYFUNCTION("""COMPUTED_VALUE"""),"SUSE Linux Enterprise Server 15 SP2")</f>
        <v>SUSE Linux Enterprise Server 15 SP2</v>
      </c>
      <c r="H534" s="7" t="str">
        <f t="shared" si="2"/>
        <v>NO</v>
      </c>
      <c r="I534" s="7" t="str">
        <f t="shared" si="3"/>
        <v>NO</v>
      </c>
    </row>
    <row r="535">
      <c r="A535" s="4">
        <f>IFERROR(__xludf.DUMMYFUNCTION("""COMPUTED_VALUE"""),1163237.0)</f>
        <v>1163237</v>
      </c>
      <c r="B535" s="4" t="str">
        <f>IFERROR(__xludf.DUMMYFUNCTION("""COMPUTED_VALUE"""),"P3 - Medium")</f>
        <v>P3 - Medium</v>
      </c>
      <c r="C535" s="5">
        <f>IFERROR(__xludf.DUMMYFUNCTION("""COMPUTED_VALUE"""),43871.402037037034)</f>
        <v>43871.40204</v>
      </c>
      <c r="D535" s="4" t="str">
        <f>IFERROR(__xludf.DUMMYFUNCTION("""COMPUTED_VALUE"""),"RESOLVED")</f>
        <v>RESOLVED</v>
      </c>
      <c r="E535" s="6">
        <f>IFERROR(__xludf.DUMMYFUNCTION("""COMPUTED_VALUE"""),43901.54950231482)</f>
        <v>43901.5495</v>
      </c>
      <c r="F535" s="4" t="str">
        <f>IFERROR(__xludf.DUMMYFUNCTION("""COMPUTED_VALUE""")," ---")</f>
        <v> ---</v>
      </c>
      <c r="G535" s="4" t="str">
        <f>IFERROR(__xludf.DUMMYFUNCTION("""COMPUTED_VALUE"""),"SUSE Linux Enterprise Server 15 SP2")</f>
        <v>SUSE Linux Enterprise Server 15 SP2</v>
      </c>
      <c r="H535" s="7" t="str">
        <f t="shared" si="2"/>
        <v>NO</v>
      </c>
      <c r="I535" s="7" t="str">
        <f t="shared" si="3"/>
        <v>NO</v>
      </c>
    </row>
    <row r="536">
      <c r="A536" s="4">
        <f>IFERROR(__xludf.DUMMYFUNCTION("""COMPUTED_VALUE"""),1165954.0)</f>
        <v>1165954</v>
      </c>
      <c r="B536" s="4" t="str">
        <f>IFERROR(__xludf.DUMMYFUNCTION("""COMPUTED_VALUE"""),"P3 - Medium")</f>
        <v>P3 - Medium</v>
      </c>
      <c r="C536" s="5">
        <f>IFERROR(__xludf.DUMMYFUNCTION("""COMPUTED_VALUE"""),43896.75880787037)</f>
        <v>43896.75881</v>
      </c>
      <c r="D536" s="4" t="str">
        <f>IFERROR(__xludf.DUMMYFUNCTION("""COMPUTED_VALUE"""),"RESOLVED")</f>
        <v>RESOLVED</v>
      </c>
      <c r="E536" s="6">
        <f>IFERROR(__xludf.DUMMYFUNCTION("""COMPUTED_VALUE"""),44384.817928240744)</f>
        <v>44384.81793</v>
      </c>
      <c r="F536" s="4" t="str">
        <f>IFERROR(__xludf.DUMMYFUNCTION("""COMPUTED_VALUE""")," ---")</f>
        <v> ---</v>
      </c>
      <c r="G536" s="4" t="str">
        <f>IFERROR(__xludf.DUMMYFUNCTION("""COMPUTED_VALUE"""),"SUSE Linux Enterprise Server 15 SP2")</f>
        <v>SUSE Linux Enterprise Server 15 SP2</v>
      </c>
      <c r="H536" s="7" t="str">
        <f t="shared" si="2"/>
        <v>NO</v>
      </c>
      <c r="I536" s="7" t="str">
        <f t="shared" si="3"/>
        <v>NO</v>
      </c>
    </row>
    <row r="537">
      <c r="A537" s="4">
        <f>IFERROR(__xludf.DUMMYFUNCTION("""COMPUTED_VALUE"""),1167147.0)</f>
        <v>1167147</v>
      </c>
      <c r="B537" s="4" t="str">
        <f>IFERROR(__xludf.DUMMYFUNCTION("""COMPUTED_VALUE"""),"P3 - Medium")</f>
        <v>P3 - Medium</v>
      </c>
      <c r="C537" s="5">
        <f>IFERROR(__xludf.DUMMYFUNCTION("""COMPUTED_VALUE"""),43909.7121412037)</f>
        <v>43909.71214</v>
      </c>
      <c r="D537" s="4" t="str">
        <f>IFERROR(__xludf.DUMMYFUNCTION("""COMPUTED_VALUE"""),"RESOLVED")</f>
        <v>RESOLVED</v>
      </c>
      <c r="E537" s="6">
        <f>IFERROR(__xludf.DUMMYFUNCTION("""COMPUTED_VALUE"""),43935.3915625)</f>
        <v>43935.39156</v>
      </c>
      <c r="F537" s="4" t="str">
        <f>IFERROR(__xludf.DUMMYFUNCTION("""COMPUTED_VALUE""")," ---")</f>
        <v> ---</v>
      </c>
      <c r="G537" s="4" t="str">
        <f>IFERROR(__xludf.DUMMYFUNCTION("""COMPUTED_VALUE"""),"SUSE Linux Enterprise Server 15 SP2")</f>
        <v>SUSE Linux Enterprise Server 15 SP2</v>
      </c>
      <c r="H537" s="7" t="str">
        <f t="shared" si="2"/>
        <v>NO</v>
      </c>
      <c r="I537" s="7" t="str">
        <f t="shared" si="3"/>
        <v>NO</v>
      </c>
    </row>
    <row r="538">
      <c r="A538" s="4">
        <f>IFERROR(__xludf.DUMMYFUNCTION("""COMPUTED_VALUE"""),1173468.0)</f>
        <v>1173468</v>
      </c>
      <c r="B538" s="4" t="str">
        <f>IFERROR(__xludf.DUMMYFUNCTION("""COMPUTED_VALUE"""),"P3 - Medium")</f>
        <v>P3 - Medium</v>
      </c>
      <c r="C538" s="5">
        <f>IFERROR(__xludf.DUMMYFUNCTION("""COMPUTED_VALUE"""),44011.48159722222)</f>
        <v>44011.4816</v>
      </c>
      <c r="D538" s="4" t="str">
        <f>IFERROR(__xludf.DUMMYFUNCTION("""COMPUTED_VALUE"""),"RESOLVED")</f>
        <v>RESOLVED</v>
      </c>
      <c r="E538" s="6">
        <f>IFERROR(__xludf.DUMMYFUNCTION("""COMPUTED_VALUE"""),44384.83619212963)</f>
        <v>44384.83619</v>
      </c>
      <c r="F538" s="4" t="str">
        <f>IFERROR(__xludf.DUMMYFUNCTION("""COMPUTED_VALUE""")," ---")</f>
        <v> ---</v>
      </c>
      <c r="G538" s="4" t="str">
        <f>IFERROR(__xludf.DUMMYFUNCTION("""COMPUTED_VALUE"""),"SUSE Linux Enterprise Server 15 SP2")</f>
        <v>SUSE Linux Enterprise Server 15 SP2</v>
      </c>
      <c r="H538" s="7" t="str">
        <f t="shared" si="2"/>
        <v>NO</v>
      </c>
      <c r="I538" s="7" t="str">
        <f t="shared" si="3"/>
        <v>NO</v>
      </c>
    </row>
    <row r="539">
      <c r="A539" s="4">
        <f>IFERROR(__xludf.DUMMYFUNCTION("""COMPUTED_VALUE"""),1162422.0)</f>
        <v>1162422</v>
      </c>
      <c r="B539" s="4" t="str">
        <f>IFERROR(__xludf.DUMMYFUNCTION("""COMPUTED_VALUE"""),"P3 - Medium")</f>
        <v>P3 - Medium</v>
      </c>
      <c r="C539" s="5">
        <f>IFERROR(__xludf.DUMMYFUNCTION("""COMPUTED_VALUE"""),43862.76052083333)</f>
        <v>43862.76052</v>
      </c>
      <c r="D539" s="4" t="str">
        <f>IFERROR(__xludf.DUMMYFUNCTION("""COMPUTED_VALUE"""),"RESOLVED")</f>
        <v>RESOLVED</v>
      </c>
      <c r="E539" s="6">
        <f>IFERROR(__xludf.DUMMYFUNCTION("""COMPUTED_VALUE"""),43987.32084490741)</f>
        <v>43987.32084</v>
      </c>
      <c r="F539" s="4" t="str">
        <f>IFERROR(__xludf.DUMMYFUNCTION("""COMPUTED_VALUE""")," ---")</f>
        <v> ---</v>
      </c>
      <c r="G539" s="4" t="str">
        <f>IFERROR(__xludf.DUMMYFUNCTION("""COMPUTED_VALUE"""),"SUSE Linux Enterprise Server 15 SP2")</f>
        <v>SUSE Linux Enterprise Server 15 SP2</v>
      </c>
      <c r="H539" s="7" t="str">
        <f t="shared" si="2"/>
        <v>NO</v>
      </c>
      <c r="I539" s="7" t="str">
        <f t="shared" si="3"/>
        <v>YES</v>
      </c>
    </row>
    <row r="540">
      <c r="A540" s="4">
        <f>IFERROR(__xludf.DUMMYFUNCTION("""COMPUTED_VALUE"""),1158055.0)</f>
        <v>1158055</v>
      </c>
      <c r="B540" s="4" t="str">
        <f>IFERROR(__xludf.DUMMYFUNCTION("""COMPUTED_VALUE"""),"P3 - Medium")</f>
        <v>P3 - Medium</v>
      </c>
      <c r="C540" s="5">
        <f>IFERROR(__xludf.DUMMYFUNCTION("""COMPUTED_VALUE"""),43798.36137731482)</f>
        <v>43798.36138</v>
      </c>
      <c r="D540" s="4" t="str">
        <f>IFERROR(__xludf.DUMMYFUNCTION("""COMPUTED_VALUE"""),"RESOLVED")</f>
        <v>RESOLVED</v>
      </c>
      <c r="E540" s="6">
        <f>IFERROR(__xludf.DUMMYFUNCTION("""COMPUTED_VALUE"""),44384.79415509259)</f>
        <v>44384.79416</v>
      </c>
      <c r="F540" s="4" t="str">
        <f>IFERROR(__xludf.DUMMYFUNCTION("""COMPUTED_VALUE""")," ---")</f>
        <v> ---</v>
      </c>
      <c r="G540" s="4" t="str">
        <f>IFERROR(__xludf.DUMMYFUNCTION("""COMPUTED_VALUE"""),"SUSE Linux Enterprise Server 15 SP2")</f>
        <v>SUSE Linux Enterprise Server 15 SP2</v>
      </c>
      <c r="H540" s="7" t="str">
        <f t="shared" si="2"/>
        <v>NO</v>
      </c>
      <c r="I540" s="7" t="str">
        <f t="shared" si="3"/>
        <v>NO</v>
      </c>
    </row>
    <row r="541">
      <c r="A541" s="4">
        <f>IFERROR(__xludf.DUMMYFUNCTION("""COMPUTED_VALUE"""),1158776.0)</f>
        <v>1158776</v>
      </c>
      <c r="B541" s="4" t="str">
        <f>IFERROR(__xludf.DUMMYFUNCTION("""COMPUTED_VALUE"""),"P3 - Medium")</f>
        <v>P3 - Medium</v>
      </c>
      <c r="C541" s="5">
        <f>IFERROR(__xludf.DUMMYFUNCTION("""COMPUTED_VALUE"""),43808.464849537035)</f>
        <v>43808.46485</v>
      </c>
      <c r="D541" s="4" t="str">
        <f>IFERROR(__xludf.DUMMYFUNCTION("""COMPUTED_VALUE"""),"RESOLVED")</f>
        <v>RESOLVED</v>
      </c>
      <c r="E541" s="6">
        <f>IFERROR(__xludf.DUMMYFUNCTION("""COMPUTED_VALUE"""),44384.79638888889)</f>
        <v>44384.79639</v>
      </c>
      <c r="F541" s="4" t="str">
        <f>IFERROR(__xludf.DUMMYFUNCTION("""COMPUTED_VALUE""")," ---")</f>
        <v> ---</v>
      </c>
      <c r="G541" s="4" t="str">
        <f>IFERROR(__xludf.DUMMYFUNCTION("""COMPUTED_VALUE"""),"SUSE Linux Enterprise Server 15 SP2")</f>
        <v>SUSE Linux Enterprise Server 15 SP2</v>
      </c>
      <c r="H541" s="7" t="str">
        <f t="shared" si="2"/>
        <v>NO</v>
      </c>
      <c r="I541" s="7" t="str">
        <f t="shared" si="3"/>
        <v>NO</v>
      </c>
    </row>
    <row r="542">
      <c r="A542" s="4">
        <f>IFERROR(__xludf.DUMMYFUNCTION("""COMPUTED_VALUE"""),1156522.0)</f>
        <v>1156522</v>
      </c>
      <c r="B542" s="4" t="str">
        <f>IFERROR(__xludf.DUMMYFUNCTION("""COMPUTED_VALUE"""),"P3 - Medium")</f>
        <v>P3 - Medium</v>
      </c>
      <c r="C542" s="5">
        <f>IFERROR(__xludf.DUMMYFUNCTION("""COMPUTED_VALUE"""),43781.43033564815)</f>
        <v>43781.43034</v>
      </c>
      <c r="D542" s="4" t="str">
        <f>IFERROR(__xludf.DUMMYFUNCTION("""COMPUTED_VALUE"""),"RESOLVED")</f>
        <v>RESOLVED</v>
      </c>
      <c r="E542" s="6">
        <f>IFERROR(__xludf.DUMMYFUNCTION("""COMPUTED_VALUE"""),43833.43578703704)</f>
        <v>43833.43579</v>
      </c>
      <c r="F542" s="4" t="str">
        <f>IFERROR(__xludf.DUMMYFUNCTION("""COMPUTED_VALUE""")," ---")</f>
        <v> ---</v>
      </c>
      <c r="G542" s="4" t="str">
        <f>IFERROR(__xludf.DUMMYFUNCTION("""COMPUTED_VALUE"""),"SUSE Linux Enterprise Server 15 SP2")</f>
        <v>SUSE Linux Enterprise Server 15 SP2</v>
      </c>
      <c r="H542" s="7" t="str">
        <f t="shared" si="2"/>
        <v>NO</v>
      </c>
      <c r="I542" s="7" t="str">
        <f t="shared" si="3"/>
        <v>NO</v>
      </c>
    </row>
    <row r="543">
      <c r="A543" s="4">
        <f>IFERROR(__xludf.DUMMYFUNCTION("""COMPUTED_VALUE"""),1155518.0)</f>
        <v>1155518</v>
      </c>
      <c r="B543" s="4" t="str">
        <f>IFERROR(__xludf.DUMMYFUNCTION("""COMPUTED_VALUE"""),"P3 - Medium")</f>
        <v>P3 - Medium</v>
      </c>
      <c r="C543" s="5">
        <f>IFERROR(__xludf.DUMMYFUNCTION("""COMPUTED_VALUE"""),43769.26938657407)</f>
        <v>43769.26939</v>
      </c>
      <c r="D543" s="4" t="str">
        <f>IFERROR(__xludf.DUMMYFUNCTION("""COMPUTED_VALUE"""),"RESOLVED")</f>
        <v>RESOLVED</v>
      </c>
      <c r="E543" s="6">
        <f>IFERROR(__xludf.DUMMYFUNCTION("""COMPUTED_VALUE"""),44567.27447916667)</f>
        <v>44567.27448</v>
      </c>
      <c r="F543" s="4" t="str">
        <f>IFERROR(__xludf.DUMMYFUNCTION("""COMPUTED_VALUE""")," ---")</f>
        <v> ---</v>
      </c>
      <c r="G543" s="4" t="str">
        <f>IFERROR(__xludf.DUMMYFUNCTION("""COMPUTED_VALUE"""),"SUSE Linux Enterprise Server 15 SP2")</f>
        <v>SUSE Linux Enterprise Server 15 SP2</v>
      </c>
      <c r="H543" s="7" t="str">
        <f t="shared" si="2"/>
        <v>NO</v>
      </c>
      <c r="I543" s="7" t="str">
        <f t="shared" si="3"/>
        <v>NO</v>
      </c>
    </row>
    <row r="544">
      <c r="A544" s="4">
        <f>IFERROR(__xludf.DUMMYFUNCTION("""COMPUTED_VALUE"""),1161695.0)</f>
        <v>1161695</v>
      </c>
      <c r="B544" s="4" t="str">
        <f>IFERROR(__xludf.DUMMYFUNCTION("""COMPUTED_VALUE"""),"P3 - Medium")</f>
        <v>P3 - Medium</v>
      </c>
      <c r="C544" s="5">
        <f>IFERROR(__xludf.DUMMYFUNCTION("""COMPUTED_VALUE"""),43853.549421296295)</f>
        <v>43853.54942</v>
      </c>
      <c r="D544" s="4" t="str">
        <f>IFERROR(__xludf.DUMMYFUNCTION("""COMPUTED_VALUE"""),"RESOLVED")</f>
        <v>RESOLVED</v>
      </c>
      <c r="E544" s="6">
        <f>IFERROR(__xludf.DUMMYFUNCTION("""COMPUTED_VALUE"""),44384.80217592593)</f>
        <v>44384.80218</v>
      </c>
      <c r="F544" s="4" t="str">
        <f>IFERROR(__xludf.DUMMYFUNCTION("""COMPUTED_VALUE""")," ---")</f>
        <v> ---</v>
      </c>
      <c r="G544" s="4" t="str">
        <f>IFERROR(__xludf.DUMMYFUNCTION("""COMPUTED_VALUE"""),"SUSE Linux Enterprise Server 15 SP2")</f>
        <v>SUSE Linux Enterprise Server 15 SP2</v>
      </c>
      <c r="H544" s="7" t="str">
        <f t="shared" si="2"/>
        <v>NO</v>
      </c>
      <c r="I544" s="7" t="str">
        <f t="shared" si="3"/>
        <v>NO</v>
      </c>
    </row>
    <row r="545">
      <c r="A545" s="4">
        <f>IFERROR(__xludf.DUMMYFUNCTION("""COMPUTED_VALUE"""),1160967.0)</f>
        <v>1160967</v>
      </c>
      <c r="B545" s="4" t="str">
        <f>IFERROR(__xludf.DUMMYFUNCTION("""COMPUTED_VALUE"""),"P3 - Medium")</f>
        <v>P3 - Medium</v>
      </c>
      <c r="C545" s="5">
        <f>IFERROR(__xludf.DUMMYFUNCTION("""COMPUTED_VALUE"""),43845.34263888889)</f>
        <v>43845.34264</v>
      </c>
      <c r="D545" s="4" t="str">
        <f>IFERROR(__xludf.DUMMYFUNCTION("""COMPUTED_VALUE"""),"RESOLVED")</f>
        <v>RESOLVED</v>
      </c>
      <c r="E545" s="6">
        <f>IFERROR(__xludf.DUMMYFUNCTION("""COMPUTED_VALUE"""),43901.493125)</f>
        <v>43901.49313</v>
      </c>
      <c r="F545" s="4" t="str">
        <f>IFERROR(__xludf.DUMMYFUNCTION("""COMPUTED_VALUE""")," ---")</f>
        <v> ---</v>
      </c>
      <c r="G545" s="4" t="str">
        <f>IFERROR(__xludf.DUMMYFUNCTION("""COMPUTED_VALUE"""),"SUSE Linux Enterprise Server 15 SP2")</f>
        <v>SUSE Linux Enterprise Server 15 SP2</v>
      </c>
      <c r="H545" s="7" t="str">
        <f t="shared" si="2"/>
        <v>NO</v>
      </c>
      <c r="I545" s="7" t="str">
        <f t="shared" si="3"/>
        <v>NO</v>
      </c>
    </row>
    <row r="546">
      <c r="A546" s="4">
        <f>IFERROR(__xludf.DUMMYFUNCTION("""COMPUTED_VALUE"""),1154353.0)</f>
        <v>1154353</v>
      </c>
      <c r="B546" s="4" t="str">
        <f>IFERROR(__xludf.DUMMYFUNCTION("""COMPUTED_VALUE"""),"P3 - Medium")</f>
        <v>P3 - Medium</v>
      </c>
      <c r="C546" s="5">
        <f>IFERROR(__xludf.DUMMYFUNCTION("""COMPUTED_VALUE"""),43755.57871527778)</f>
        <v>43755.57872</v>
      </c>
      <c r="D546" s="4" t="str">
        <f>IFERROR(__xludf.DUMMYFUNCTION("""COMPUTED_VALUE"""),"RESOLVED")</f>
        <v>RESOLVED</v>
      </c>
      <c r="E546" s="6">
        <f>IFERROR(__xludf.DUMMYFUNCTION("""COMPUTED_VALUE"""),44736.68146990741)</f>
        <v>44736.68147</v>
      </c>
      <c r="F546" s="4" t="str">
        <f>IFERROR(__xludf.DUMMYFUNCTION("""COMPUTED_VALUE""")," ---")</f>
        <v> ---</v>
      </c>
      <c r="G546" s="4" t="str">
        <f>IFERROR(__xludf.DUMMYFUNCTION("""COMPUTED_VALUE"""),"SUSE Linux Enterprise Server 15 SP2")</f>
        <v>SUSE Linux Enterprise Server 15 SP2</v>
      </c>
      <c r="H546" s="7" t="str">
        <f t="shared" si="2"/>
        <v>NO</v>
      </c>
      <c r="I546" s="7" t="str">
        <f t="shared" si="3"/>
        <v>NO</v>
      </c>
    </row>
    <row r="547">
      <c r="A547" s="4">
        <f>IFERROR(__xludf.DUMMYFUNCTION("""COMPUTED_VALUE"""),1154395.0)</f>
        <v>1154395</v>
      </c>
      <c r="B547" s="4" t="str">
        <f>IFERROR(__xludf.DUMMYFUNCTION("""COMPUTED_VALUE"""),"P3 - Medium")</f>
        <v>P3 - Medium</v>
      </c>
      <c r="C547" s="5">
        <f>IFERROR(__xludf.DUMMYFUNCTION("""COMPUTED_VALUE"""),43755.851273148146)</f>
        <v>43755.85127</v>
      </c>
      <c r="D547" s="4" t="str">
        <f>IFERROR(__xludf.DUMMYFUNCTION("""COMPUTED_VALUE"""),"RESOLVED")</f>
        <v>RESOLVED</v>
      </c>
      <c r="E547" s="6">
        <f>IFERROR(__xludf.DUMMYFUNCTION("""COMPUTED_VALUE"""),44529.26850694444)</f>
        <v>44529.26851</v>
      </c>
      <c r="F547" s="4" t="str">
        <f>IFERROR(__xludf.DUMMYFUNCTION("""COMPUTED_VALUE""")," ---")</f>
        <v> ---</v>
      </c>
      <c r="G547" s="4" t="str">
        <f>IFERROR(__xludf.DUMMYFUNCTION("""COMPUTED_VALUE"""),"SUSE Linux Enterprise Server 15 SP2")</f>
        <v>SUSE Linux Enterprise Server 15 SP2</v>
      </c>
      <c r="H547" s="7" t="str">
        <f t="shared" si="2"/>
        <v>NO</v>
      </c>
      <c r="I547" s="7" t="str">
        <f t="shared" si="3"/>
        <v>NO</v>
      </c>
    </row>
    <row r="548">
      <c r="A548" s="4">
        <f>IFERROR(__xludf.DUMMYFUNCTION("""COMPUTED_VALUE"""),1154488.0)</f>
        <v>1154488</v>
      </c>
      <c r="B548" s="4" t="str">
        <f>IFERROR(__xludf.DUMMYFUNCTION("""COMPUTED_VALUE"""),"P3 - Medium")</f>
        <v>P3 - Medium</v>
      </c>
      <c r="C548" s="5">
        <f>IFERROR(__xludf.DUMMYFUNCTION("""COMPUTED_VALUE"""),43756.508622685185)</f>
        <v>43756.50862</v>
      </c>
      <c r="D548" s="4" t="str">
        <f>IFERROR(__xludf.DUMMYFUNCTION("""COMPUTED_VALUE"""),"RESOLVED")</f>
        <v>RESOLVED</v>
      </c>
      <c r="E548" s="6">
        <f>IFERROR(__xludf.DUMMYFUNCTION("""COMPUTED_VALUE"""),44613.723599537036)</f>
        <v>44613.7236</v>
      </c>
      <c r="F548" s="4" t="str">
        <f>IFERROR(__xludf.DUMMYFUNCTION("""COMPUTED_VALUE""")," ---")</f>
        <v> ---</v>
      </c>
      <c r="G548" s="4" t="str">
        <f>IFERROR(__xludf.DUMMYFUNCTION("""COMPUTED_VALUE"""),"SUSE Linux Enterprise Server 15 SP2")</f>
        <v>SUSE Linux Enterprise Server 15 SP2</v>
      </c>
      <c r="H548" s="7" t="str">
        <f t="shared" si="2"/>
        <v>NO</v>
      </c>
      <c r="I548" s="7" t="str">
        <f t="shared" si="3"/>
        <v>NO</v>
      </c>
    </row>
    <row r="549">
      <c r="A549" s="4">
        <f>IFERROR(__xludf.DUMMYFUNCTION("""COMPUTED_VALUE"""),1154492.0)</f>
        <v>1154492</v>
      </c>
      <c r="B549" s="4" t="str">
        <f>IFERROR(__xludf.DUMMYFUNCTION("""COMPUTED_VALUE"""),"P3 - Medium")</f>
        <v>P3 - Medium</v>
      </c>
      <c r="C549" s="5">
        <f>IFERROR(__xludf.DUMMYFUNCTION("""COMPUTED_VALUE"""),43756.52585648148)</f>
        <v>43756.52586</v>
      </c>
      <c r="D549" s="4" t="str">
        <f>IFERROR(__xludf.DUMMYFUNCTION("""COMPUTED_VALUE"""),"RESOLVED")</f>
        <v>RESOLVED</v>
      </c>
      <c r="E549" s="6">
        <f>IFERROR(__xludf.DUMMYFUNCTION("""COMPUTED_VALUE"""),44594.61605324074)</f>
        <v>44594.61605</v>
      </c>
      <c r="F549" s="4" t="str">
        <f>IFERROR(__xludf.DUMMYFUNCTION("""COMPUTED_VALUE""")," ---")</f>
        <v> ---</v>
      </c>
      <c r="G549" s="4" t="str">
        <f>IFERROR(__xludf.DUMMYFUNCTION("""COMPUTED_VALUE"""),"SUSE Linux Enterprise Server 15 SP2")</f>
        <v>SUSE Linux Enterprise Server 15 SP2</v>
      </c>
      <c r="H549" s="7" t="str">
        <f t="shared" si="2"/>
        <v>NO</v>
      </c>
      <c r="I549" s="7" t="str">
        <f t="shared" si="3"/>
        <v>NO</v>
      </c>
    </row>
    <row r="550">
      <c r="A550" s="4">
        <f>IFERROR(__xludf.DUMMYFUNCTION("""COMPUTED_VALUE"""),1159555.0)</f>
        <v>1159555</v>
      </c>
      <c r="B550" s="4" t="str">
        <f>IFERROR(__xludf.DUMMYFUNCTION("""COMPUTED_VALUE"""),"P3 - Medium")</f>
        <v>P3 - Medium</v>
      </c>
      <c r="C550" s="5">
        <f>IFERROR(__xludf.DUMMYFUNCTION("""COMPUTED_VALUE"""),43818.584756944445)</f>
        <v>43818.58476</v>
      </c>
      <c r="D550" s="4" t="str">
        <f>IFERROR(__xludf.DUMMYFUNCTION("""COMPUTED_VALUE"""),"RESOLVED")</f>
        <v>RESOLVED</v>
      </c>
      <c r="E550" s="6">
        <f>IFERROR(__xludf.DUMMYFUNCTION("""COMPUTED_VALUE"""),44384.797627314816)</f>
        <v>44384.79763</v>
      </c>
      <c r="F550" s="4" t="str">
        <f>IFERROR(__xludf.DUMMYFUNCTION("""COMPUTED_VALUE""")," ---")</f>
        <v> ---</v>
      </c>
      <c r="G550" s="4" t="str">
        <f>IFERROR(__xludf.DUMMYFUNCTION("""COMPUTED_VALUE"""),"SUSE Linux Enterprise Server 15 SP2")</f>
        <v>SUSE Linux Enterprise Server 15 SP2</v>
      </c>
      <c r="H550" s="7" t="str">
        <f t="shared" si="2"/>
        <v>NO</v>
      </c>
      <c r="I550" s="7" t="str">
        <f t="shared" si="3"/>
        <v>NO</v>
      </c>
    </row>
    <row r="551">
      <c r="A551" s="4">
        <f>IFERROR(__xludf.DUMMYFUNCTION("""COMPUTED_VALUE"""),1165618.0)</f>
        <v>1165618</v>
      </c>
      <c r="B551" s="4" t="str">
        <f>IFERROR(__xludf.DUMMYFUNCTION("""COMPUTED_VALUE"""),"P3 - Medium")</f>
        <v>P3 - Medium</v>
      </c>
      <c r="C551" s="5">
        <f>IFERROR(__xludf.DUMMYFUNCTION("""COMPUTED_VALUE"""),43894.24298611111)</f>
        <v>43894.24299</v>
      </c>
      <c r="D551" s="4" t="str">
        <f>IFERROR(__xludf.DUMMYFUNCTION("""COMPUTED_VALUE"""),"RESOLVED")</f>
        <v>RESOLVED</v>
      </c>
      <c r="E551" s="6">
        <f>IFERROR(__xludf.DUMMYFUNCTION("""COMPUTED_VALUE"""),44384.81753472222)</f>
        <v>44384.81753</v>
      </c>
      <c r="F551" s="4" t="str">
        <f>IFERROR(__xludf.DUMMYFUNCTION("""COMPUTED_VALUE""")," ---")</f>
        <v> ---</v>
      </c>
      <c r="G551" s="4" t="str">
        <f>IFERROR(__xludf.DUMMYFUNCTION("""COMPUTED_VALUE"""),"SUSE Linux Enterprise Server 15 SP2")</f>
        <v>SUSE Linux Enterprise Server 15 SP2</v>
      </c>
      <c r="H551" s="7" t="str">
        <f t="shared" si="2"/>
        <v>NO</v>
      </c>
      <c r="I551" s="7" t="str">
        <f t="shared" si="3"/>
        <v>NO</v>
      </c>
    </row>
    <row r="552">
      <c r="A552" s="4">
        <f>IFERROR(__xludf.DUMMYFUNCTION("""COMPUTED_VALUE"""),1167773.0)</f>
        <v>1167773</v>
      </c>
      <c r="B552" s="4" t="str">
        <f>IFERROR(__xludf.DUMMYFUNCTION("""COMPUTED_VALUE"""),"P3 - Medium")</f>
        <v>P3 - Medium</v>
      </c>
      <c r="C552" s="5">
        <f>IFERROR(__xludf.DUMMYFUNCTION("""COMPUTED_VALUE"""),43916.507314814815)</f>
        <v>43916.50731</v>
      </c>
      <c r="D552" s="4" t="str">
        <f>IFERROR(__xludf.DUMMYFUNCTION("""COMPUTED_VALUE"""),"RESOLVED")</f>
        <v>RESOLVED</v>
      </c>
      <c r="E552" s="6">
        <f>IFERROR(__xludf.DUMMYFUNCTION("""COMPUTED_VALUE"""),44736.681666666664)</f>
        <v>44736.68167</v>
      </c>
      <c r="F552" s="4" t="str">
        <f>IFERROR(__xludf.DUMMYFUNCTION("""COMPUTED_VALUE""")," ---")</f>
        <v> ---</v>
      </c>
      <c r="G552" s="4" t="str">
        <f>IFERROR(__xludf.DUMMYFUNCTION("""COMPUTED_VALUE"""),"SUSE Linux Enterprise Server 15 SP2")</f>
        <v>SUSE Linux Enterprise Server 15 SP2</v>
      </c>
      <c r="H552" s="7" t="str">
        <f t="shared" si="2"/>
        <v>NO</v>
      </c>
      <c r="I552" s="7" t="str">
        <f t="shared" si="3"/>
        <v>NO</v>
      </c>
    </row>
    <row r="553">
      <c r="A553" s="4">
        <f>IFERROR(__xludf.DUMMYFUNCTION("""COMPUTED_VALUE"""),1170774.0)</f>
        <v>1170774</v>
      </c>
      <c r="B553" s="4" t="str">
        <f>IFERROR(__xludf.DUMMYFUNCTION("""COMPUTED_VALUE"""),"P3 - Medium")</f>
        <v>P3 - Medium</v>
      </c>
      <c r="C553" s="5">
        <f>IFERROR(__xludf.DUMMYFUNCTION("""COMPUTED_VALUE"""),43950.30204861111)</f>
        <v>43950.30205</v>
      </c>
      <c r="D553" s="4" t="str">
        <f>IFERROR(__xludf.DUMMYFUNCTION("""COMPUTED_VALUE"""),"RESOLVED")</f>
        <v>RESOLVED</v>
      </c>
      <c r="E553" s="6">
        <f>IFERROR(__xludf.DUMMYFUNCTION("""COMPUTED_VALUE"""),44487.68347222222)</f>
        <v>44487.68347</v>
      </c>
      <c r="F553" s="4" t="str">
        <f>IFERROR(__xludf.DUMMYFUNCTION("""COMPUTED_VALUE""")," ---")</f>
        <v> ---</v>
      </c>
      <c r="G553" s="4" t="str">
        <f>IFERROR(__xludf.DUMMYFUNCTION("""COMPUTED_VALUE"""),"SUSE Linux Enterprise Server 15 SP2")</f>
        <v>SUSE Linux Enterprise Server 15 SP2</v>
      </c>
      <c r="H553" s="7" t="str">
        <f t="shared" si="2"/>
        <v>NO</v>
      </c>
      <c r="I553" s="7" t="str">
        <f t="shared" si="3"/>
        <v>NO</v>
      </c>
    </row>
    <row r="554">
      <c r="A554" s="4">
        <f>IFERROR(__xludf.DUMMYFUNCTION("""COMPUTED_VALUE"""),1172841.0)</f>
        <v>1172841</v>
      </c>
      <c r="B554" s="4" t="str">
        <f>IFERROR(__xludf.DUMMYFUNCTION("""COMPUTED_VALUE"""),"P3 - Medium")</f>
        <v>P3 - Medium</v>
      </c>
      <c r="C554" s="5">
        <f>IFERROR(__xludf.DUMMYFUNCTION("""COMPUTED_VALUE"""),43993.57414351852)</f>
        <v>43993.57414</v>
      </c>
      <c r="D554" s="4" t="str">
        <f>IFERROR(__xludf.DUMMYFUNCTION("""COMPUTED_VALUE"""),"RESOLVED")</f>
        <v>RESOLVED</v>
      </c>
      <c r="E554" s="6">
        <f>IFERROR(__xludf.DUMMYFUNCTION("""COMPUTED_VALUE"""),44384.83452546296)</f>
        <v>44384.83453</v>
      </c>
      <c r="F554" s="4" t="str">
        <f>IFERROR(__xludf.DUMMYFUNCTION("""COMPUTED_VALUE""")," ---")</f>
        <v> ---</v>
      </c>
      <c r="G554" s="4" t="str">
        <f>IFERROR(__xludf.DUMMYFUNCTION("""COMPUTED_VALUE"""),"SUSE Linux Enterprise Server 15 SP2")</f>
        <v>SUSE Linux Enterprise Server 15 SP2</v>
      </c>
      <c r="H554" s="7" t="str">
        <f t="shared" si="2"/>
        <v>NO</v>
      </c>
      <c r="I554" s="7" t="str">
        <f t="shared" si="3"/>
        <v>NO</v>
      </c>
    </row>
    <row r="555">
      <c r="A555" s="4">
        <f>IFERROR(__xludf.DUMMYFUNCTION("""COMPUTED_VALUE"""),1173017.0)</f>
        <v>1173017</v>
      </c>
      <c r="B555" s="4" t="str">
        <f>IFERROR(__xludf.DUMMYFUNCTION("""COMPUTED_VALUE"""),"P3 - Medium")</f>
        <v>P3 - Medium</v>
      </c>
      <c r="C555" s="5">
        <f>IFERROR(__xludf.DUMMYFUNCTION("""COMPUTED_VALUE"""),43999.237337962964)</f>
        <v>43999.23734</v>
      </c>
      <c r="D555" s="4" t="str">
        <f>IFERROR(__xludf.DUMMYFUNCTION("""COMPUTED_VALUE"""),"RESOLVED")</f>
        <v>RESOLVED</v>
      </c>
      <c r="E555" s="6">
        <f>IFERROR(__xludf.DUMMYFUNCTION("""COMPUTED_VALUE"""),44384.835497685184)</f>
        <v>44384.8355</v>
      </c>
      <c r="F555" s="4" t="str">
        <f>IFERROR(__xludf.DUMMYFUNCTION("""COMPUTED_VALUE""")," ---")</f>
        <v> ---</v>
      </c>
      <c r="G555" s="4" t="str">
        <f>IFERROR(__xludf.DUMMYFUNCTION("""COMPUTED_VALUE"""),"SUSE Linux Enterprise Server 15 SP2")</f>
        <v>SUSE Linux Enterprise Server 15 SP2</v>
      </c>
      <c r="H555" s="7" t="str">
        <f t="shared" si="2"/>
        <v>NO</v>
      </c>
      <c r="I555" s="7" t="str">
        <f t="shared" si="3"/>
        <v>NO</v>
      </c>
    </row>
    <row r="556">
      <c r="A556" s="4">
        <f>IFERROR(__xludf.DUMMYFUNCTION("""COMPUTED_VALUE"""),1155307.0)</f>
        <v>1155307</v>
      </c>
      <c r="B556" s="4" t="str">
        <f>IFERROR(__xludf.DUMMYFUNCTION("""COMPUTED_VALUE"""),"P3 - Medium")</f>
        <v>P3 - Medium</v>
      </c>
      <c r="C556" s="5">
        <f>IFERROR(__xludf.DUMMYFUNCTION("""COMPUTED_VALUE"""),43767.615798611114)</f>
        <v>43767.6158</v>
      </c>
      <c r="D556" s="4" t="str">
        <f>IFERROR(__xludf.DUMMYFUNCTION("""COMPUTED_VALUE"""),"RESOLVED")</f>
        <v>RESOLVED</v>
      </c>
      <c r="E556" s="6">
        <f>IFERROR(__xludf.DUMMYFUNCTION("""COMPUTED_VALUE"""),43844.21605324074)</f>
        <v>43844.21605</v>
      </c>
      <c r="F556" s="4" t="str">
        <f>IFERROR(__xludf.DUMMYFUNCTION("""COMPUTED_VALUE""")," ---")</f>
        <v> ---</v>
      </c>
      <c r="G556" s="4" t="str">
        <f>IFERROR(__xludf.DUMMYFUNCTION("""COMPUTED_VALUE"""),"SUSE Linux Enterprise Server 15 SP2")</f>
        <v>SUSE Linux Enterprise Server 15 SP2</v>
      </c>
      <c r="H556" s="7" t="str">
        <f t="shared" si="2"/>
        <v>NO</v>
      </c>
      <c r="I556" s="7" t="str">
        <f t="shared" si="3"/>
        <v>NO</v>
      </c>
    </row>
    <row r="557">
      <c r="A557" s="4">
        <f>IFERROR(__xludf.DUMMYFUNCTION("""COMPUTED_VALUE"""),1162123.0)</f>
        <v>1162123</v>
      </c>
      <c r="B557" s="4" t="str">
        <f>IFERROR(__xludf.DUMMYFUNCTION("""COMPUTED_VALUE"""),"P3 - Medium")</f>
        <v>P3 - Medium</v>
      </c>
      <c r="C557" s="5">
        <f>IFERROR(__xludf.DUMMYFUNCTION("""COMPUTED_VALUE"""),43859.6096412037)</f>
        <v>43859.60964</v>
      </c>
      <c r="D557" s="4" t="str">
        <f>IFERROR(__xludf.DUMMYFUNCTION("""COMPUTED_VALUE"""),"RESOLVED")</f>
        <v>RESOLVED</v>
      </c>
      <c r="E557" s="6">
        <f>IFERROR(__xludf.DUMMYFUNCTION("""COMPUTED_VALUE"""),43864.53733796296)</f>
        <v>43864.53734</v>
      </c>
      <c r="F557" s="4" t="str">
        <f>IFERROR(__xludf.DUMMYFUNCTION("""COMPUTED_VALUE""")," ---")</f>
        <v> ---</v>
      </c>
      <c r="G557" s="4" t="str">
        <f>IFERROR(__xludf.DUMMYFUNCTION("""COMPUTED_VALUE"""),"SUSE Linux Enterprise Server 15 SP2")</f>
        <v>SUSE Linux Enterprise Server 15 SP2</v>
      </c>
      <c r="H557" s="7" t="str">
        <f t="shared" si="2"/>
        <v>NO</v>
      </c>
      <c r="I557" s="7" t="str">
        <f t="shared" si="3"/>
        <v>YES</v>
      </c>
    </row>
    <row r="558">
      <c r="A558" s="4">
        <f>IFERROR(__xludf.DUMMYFUNCTION("""COMPUTED_VALUE"""),1165399.0)</f>
        <v>1165399</v>
      </c>
      <c r="B558" s="4" t="str">
        <f>IFERROR(__xludf.DUMMYFUNCTION("""COMPUTED_VALUE"""),"P3 - Medium")</f>
        <v>P3 - Medium</v>
      </c>
      <c r="C558" s="5">
        <f>IFERROR(__xludf.DUMMYFUNCTION("""COMPUTED_VALUE"""),43892.37175925926)</f>
        <v>43892.37176</v>
      </c>
      <c r="D558" s="4" t="str">
        <f>IFERROR(__xludf.DUMMYFUNCTION("""COMPUTED_VALUE"""),"RESOLVED")</f>
        <v>RESOLVED</v>
      </c>
      <c r="E558" s="6">
        <f>IFERROR(__xludf.DUMMYFUNCTION("""COMPUTED_VALUE"""),44302.63717592593)</f>
        <v>44302.63718</v>
      </c>
      <c r="F558" s="4" t="str">
        <f>IFERROR(__xludf.DUMMYFUNCTION("""COMPUTED_VALUE""")," ---")</f>
        <v> ---</v>
      </c>
      <c r="G558" s="4" t="str">
        <f>IFERROR(__xludf.DUMMYFUNCTION("""COMPUTED_VALUE"""),"SUSE Linux Enterprise Server 15 SP2")</f>
        <v>SUSE Linux Enterprise Server 15 SP2</v>
      </c>
      <c r="H558" s="7" t="str">
        <f t="shared" si="2"/>
        <v>NO</v>
      </c>
      <c r="I558" s="7" t="str">
        <f t="shared" si="3"/>
        <v>NO</v>
      </c>
    </row>
    <row r="559">
      <c r="A559" s="4">
        <f>IFERROR(__xludf.DUMMYFUNCTION("""COMPUTED_VALUE"""),1167517.0)</f>
        <v>1167517</v>
      </c>
      <c r="B559" s="4" t="str">
        <f>IFERROR(__xludf.DUMMYFUNCTION("""COMPUTED_VALUE"""),"P3 - Medium")</f>
        <v>P3 - Medium</v>
      </c>
      <c r="C559" s="5">
        <f>IFERROR(__xludf.DUMMYFUNCTION("""COMPUTED_VALUE"""),43914.33037037037)</f>
        <v>43914.33037</v>
      </c>
      <c r="D559" s="4" t="str">
        <f>IFERROR(__xludf.DUMMYFUNCTION("""COMPUTED_VALUE"""),"RESOLVED")</f>
        <v>RESOLVED</v>
      </c>
      <c r="E559" s="6">
        <f>IFERROR(__xludf.DUMMYFUNCTION("""COMPUTED_VALUE"""),44384.822233796294)</f>
        <v>44384.82223</v>
      </c>
      <c r="F559" s="4" t="str">
        <f>IFERROR(__xludf.DUMMYFUNCTION("""COMPUTED_VALUE""")," ---")</f>
        <v> ---</v>
      </c>
      <c r="G559" s="4" t="str">
        <f>IFERROR(__xludf.DUMMYFUNCTION("""COMPUTED_VALUE"""),"SUSE Linux Enterprise Server 15 SP2")</f>
        <v>SUSE Linux Enterprise Server 15 SP2</v>
      </c>
      <c r="H559" s="7" t="str">
        <f t="shared" si="2"/>
        <v>NO</v>
      </c>
      <c r="I559" s="7" t="str">
        <f t="shared" si="3"/>
        <v>NO</v>
      </c>
    </row>
    <row r="560">
      <c r="A560" s="4">
        <f>IFERROR(__xludf.DUMMYFUNCTION("""COMPUTED_VALUE"""),1169056.0)</f>
        <v>1169056</v>
      </c>
      <c r="B560" s="4" t="str">
        <f>IFERROR(__xludf.DUMMYFUNCTION("""COMPUTED_VALUE"""),"P3 - Medium")</f>
        <v>P3 - Medium</v>
      </c>
      <c r="C560" s="5">
        <f>IFERROR(__xludf.DUMMYFUNCTION("""COMPUTED_VALUE"""),43930.35234953704)</f>
        <v>43930.35235</v>
      </c>
      <c r="D560" s="4" t="str">
        <f>IFERROR(__xludf.DUMMYFUNCTION("""COMPUTED_VALUE"""),"RESOLVED")</f>
        <v>RESOLVED</v>
      </c>
      <c r="E560" s="6">
        <f>IFERROR(__xludf.DUMMYFUNCTION("""COMPUTED_VALUE"""),44384.82524305556)</f>
        <v>44384.82524</v>
      </c>
      <c r="F560" s="4" t="str">
        <f>IFERROR(__xludf.DUMMYFUNCTION("""COMPUTED_VALUE""")," ---")</f>
        <v> ---</v>
      </c>
      <c r="G560" s="4" t="str">
        <f>IFERROR(__xludf.DUMMYFUNCTION("""COMPUTED_VALUE"""),"SUSE Linux Enterprise Server 15 SP2")</f>
        <v>SUSE Linux Enterprise Server 15 SP2</v>
      </c>
      <c r="H560" s="7" t="str">
        <f t="shared" si="2"/>
        <v>NO</v>
      </c>
      <c r="I560" s="7" t="str">
        <f t="shared" si="3"/>
        <v>NO</v>
      </c>
    </row>
    <row r="561">
      <c r="A561" s="4">
        <f>IFERROR(__xludf.DUMMYFUNCTION("""COMPUTED_VALUE"""),1170879.0)</f>
        <v>1170879</v>
      </c>
      <c r="B561" s="4" t="str">
        <f>IFERROR(__xludf.DUMMYFUNCTION("""COMPUTED_VALUE"""),"P3 - Medium")</f>
        <v>P3 - Medium</v>
      </c>
      <c r="C561" s="5">
        <f>IFERROR(__xludf.DUMMYFUNCTION("""COMPUTED_VALUE"""),43951.11481481481)</f>
        <v>43951.11481</v>
      </c>
      <c r="D561" s="4" t="str">
        <f>IFERROR(__xludf.DUMMYFUNCTION("""COMPUTED_VALUE"""),"RESOLVED")</f>
        <v>RESOLVED</v>
      </c>
      <c r="E561" s="6">
        <f>IFERROR(__xludf.DUMMYFUNCTION("""COMPUTED_VALUE"""),44384.82638888889)</f>
        <v>44384.82639</v>
      </c>
      <c r="F561" s="4" t="str">
        <f>IFERROR(__xludf.DUMMYFUNCTION("""COMPUTED_VALUE""")," ---")</f>
        <v> ---</v>
      </c>
      <c r="G561" s="4" t="str">
        <f>IFERROR(__xludf.DUMMYFUNCTION("""COMPUTED_VALUE"""),"SUSE Linux Enterprise Server 15 SP2")</f>
        <v>SUSE Linux Enterprise Server 15 SP2</v>
      </c>
      <c r="H561" s="7" t="str">
        <f t="shared" si="2"/>
        <v>NO</v>
      </c>
      <c r="I561" s="7" t="str">
        <f t="shared" si="3"/>
        <v>NO</v>
      </c>
    </row>
    <row r="562">
      <c r="A562" s="4">
        <f>IFERROR(__xludf.DUMMYFUNCTION("""COMPUTED_VALUE"""),1171709.0)</f>
        <v>1171709</v>
      </c>
      <c r="B562" s="4" t="str">
        <f>IFERROR(__xludf.DUMMYFUNCTION("""COMPUTED_VALUE"""),"P3 - Medium")</f>
        <v>P3 - Medium</v>
      </c>
      <c r="C562" s="5">
        <f>IFERROR(__xludf.DUMMYFUNCTION("""COMPUTED_VALUE"""),43966.1959375)</f>
        <v>43966.19594</v>
      </c>
      <c r="D562" s="4" t="str">
        <f>IFERROR(__xludf.DUMMYFUNCTION("""COMPUTED_VALUE"""),"RESOLVED")</f>
        <v>RESOLVED</v>
      </c>
      <c r="E562" s="6">
        <f>IFERROR(__xludf.DUMMYFUNCTION("""COMPUTED_VALUE"""),44384.82902777778)</f>
        <v>44384.82903</v>
      </c>
      <c r="F562" s="4" t="str">
        <f>IFERROR(__xludf.DUMMYFUNCTION("""COMPUTED_VALUE""")," ---")</f>
        <v> ---</v>
      </c>
      <c r="G562" s="4" t="str">
        <f>IFERROR(__xludf.DUMMYFUNCTION("""COMPUTED_VALUE"""),"SUSE Linux Enterprise Server 15 SP2")</f>
        <v>SUSE Linux Enterprise Server 15 SP2</v>
      </c>
      <c r="H562" s="7" t="str">
        <f t="shared" si="2"/>
        <v>NO</v>
      </c>
      <c r="I562" s="7" t="str">
        <f t="shared" si="3"/>
        <v>NO</v>
      </c>
    </row>
    <row r="563">
      <c r="A563" s="4">
        <f>IFERROR(__xludf.DUMMYFUNCTION("""COMPUTED_VALUE"""),1172374.0)</f>
        <v>1172374</v>
      </c>
      <c r="B563" s="4" t="str">
        <f>IFERROR(__xludf.DUMMYFUNCTION("""COMPUTED_VALUE"""),"P3 - Medium")</f>
        <v>P3 - Medium</v>
      </c>
      <c r="C563" s="5">
        <f>IFERROR(__xludf.DUMMYFUNCTION("""COMPUTED_VALUE"""),43984.35159722222)</f>
        <v>43984.3516</v>
      </c>
      <c r="D563" s="4" t="str">
        <f>IFERROR(__xludf.DUMMYFUNCTION("""COMPUTED_VALUE"""),"RESOLVED")</f>
        <v>RESOLVED</v>
      </c>
      <c r="E563" s="6">
        <f>IFERROR(__xludf.DUMMYFUNCTION("""COMPUTED_VALUE"""),44384.833599537036)</f>
        <v>44384.8336</v>
      </c>
      <c r="F563" s="4" t="str">
        <f>IFERROR(__xludf.DUMMYFUNCTION("""COMPUTED_VALUE""")," ---")</f>
        <v> ---</v>
      </c>
      <c r="G563" s="4" t="str">
        <f>IFERROR(__xludf.DUMMYFUNCTION("""COMPUTED_VALUE"""),"SUSE Linux Enterprise Server 15 SP2")</f>
        <v>SUSE Linux Enterprise Server 15 SP2</v>
      </c>
      <c r="H563" s="7" t="str">
        <f t="shared" si="2"/>
        <v>NO</v>
      </c>
      <c r="I563" s="7" t="str">
        <f t="shared" si="3"/>
        <v>NO</v>
      </c>
    </row>
    <row r="564">
      <c r="A564" s="4">
        <f>IFERROR(__xludf.DUMMYFUNCTION("""COMPUTED_VALUE"""),1158962.0)</f>
        <v>1158962</v>
      </c>
      <c r="B564" s="4" t="str">
        <f>IFERROR(__xludf.DUMMYFUNCTION("""COMPUTED_VALUE"""),"P3 - Medium")</f>
        <v>P3 - Medium</v>
      </c>
      <c r="C564" s="5">
        <f>IFERROR(__xludf.DUMMYFUNCTION("""COMPUTED_VALUE"""),43809.779270833336)</f>
        <v>43809.77927</v>
      </c>
      <c r="D564" s="4" t="str">
        <f>IFERROR(__xludf.DUMMYFUNCTION("""COMPUTED_VALUE"""),"RESOLVED")</f>
        <v>RESOLVED</v>
      </c>
      <c r="E564" s="6">
        <f>IFERROR(__xludf.DUMMYFUNCTION("""COMPUTED_VALUE"""),44384.79659722222)</f>
        <v>44384.7966</v>
      </c>
      <c r="F564" s="4" t="str">
        <f>IFERROR(__xludf.DUMMYFUNCTION("""COMPUTED_VALUE""")," ---")</f>
        <v> ---</v>
      </c>
      <c r="G564" s="4" t="str">
        <f>IFERROR(__xludf.DUMMYFUNCTION("""COMPUTED_VALUE"""),"SUSE Linux Enterprise Server 15 SP2")</f>
        <v>SUSE Linux Enterprise Server 15 SP2</v>
      </c>
      <c r="H564" s="7" t="str">
        <f t="shared" si="2"/>
        <v>NO</v>
      </c>
      <c r="I564" s="7" t="str">
        <f t="shared" si="3"/>
        <v>NO</v>
      </c>
    </row>
    <row r="565">
      <c r="A565" s="4">
        <f>IFERROR(__xludf.DUMMYFUNCTION("""COMPUTED_VALUE"""),1160977.0)</f>
        <v>1160977</v>
      </c>
      <c r="B565" s="4" t="str">
        <f>IFERROR(__xludf.DUMMYFUNCTION("""COMPUTED_VALUE"""),"P3 - Medium")</f>
        <v>P3 - Medium</v>
      </c>
      <c r="C565" s="5">
        <f>IFERROR(__xludf.DUMMYFUNCTION("""COMPUTED_VALUE"""),43845.402025462965)</f>
        <v>43845.40203</v>
      </c>
      <c r="D565" s="4" t="str">
        <f>IFERROR(__xludf.DUMMYFUNCTION("""COMPUTED_VALUE"""),"RESOLVED")</f>
        <v>RESOLVED</v>
      </c>
      <c r="E565" s="6">
        <f>IFERROR(__xludf.DUMMYFUNCTION("""COMPUTED_VALUE"""),44384.80133101852)</f>
        <v>44384.80133</v>
      </c>
      <c r="F565" s="4" t="str">
        <f>IFERROR(__xludf.DUMMYFUNCTION("""COMPUTED_VALUE""")," ---")</f>
        <v> ---</v>
      </c>
      <c r="G565" s="4" t="str">
        <f>IFERROR(__xludf.DUMMYFUNCTION("""COMPUTED_VALUE"""),"SUSE Linux Enterprise Server 15 SP2")</f>
        <v>SUSE Linux Enterprise Server 15 SP2</v>
      </c>
      <c r="H565" s="7" t="str">
        <f t="shared" si="2"/>
        <v>NO</v>
      </c>
      <c r="I565" s="7" t="str">
        <f t="shared" si="3"/>
        <v>NO</v>
      </c>
    </row>
    <row r="566">
      <c r="A566" s="4">
        <f>IFERROR(__xludf.DUMMYFUNCTION("""COMPUTED_VALUE"""),1167164.0)</f>
        <v>1167164</v>
      </c>
      <c r="B566" s="4" t="str">
        <f>IFERROR(__xludf.DUMMYFUNCTION("""COMPUTED_VALUE"""),"P3 - Medium")</f>
        <v>P3 - Medium</v>
      </c>
      <c r="C566" s="5">
        <f>IFERROR(__xludf.DUMMYFUNCTION("""COMPUTED_VALUE"""),43909.805081018516)</f>
        <v>43909.80508</v>
      </c>
      <c r="D566" s="4" t="str">
        <f>IFERROR(__xludf.DUMMYFUNCTION("""COMPUTED_VALUE"""),"RESOLVED")</f>
        <v>RESOLVED</v>
      </c>
      <c r="E566" s="6">
        <f>IFERROR(__xludf.DUMMYFUNCTION("""COMPUTED_VALUE"""),43916.7969212963)</f>
        <v>43916.79692</v>
      </c>
      <c r="F566" s="4" t="str">
        <f>IFERROR(__xludf.DUMMYFUNCTION("""COMPUTED_VALUE""")," ---")</f>
        <v> ---</v>
      </c>
      <c r="G566" s="4" t="str">
        <f>IFERROR(__xludf.DUMMYFUNCTION("""COMPUTED_VALUE"""),"SUSE Linux Enterprise Server 15 SP2")</f>
        <v>SUSE Linux Enterprise Server 15 SP2</v>
      </c>
      <c r="H566" s="7" t="str">
        <f t="shared" si="2"/>
        <v>NO</v>
      </c>
      <c r="I566" s="7" t="str">
        <f t="shared" si="3"/>
        <v>NO</v>
      </c>
    </row>
    <row r="567">
      <c r="A567" s="4">
        <f>IFERROR(__xludf.DUMMYFUNCTION("""COMPUTED_VALUE"""),1159455.0)</f>
        <v>1159455</v>
      </c>
      <c r="B567" s="4" t="str">
        <f>IFERROR(__xludf.DUMMYFUNCTION("""COMPUTED_VALUE"""),"P3 - Medium")</f>
        <v>P3 - Medium</v>
      </c>
      <c r="C567" s="5">
        <f>IFERROR(__xludf.DUMMYFUNCTION("""COMPUTED_VALUE"""),43817.47883101852)</f>
        <v>43817.47883</v>
      </c>
      <c r="D567" s="4" t="str">
        <f>IFERROR(__xludf.DUMMYFUNCTION("""COMPUTED_VALUE"""),"RESOLVED")</f>
        <v>RESOLVED</v>
      </c>
      <c r="E567" s="6">
        <f>IFERROR(__xludf.DUMMYFUNCTION("""COMPUTED_VALUE"""),44384.79717592592)</f>
        <v>44384.79718</v>
      </c>
      <c r="F567" s="4" t="str">
        <f>IFERROR(__xludf.DUMMYFUNCTION("""COMPUTED_VALUE""")," ---")</f>
        <v> ---</v>
      </c>
      <c r="G567" s="4" t="str">
        <f>IFERROR(__xludf.DUMMYFUNCTION("""COMPUTED_VALUE"""),"SUSE Linux Enterprise Server 15 SP2")</f>
        <v>SUSE Linux Enterprise Server 15 SP2</v>
      </c>
      <c r="H567" s="7" t="str">
        <f t="shared" si="2"/>
        <v>NO</v>
      </c>
      <c r="I567" s="7" t="str">
        <f t="shared" si="3"/>
        <v>NO</v>
      </c>
    </row>
    <row r="568">
      <c r="A568" s="4">
        <f>IFERROR(__xludf.DUMMYFUNCTION("""COMPUTED_VALUE"""),1165692.0)</f>
        <v>1165692</v>
      </c>
      <c r="B568" s="4" t="str">
        <f>IFERROR(__xludf.DUMMYFUNCTION("""COMPUTED_VALUE"""),"P3 - Medium")</f>
        <v>P3 - Medium</v>
      </c>
      <c r="C568" s="5">
        <f>IFERROR(__xludf.DUMMYFUNCTION("""COMPUTED_VALUE"""),43894.56327546296)</f>
        <v>43894.56328</v>
      </c>
      <c r="D568" s="4" t="str">
        <f>IFERROR(__xludf.DUMMYFUNCTION("""COMPUTED_VALUE"""),"RESOLVED")</f>
        <v>RESOLVED</v>
      </c>
      <c r="E568" s="6">
        <f>IFERROR(__xludf.DUMMYFUNCTION("""COMPUTED_VALUE"""),44384.81760416667)</f>
        <v>44384.8176</v>
      </c>
      <c r="F568" s="4" t="str">
        <f>IFERROR(__xludf.DUMMYFUNCTION("""COMPUTED_VALUE""")," ---")</f>
        <v> ---</v>
      </c>
      <c r="G568" s="4" t="str">
        <f>IFERROR(__xludf.DUMMYFUNCTION("""COMPUTED_VALUE"""),"SUSE Linux Enterprise Server 15 SP2")</f>
        <v>SUSE Linux Enterprise Server 15 SP2</v>
      </c>
      <c r="H568" s="7" t="str">
        <f t="shared" si="2"/>
        <v>NO</v>
      </c>
      <c r="I568" s="7" t="str">
        <f t="shared" si="3"/>
        <v>NO</v>
      </c>
    </row>
    <row r="569">
      <c r="A569" s="4">
        <f>IFERROR(__xludf.DUMMYFUNCTION("""COMPUTED_VALUE"""),1167657.0)</f>
        <v>1167657</v>
      </c>
      <c r="B569" s="4" t="str">
        <f>IFERROR(__xludf.DUMMYFUNCTION("""COMPUTED_VALUE"""),"P3 - Medium")</f>
        <v>P3 - Medium</v>
      </c>
      <c r="C569" s="5">
        <f>IFERROR(__xludf.DUMMYFUNCTION("""COMPUTED_VALUE"""),43915.555868055555)</f>
        <v>43915.55587</v>
      </c>
      <c r="D569" s="4" t="str">
        <f>IFERROR(__xludf.DUMMYFUNCTION("""COMPUTED_VALUE"""),"RESOLVED")</f>
        <v>RESOLVED</v>
      </c>
      <c r="E569" s="6">
        <f>IFERROR(__xludf.DUMMYFUNCTION("""COMPUTED_VALUE"""),44384.82261574074)</f>
        <v>44384.82262</v>
      </c>
      <c r="F569" s="4" t="str">
        <f>IFERROR(__xludf.DUMMYFUNCTION("""COMPUTED_VALUE""")," ---")</f>
        <v> ---</v>
      </c>
      <c r="G569" s="4" t="str">
        <f>IFERROR(__xludf.DUMMYFUNCTION("""COMPUTED_VALUE"""),"SUSE Linux Enterprise Server 15 SP2")</f>
        <v>SUSE Linux Enterprise Server 15 SP2</v>
      </c>
      <c r="H569" s="7" t="str">
        <f t="shared" si="2"/>
        <v>NO</v>
      </c>
      <c r="I569" s="7" t="str">
        <f t="shared" si="3"/>
        <v>NO</v>
      </c>
    </row>
    <row r="570">
      <c r="A570" s="4">
        <f>IFERROR(__xludf.DUMMYFUNCTION("""COMPUTED_VALUE"""),1169515.0)</f>
        <v>1169515</v>
      </c>
      <c r="B570" s="4" t="str">
        <f>IFERROR(__xludf.DUMMYFUNCTION("""COMPUTED_VALUE"""),"P3 - Medium")</f>
        <v>P3 - Medium</v>
      </c>
      <c r="C570" s="5">
        <f>IFERROR(__xludf.DUMMYFUNCTION("""COMPUTED_VALUE"""),43936.35287037037)</f>
        <v>43936.35287</v>
      </c>
      <c r="D570" s="4" t="str">
        <f>IFERROR(__xludf.DUMMYFUNCTION("""COMPUTED_VALUE"""),"RESOLVED")</f>
        <v>RESOLVED</v>
      </c>
      <c r="E570" s="6">
        <f>IFERROR(__xludf.DUMMYFUNCTION("""COMPUTED_VALUE"""),44218.532002314816)</f>
        <v>44218.532</v>
      </c>
      <c r="F570" s="4" t="str">
        <f>IFERROR(__xludf.DUMMYFUNCTION("""COMPUTED_VALUE""")," ---")</f>
        <v> ---</v>
      </c>
      <c r="G570" s="4" t="str">
        <f>IFERROR(__xludf.DUMMYFUNCTION("""COMPUTED_VALUE"""),"SUSE Linux Enterprise Server 15 SP2")</f>
        <v>SUSE Linux Enterprise Server 15 SP2</v>
      </c>
      <c r="H570" s="7" t="str">
        <f t="shared" si="2"/>
        <v>NO</v>
      </c>
      <c r="I570" s="7" t="str">
        <f t="shared" si="3"/>
        <v>NO</v>
      </c>
    </row>
    <row r="571">
      <c r="A571" s="4">
        <f>IFERROR(__xludf.DUMMYFUNCTION("""COMPUTED_VALUE"""),1159100.0)</f>
        <v>1159100</v>
      </c>
      <c r="B571" s="4" t="str">
        <f>IFERROR(__xludf.DUMMYFUNCTION("""COMPUTED_VALUE"""),"P3 - Medium")</f>
        <v>P3 - Medium</v>
      </c>
      <c r="C571" s="5">
        <f>IFERROR(__xludf.DUMMYFUNCTION("""COMPUTED_VALUE"""),43811.48637731482)</f>
        <v>43811.48638</v>
      </c>
      <c r="D571" s="4" t="str">
        <f>IFERROR(__xludf.DUMMYFUNCTION("""COMPUTED_VALUE"""),"RESOLVED")</f>
        <v>RESOLVED</v>
      </c>
      <c r="E571" s="6">
        <f>IFERROR(__xludf.DUMMYFUNCTION("""COMPUTED_VALUE"""),43877.29605324074)</f>
        <v>43877.29605</v>
      </c>
      <c r="F571" s="4" t="str">
        <f>IFERROR(__xludf.DUMMYFUNCTION("""COMPUTED_VALUE""")," ---")</f>
        <v> ---</v>
      </c>
      <c r="G571" s="4" t="str">
        <f>IFERROR(__xludf.DUMMYFUNCTION("""COMPUTED_VALUE"""),"SUSE Linux Enterprise Server 15 SP2")</f>
        <v>SUSE Linux Enterprise Server 15 SP2</v>
      </c>
      <c r="H571" s="7" t="str">
        <f t="shared" si="2"/>
        <v>NO</v>
      </c>
      <c r="I571" s="7" t="str">
        <f t="shared" si="3"/>
        <v>NO</v>
      </c>
    </row>
    <row r="572">
      <c r="A572" s="4">
        <f>IFERROR(__xludf.DUMMYFUNCTION("""COMPUTED_VALUE"""),1161392.0)</f>
        <v>1161392</v>
      </c>
      <c r="B572" s="4" t="str">
        <f>IFERROR(__xludf.DUMMYFUNCTION("""COMPUTED_VALUE"""),"P3 - Medium")</f>
        <v>P3 - Medium</v>
      </c>
      <c r="C572" s="5">
        <f>IFERROR(__xludf.DUMMYFUNCTION("""COMPUTED_VALUE"""),43851.34767361111)</f>
        <v>43851.34767</v>
      </c>
      <c r="D572" s="4" t="str">
        <f>IFERROR(__xludf.DUMMYFUNCTION("""COMPUTED_VALUE"""),"RESOLVED")</f>
        <v>RESOLVED</v>
      </c>
      <c r="E572" s="6">
        <f>IFERROR(__xludf.DUMMYFUNCTION("""COMPUTED_VALUE"""),44047.253530092596)</f>
        <v>44047.25353</v>
      </c>
      <c r="F572" s="4" t="str">
        <f>IFERROR(__xludf.DUMMYFUNCTION("""COMPUTED_VALUE""")," ---")</f>
        <v> ---</v>
      </c>
      <c r="G572" s="4" t="str">
        <f>IFERROR(__xludf.DUMMYFUNCTION("""COMPUTED_VALUE"""),"SUSE Linux Enterprise Server 15 SP2")</f>
        <v>SUSE Linux Enterprise Server 15 SP2</v>
      </c>
      <c r="H572" s="7" t="str">
        <f t="shared" si="2"/>
        <v>NO</v>
      </c>
      <c r="I572" s="7" t="str">
        <f t="shared" si="3"/>
        <v>NO</v>
      </c>
    </row>
    <row r="573">
      <c r="A573" s="4">
        <f>IFERROR(__xludf.DUMMYFUNCTION("""COMPUTED_VALUE"""),1152525.0)</f>
        <v>1152525</v>
      </c>
      <c r="B573" s="4" t="str">
        <f>IFERROR(__xludf.DUMMYFUNCTION("""COMPUTED_VALUE"""),"P3 - Medium")</f>
        <v>P3 - Medium</v>
      </c>
      <c r="C573" s="5">
        <f>IFERROR(__xludf.DUMMYFUNCTION("""COMPUTED_VALUE"""),43738.552083333336)</f>
        <v>43738.55208</v>
      </c>
      <c r="D573" s="4" t="str">
        <f>IFERROR(__xludf.DUMMYFUNCTION("""COMPUTED_VALUE"""),"RESOLVED")</f>
        <v>RESOLVED</v>
      </c>
      <c r="E573" s="6">
        <f>IFERROR(__xludf.DUMMYFUNCTION("""COMPUTED_VALUE"""),44362.51243055556)</f>
        <v>44362.51243</v>
      </c>
      <c r="F573" s="4" t="str">
        <f>IFERROR(__xludf.DUMMYFUNCTION("""COMPUTED_VALUE""")," ---")</f>
        <v> ---</v>
      </c>
      <c r="G573" s="4" t="str">
        <f>IFERROR(__xludf.DUMMYFUNCTION("""COMPUTED_VALUE"""),"SUSE Linux Enterprise Server 15 SP2")</f>
        <v>SUSE Linux Enterprise Server 15 SP2</v>
      </c>
      <c r="H573" s="7" t="str">
        <f t="shared" si="2"/>
        <v>NO</v>
      </c>
      <c r="I573" s="7" t="str">
        <f t="shared" si="3"/>
        <v>NO</v>
      </c>
    </row>
    <row r="574">
      <c r="A574" s="4">
        <f>IFERROR(__xludf.DUMMYFUNCTION("""COMPUTED_VALUE"""),1154208.0)</f>
        <v>1154208</v>
      </c>
      <c r="B574" s="4" t="str">
        <f>IFERROR(__xludf.DUMMYFUNCTION("""COMPUTED_VALUE"""),"P3 - Medium")</f>
        <v>P3 - Medium</v>
      </c>
      <c r="C574" s="5">
        <f>IFERROR(__xludf.DUMMYFUNCTION("""COMPUTED_VALUE"""),43754.49332175926)</f>
        <v>43754.49332</v>
      </c>
      <c r="D574" s="4" t="str">
        <f>IFERROR(__xludf.DUMMYFUNCTION("""COMPUTED_VALUE"""),"RESOLVED")</f>
        <v>RESOLVED</v>
      </c>
      <c r="E574" s="6">
        <f>IFERROR(__xludf.DUMMYFUNCTION("""COMPUTED_VALUE"""),44384.789502314816)</f>
        <v>44384.7895</v>
      </c>
      <c r="F574" s="4" t="str">
        <f>IFERROR(__xludf.DUMMYFUNCTION("""COMPUTED_VALUE""")," ---")</f>
        <v> ---</v>
      </c>
      <c r="G574" s="4" t="str">
        <f>IFERROR(__xludf.DUMMYFUNCTION("""COMPUTED_VALUE"""),"SUSE Linux Enterprise Server 15 SP2")</f>
        <v>SUSE Linux Enterprise Server 15 SP2</v>
      </c>
      <c r="H574" s="7" t="str">
        <f t="shared" si="2"/>
        <v>NO</v>
      </c>
      <c r="I574" s="7" t="str">
        <f t="shared" si="3"/>
        <v>NO</v>
      </c>
    </row>
    <row r="575">
      <c r="A575" s="4">
        <f>IFERROR(__xludf.DUMMYFUNCTION("""COMPUTED_VALUE"""),1157757.0)</f>
        <v>1157757</v>
      </c>
      <c r="B575" s="4" t="str">
        <f>IFERROR(__xludf.DUMMYFUNCTION("""COMPUTED_VALUE"""),"P3 - Medium")</f>
        <v>P3 - Medium</v>
      </c>
      <c r="C575" s="5">
        <f>IFERROR(__xludf.DUMMYFUNCTION("""COMPUTED_VALUE"""),43795.36252314815)</f>
        <v>43795.36252</v>
      </c>
      <c r="D575" s="4" t="str">
        <f>IFERROR(__xludf.DUMMYFUNCTION("""COMPUTED_VALUE"""),"RESOLVED")</f>
        <v>RESOLVED</v>
      </c>
      <c r="E575" s="6">
        <f>IFERROR(__xludf.DUMMYFUNCTION("""COMPUTED_VALUE"""),44321.62510416667)</f>
        <v>44321.6251</v>
      </c>
      <c r="F575" s="4" t="str">
        <f>IFERROR(__xludf.DUMMYFUNCTION("""COMPUTED_VALUE""")," ---")</f>
        <v> ---</v>
      </c>
      <c r="G575" s="4" t="str">
        <f>IFERROR(__xludf.DUMMYFUNCTION("""COMPUTED_VALUE"""),"SUSE Linux Enterprise Server 15 SP2")</f>
        <v>SUSE Linux Enterprise Server 15 SP2</v>
      </c>
      <c r="H575" s="7" t="str">
        <f t="shared" si="2"/>
        <v>NO</v>
      </c>
      <c r="I575" s="7" t="str">
        <f t="shared" si="3"/>
        <v>NO</v>
      </c>
    </row>
    <row r="576">
      <c r="A576" s="4">
        <f>IFERROR(__xludf.DUMMYFUNCTION("""COMPUTED_VALUE"""),1159136.0)</f>
        <v>1159136</v>
      </c>
      <c r="B576" s="4" t="str">
        <f>IFERROR(__xludf.DUMMYFUNCTION("""COMPUTED_VALUE"""),"P3 - Medium")</f>
        <v>P3 - Medium</v>
      </c>
      <c r="C576" s="5">
        <f>IFERROR(__xludf.DUMMYFUNCTION("""COMPUTED_VALUE"""),43811.65972222222)</f>
        <v>43811.65972</v>
      </c>
      <c r="D576" s="4" t="str">
        <f>IFERROR(__xludf.DUMMYFUNCTION("""COMPUTED_VALUE"""),"RESOLVED")</f>
        <v>RESOLVED</v>
      </c>
      <c r="E576" s="6">
        <f>IFERROR(__xludf.DUMMYFUNCTION("""COMPUTED_VALUE"""),44116.41304398148)</f>
        <v>44116.41304</v>
      </c>
      <c r="F576" s="4" t="str">
        <f>IFERROR(__xludf.DUMMYFUNCTION("""COMPUTED_VALUE""")," ---")</f>
        <v> ---</v>
      </c>
      <c r="G576" s="4" t="str">
        <f>IFERROR(__xludf.DUMMYFUNCTION("""COMPUTED_VALUE"""),"SUSE Linux Enterprise Server 15 SP2")</f>
        <v>SUSE Linux Enterprise Server 15 SP2</v>
      </c>
      <c r="H576" s="7" t="str">
        <f t="shared" si="2"/>
        <v>NO</v>
      </c>
      <c r="I576" s="7" t="str">
        <f t="shared" si="3"/>
        <v>NO</v>
      </c>
    </row>
    <row r="577">
      <c r="A577" s="4">
        <f>IFERROR(__xludf.DUMMYFUNCTION("""COMPUTED_VALUE"""),1159535.0)</f>
        <v>1159535</v>
      </c>
      <c r="B577" s="4" t="str">
        <f>IFERROR(__xludf.DUMMYFUNCTION("""COMPUTED_VALUE"""),"P3 - Medium")</f>
        <v>P3 - Medium</v>
      </c>
      <c r="C577" s="5">
        <f>IFERROR(__xludf.DUMMYFUNCTION("""COMPUTED_VALUE"""),43818.437314814815)</f>
        <v>43818.43731</v>
      </c>
      <c r="D577" s="4" t="str">
        <f>IFERROR(__xludf.DUMMYFUNCTION("""COMPUTED_VALUE"""),"RESOLVED")</f>
        <v>RESOLVED</v>
      </c>
      <c r="E577" s="6">
        <f>IFERROR(__xludf.DUMMYFUNCTION("""COMPUTED_VALUE"""),44384.797476851854)</f>
        <v>44384.79748</v>
      </c>
      <c r="F577" s="4" t="str">
        <f>IFERROR(__xludf.DUMMYFUNCTION("""COMPUTED_VALUE""")," ---")</f>
        <v> ---</v>
      </c>
      <c r="G577" s="4" t="str">
        <f>IFERROR(__xludf.DUMMYFUNCTION("""COMPUTED_VALUE"""),"SUSE Linux Enterprise Server 15 SP2")</f>
        <v>SUSE Linux Enterprise Server 15 SP2</v>
      </c>
      <c r="H577" s="7" t="str">
        <f t="shared" si="2"/>
        <v>NO</v>
      </c>
      <c r="I577" s="7" t="str">
        <f t="shared" si="3"/>
        <v>NO</v>
      </c>
    </row>
    <row r="578">
      <c r="A578" s="4">
        <f>IFERROR(__xludf.DUMMYFUNCTION("""COMPUTED_VALUE"""),1159537.0)</f>
        <v>1159537</v>
      </c>
      <c r="B578" s="4" t="str">
        <f>IFERROR(__xludf.DUMMYFUNCTION("""COMPUTED_VALUE"""),"P3 - Medium")</f>
        <v>P3 - Medium</v>
      </c>
      <c r="C578" s="5">
        <f>IFERROR(__xludf.DUMMYFUNCTION("""COMPUTED_VALUE"""),43818.44038194444)</f>
        <v>43818.44038</v>
      </c>
      <c r="D578" s="4" t="str">
        <f>IFERROR(__xludf.DUMMYFUNCTION("""COMPUTED_VALUE"""),"RESOLVED")</f>
        <v>RESOLVED</v>
      </c>
      <c r="E578" s="6">
        <f>IFERROR(__xludf.DUMMYFUNCTION("""COMPUTED_VALUE"""),44384.79754629629)</f>
        <v>44384.79755</v>
      </c>
      <c r="F578" s="4" t="str">
        <f>IFERROR(__xludf.DUMMYFUNCTION("""COMPUTED_VALUE""")," ---")</f>
        <v> ---</v>
      </c>
      <c r="G578" s="4" t="str">
        <f>IFERROR(__xludf.DUMMYFUNCTION("""COMPUTED_VALUE"""),"SUSE Linux Enterprise Server 15 SP2")</f>
        <v>SUSE Linux Enterprise Server 15 SP2</v>
      </c>
      <c r="H578" s="7" t="str">
        <f t="shared" si="2"/>
        <v>NO</v>
      </c>
      <c r="I578" s="7" t="str">
        <f t="shared" si="3"/>
        <v>NO</v>
      </c>
    </row>
    <row r="579">
      <c r="A579" s="4">
        <f>IFERROR(__xludf.DUMMYFUNCTION("""COMPUTED_VALUE"""),1161495.0)</f>
        <v>1161495</v>
      </c>
      <c r="B579" s="4" t="str">
        <f>IFERROR(__xludf.DUMMYFUNCTION("""COMPUTED_VALUE"""),"P3 - Medium")</f>
        <v>P3 - Medium</v>
      </c>
      <c r="C579" s="5">
        <f>IFERROR(__xludf.DUMMYFUNCTION("""COMPUTED_VALUE"""),43852.365324074075)</f>
        <v>43852.36532</v>
      </c>
      <c r="D579" s="4" t="str">
        <f>IFERROR(__xludf.DUMMYFUNCTION("""COMPUTED_VALUE"""),"RESOLVED")</f>
        <v>RESOLVED</v>
      </c>
      <c r="E579" s="6">
        <f>IFERROR(__xludf.DUMMYFUNCTION("""COMPUTED_VALUE"""),44668.48993055556)</f>
        <v>44668.48993</v>
      </c>
      <c r="F579" s="4" t="str">
        <f>IFERROR(__xludf.DUMMYFUNCTION("""COMPUTED_VALUE""")," ---")</f>
        <v> ---</v>
      </c>
      <c r="G579" s="4" t="str">
        <f>IFERROR(__xludf.DUMMYFUNCTION("""COMPUTED_VALUE"""),"SUSE Linux Enterprise Server 15 SP2")</f>
        <v>SUSE Linux Enterprise Server 15 SP2</v>
      </c>
      <c r="H579" s="7" t="str">
        <f t="shared" si="2"/>
        <v>NO</v>
      </c>
      <c r="I579" s="7" t="str">
        <f t="shared" si="3"/>
        <v>NO</v>
      </c>
    </row>
    <row r="580">
      <c r="A580" s="4">
        <f>IFERROR(__xludf.DUMMYFUNCTION("""COMPUTED_VALUE"""),1161565.0)</f>
        <v>1161565</v>
      </c>
      <c r="B580" s="4" t="str">
        <f>IFERROR(__xludf.DUMMYFUNCTION("""COMPUTED_VALUE"""),"P3 - Medium")</f>
        <v>P3 - Medium</v>
      </c>
      <c r="C580" s="5">
        <f>IFERROR(__xludf.DUMMYFUNCTION("""COMPUTED_VALUE"""),43852.687002314815)</f>
        <v>43852.687</v>
      </c>
      <c r="D580" s="4" t="str">
        <f>IFERROR(__xludf.DUMMYFUNCTION("""COMPUTED_VALUE"""),"RESOLVED")</f>
        <v>RESOLVED</v>
      </c>
      <c r="E580" s="6">
        <f>IFERROR(__xludf.DUMMYFUNCTION("""COMPUTED_VALUE"""),44319.44159722222)</f>
        <v>44319.4416</v>
      </c>
      <c r="F580" s="4" t="str">
        <f>IFERROR(__xludf.DUMMYFUNCTION("""COMPUTED_VALUE""")," ---")</f>
        <v> ---</v>
      </c>
      <c r="G580" s="4" t="str">
        <f>IFERROR(__xludf.DUMMYFUNCTION("""COMPUTED_VALUE"""),"SUSE Linux Enterprise Server 15 SP2")</f>
        <v>SUSE Linux Enterprise Server 15 SP2</v>
      </c>
      <c r="H580" s="7" t="str">
        <f t="shared" si="2"/>
        <v>NO</v>
      </c>
      <c r="I580" s="7" t="str">
        <f t="shared" si="3"/>
        <v>NO</v>
      </c>
    </row>
    <row r="581">
      <c r="A581" s="4">
        <f>IFERROR(__xludf.DUMMYFUNCTION("""COMPUTED_VALUE"""),1164534.0)</f>
        <v>1164534</v>
      </c>
      <c r="B581" s="4" t="str">
        <f>IFERROR(__xludf.DUMMYFUNCTION("""COMPUTED_VALUE"""),"P3 - Medium")</f>
        <v>P3 - Medium</v>
      </c>
      <c r="C581" s="5">
        <f>IFERROR(__xludf.DUMMYFUNCTION("""COMPUTED_VALUE"""),43882.047418981485)</f>
        <v>43882.04742</v>
      </c>
      <c r="D581" s="4" t="str">
        <f>IFERROR(__xludf.DUMMYFUNCTION("""COMPUTED_VALUE"""),"RESOLVED")</f>
        <v>RESOLVED</v>
      </c>
      <c r="E581" s="6">
        <f>IFERROR(__xludf.DUMMYFUNCTION("""COMPUTED_VALUE"""),44628.43958333333)</f>
        <v>44628.43958</v>
      </c>
      <c r="F581" s="4" t="str">
        <f>IFERROR(__xludf.DUMMYFUNCTION("""COMPUTED_VALUE""")," ---")</f>
        <v> ---</v>
      </c>
      <c r="G581" s="4" t="str">
        <f>IFERROR(__xludf.DUMMYFUNCTION("""COMPUTED_VALUE"""),"SUSE Linux Enterprise Server 15 SP2")</f>
        <v>SUSE Linux Enterprise Server 15 SP2</v>
      </c>
      <c r="H581" s="7" t="str">
        <f t="shared" si="2"/>
        <v>NO</v>
      </c>
      <c r="I581" s="7" t="str">
        <f t="shared" si="3"/>
        <v>NO</v>
      </c>
    </row>
    <row r="582">
      <c r="A582" s="4">
        <f>IFERROR(__xludf.DUMMYFUNCTION("""COMPUTED_VALUE"""),1165455.0)</f>
        <v>1165455</v>
      </c>
      <c r="B582" s="4" t="str">
        <f>IFERROR(__xludf.DUMMYFUNCTION("""COMPUTED_VALUE"""),"P3 - Medium")</f>
        <v>P3 - Medium</v>
      </c>
      <c r="C582" s="5">
        <f>IFERROR(__xludf.DUMMYFUNCTION("""COMPUTED_VALUE"""),43892.62175925926)</f>
        <v>43892.62176</v>
      </c>
      <c r="D582" s="4" t="str">
        <f>IFERROR(__xludf.DUMMYFUNCTION("""COMPUTED_VALUE"""),"RESOLVED")</f>
        <v>RESOLVED</v>
      </c>
      <c r="E582" s="6">
        <f>IFERROR(__xludf.DUMMYFUNCTION("""COMPUTED_VALUE"""),44384.81730324074)</f>
        <v>44384.8173</v>
      </c>
      <c r="F582" s="4" t="str">
        <f>IFERROR(__xludf.DUMMYFUNCTION("""COMPUTED_VALUE""")," ---")</f>
        <v> ---</v>
      </c>
      <c r="G582" s="4" t="str">
        <f>IFERROR(__xludf.DUMMYFUNCTION("""COMPUTED_VALUE"""),"SUSE Linux Enterprise Server 15 SP2")</f>
        <v>SUSE Linux Enterprise Server 15 SP2</v>
      </c>
      <c r="H582" s="7" t="str">
        <f t="shared" si="2"/>
        <v>NO</v>
      </c>
      <c r="I582" s="7" t="str">
        <f t="shared" si="3"/>
        <v>NO</v>
      </c>
    </row>
    <row r="583">
      <c r="A583" s="4">
        <f>IFERROR(__xludf.DUMMYFUNCTION("""COMPUTED_VALUE"""),1167137.0)</f>
        <v>1167137</v>
      </c>
      <c r="B583" s="4" t="str">
        <f>IFERROR(__xludf.DUMMYFUNCTION("""COMPUTED_VALUE"""),"P3 - Medium")</f>
        <v>P3 - Medium</v>
      </c>
      <c r="C583" s="5">
        <f>IFERROR(__xludf.DUMMYFUNCTION("""COMPUTED_VALUE"""),43909.65939814815)</f>
        <v>43909.6594</v>
      </c>
      <c r="D583" s="4" t="str">
        <f>IFERROR(__xludf.DUMMYFUNCTION("""COMPUTED_VALUE"""),"RESOLVED")</f>
        <v>RESOLVED</v>
      </c>
      <c r="E583" s="6">
        <f>IFERROR(__xludf.DUMMYFUNCTION("""COMPUTED_VALUE"""),44384.821550925924)</f>
        <v>44384.82155</v>
      </c>
      <c r="F583" s="4" t="str">
        <f>IFERROR(__xludf.DUMMYFUNCTION("""COMPUTED_VALUE""")," ---")</f>
        <v> ---</v>
      </c>
      <c r="G583" s="4" t="str">
        <f>IFERROR(__xludf.DUMMYFUNCTION("""COMPUTED_VALUE"""),"SUSE Linux Enterprise Server 15 SP2")</f>
        <v>SUSE Linux Enterprise Server 15 SP2</v>
      </c>
      <c r="H583" s="7" t="str">
        <f t="shared" si="2"/>
        <v>NO</v>
      </c>
      <c r="I583" s="7" t="str">
        <f t="shared" si="3"/>
        <v>NO</v>
      </c>
    </row>
    <row r="584">
      <c r="A584" s="4">
        <f>IFERROR(__xludf.DUMMYFUNCTION("""COMPUTED_VALUE"""),1167260.0)</f>
        <v>1167260</v>
      </c>
      <c r="B584" s="4" t="str">
        <f>IFERROR(__xludf.DUMMYFUNCTION("""COMPUTED_VALUE"""),"P3 - Medium")</f>
        <v>P3 - Medium</v>
      </c>
      <c r="C584" s="5">
        <f>IFERROR(__xludf.DUMMYFUNCTION("""COMPUTED_VALUE"""),43910.56277777778)</f>
        <v>43910.56278</v>
      </c>
      <c r="D584" s="4" t="str">
        <f>IFERROR(__xludf.DUMMYFUNCTION("""COMPUTED_VALUE"""),"RESOLVED")</f>
        <v>RESOLVED</v>
      </c>
      <c r="E584" s="6">
        <f>IFERROR(__xludf.DUMMYFUNCTION("""COMPUTED_VALUE"""),44388.717152777775)</f>
        <v>44388.71715</v>
      </c>
      <c r="F584" s="4" t="str">
        <f>IFERROR(__xludf.DUMMYFUNCTION("""COMPUTED_VALUE""")," ---")</f>
        <v> ---</v>
      </c>
      <c r="G584" s="4" t="str">
        <f>IFERROR(__xludf.DUMMYFUNCTION("""COMPUTED_VALUE"""),"SUSE Linux Enterprise Server 15 SP2")</f>
        <v>SUSE Linux Enterprise Server 15 SP2</v>
      </c>
      <c r="H584" s="7" t="str">
        <f t="shared" si="2"/>
        <v>NO</v>
      </c>
      <c r="I584" s="7" t="str">
        <f t="shared" si="3"/>
        <v>NO</v>
      </c>
    </row>
    <row r="585">
      <c r="A585" s="4">
        <f>IFERROR(__xludf.DUMMYFUNCTION("""COMPUTED_VALUE"""),1168476.0)</f>
        <v>1168476</v>
      </c>
      <c r="B585" s="4" t="str">
        <f>IFERROR(__xludf.DUMMYFUNCTION("""COMPUTED_VALUE"""),"P3 - Medium")</f>
        <v>P3 - Medium</v>
      </c>
      <c r="C585" s="5">
        <f>IFERROR(__xludf.DUMMYFUNCTION("""COMPUTED_VALUE"""),43923.63586805556)</f>
        <v>43923.63587</v>
      </c>
      <c r="D585" s="4" t="str">
        <f>IFERROR(__xludf.DUMMYFUNCTION("""COMPUTED_VALUE"""),"RESOLVED")</f>
        <v>RESOLVED</v>
      </c>
      <c r="E585" s="6">
        <f>IFERROR(__xludf.DUMMYFUNCTION("""COMPUTED_VALUE"""),44384.82361111111)</f>
        <v>44384.82361</v>
      </c>
      <c r="F585" s="4" t="str">
        <f>IFERROR(__xludf.DUMMYFUNCTION("""COMPUTED_VALUE""")," ---")</f>
        <v> ---</v>
      </c>
      <c r="G585" s="4" t="str">
        <f>IFERROR(__xludf.DUMMYFUNCTION("""COMPUTED_VALUE"""),"SUSE Linux Enterprise Server 15 SP2")</f>
        <v>SUSE Linux Enterprise Server 15 SP2</v>
      </c>
      <c r="H585" s="7" t="str">
        <f t="shared" si="2"/>
        <v>NO</v>
      </c>
      <c r="I585" s="7" t="str">
        <f t="shared" si="3"/>
        <v>NO</v>
      </c>
    </row>
    <row r="586">
      <c r="A586" s="4">
        <f>IFERROR(__xludf.DUMMYFUNCTION("""COMPUTED_VALUE"""),1168737.0)</f>
        <v>1168737</v>
      </c>
      <c r="B586" s="4" t="str">
        <f>IFERROR(__xludf.DUMMYFUNCTION("""COMPUTED_VALUE"""),"P3 - Medium")</f>
        <v>P3 - Medium</v>
      </c>
      <c r="C586" s="5">
        <f>IFERROR(__xludf.DUMMYFUNCTION("""COMPUTED_VALUE"""),43927.58280092593)</f>
        <v>43927.5828</v>
      </c>
      <c r="D586" s="4" t="str">
        <f>IFERROR(__xludf.DUMMYFUNCTION("""COMPUTED_VALUE"""),"RESOLVED")</f>
        <v>RESOLVED</v>
      </c>
      <c r="E586" s="6">
        <f>IFERROR(__xludf.DUMMYFUNCTION("""COMPUTED_VALUE"""),44056.46665509259)</f>
        <v>44056.46666</v>
      </c>
      <c r="F586" s="4" t="str">
        <f>IFERROR(__xludf.DUMMYFUNCTION("""COMPUTED_VALUE""")," ---")</f>
        <v> ---</v>
      </c>
      <c r="G586" s="4" t="str">
        <f>IFERROR(__xludf.DUMMYFUNCTION("""COMPUTED_VALUE"""),"SUSE Linux Enterprise Server 15 SP2")</f>
        <v>SUSE Linux Enterprise Server 15 SP2</v>
      </c>
      <c r="H586" s="7" t="str">
        <f t="shared" si="2"/>
        <v>NO</v>
      </c>
      <c r="I586" s="7" t="str">
        <f t="shared" si="3"/>
        <v>NO</v>
      </c>
    </row>
    <row r="587">
      <c r="A587" s="4">
        <f>IFERROR(__xludf.DUMMYFUNCTION("""COMPUTED_VALUE"""),1171156.0)</f>
        <v>1171156</v>
      </c>
      <c r="B587" s="4" t="str">
        <f>IFERROR(__xludf.DUMMYFUNCTION("""COMPUTED_VALUE"""),"P3 - Medium")</f>
        <v>P3 - Medium</v>
      </c>
      <c r="C587" s="5">
        <f>IFERROR(__xludf.DUMMYFUNCTION("""COMPUTED_VALUE"""),43956.38613425926)</f>
        <v>43956.38613</v>
      </c>
      <c r="D587" s="4" t="str">
        <f>IFERROR(__xludf.DUMMYFUNCTION("""COMPUTED_VALUE"""),"RESOLVED")</f>
        <v>RESOLVED</v>
      </c>
      <c r="E587" s="6">
        <f>IFERROR(__xludf.DUMMYFUNCTION("""COMPUTED_VALUE"""),44384.827627314815)</f>
        <v>44384.82763</v>
      </c>
      <c r="F587" s="4" t="str">
        <f>IFERROR(__xludf.DUMMYFUNCTION("""COMPUTED_VALUE""")," ---")</f>
        <v> ---</v>
      </c>
      <c r="G587" s="4" t="str">
        <f>IFERROR(__xludf.DUMMYFUNCTION("""COMPUTED_VALUE"""),"SUSE Linux Enterprise Server 15 SP2")</f>
        <v>SUSE Linux Enterprise Server 15 SP2</v>
      </c>
      <c r="H587" s="7" t="str">
        <f t="shared" si="2"/>
        <v>NO</v>
      </c>
      <c r="I587" s="7" t="str">
        <f t="shared" si="3"/>
        <v>NO</v>
      </c>
    </row>
    <row r="588">
      <c r="A588" s="4">
        <f>IFERROR(__xludf.DUMMYFUNCTION("""COMPUTED_VALUE"""),1173219.0)</f>
        <v>1173219</v>
      </c>
      <c r="B588" s="4" t="str">
        <f>IFERROR(__xludf.DUMMYFUNCTION("""COMPUTED_VALUE"""),"P3 - Medium")</f>
        <v>P3 - Medium</v>
      </c>
      <c r="C588" s="5">
        <f>IFERROR(__xludf.DUMMYFUNCTION("""COMPUTED_VALUE"""),44004.64357638889)</f>
        <v>44004.64358</v>
      </c>
      <c r="D588" s="4" t="str">
        <f>IFERROR(__xludf.DUMMYFUNCTION("""COMPUTED_VALUE"""),"RESOLVED")</f>
        <v>RESOLVED</v>
      </c>
      <c r="E588" s="6">
        <f>IFERROR(__xludf.DUMMYFUNCTION("""COMPUTED_VALUE"""),44033.56267361111)</f>
        <v>44033.56267</v>
      </c>
      <c r="F588" s="4" t="str">
        <f>IFERROR(__xludf.DUMMYFUNCTION("""COMPUTED_VALUE""")," ---")</f>
        <v> ---</v>
      </c>
      <c r="G588" s="4" t="str">
        <f>IFERROR(__xludf.DUMMYFUNCTION("""COMPUTED_VALUE"""),"SUSE Linux Enterprise Server 15 SP2")</f>
        <v>SUSE Linux Enterprise Server 15 SP2</v>
      </c>
      <c r="H588" s="7" t="str">
        <f t="shared" si="2"/>
        <v>NO</v>
      </c>
      <c r="I588" s="7" t="str">
        <f t="shared" si="3"/>
        <v>NO</v>
      </c>
    </row>
    <row r="589">
      <c r="A589" s="4">
        <f>IFERROR(__xludf.DUMMYFUNCTION("""COMPUTED_VALUE"""),1158504.0)</f>
        <v>1158504</v>
      </c>
      <c r="B589" s="4" t="str">
        <f>IFERROR(__xludf.DUMMYFUNCTION("""COMPUTED_VALUE"""),"P3 - Medium")</f>
        <v>P3 - Medium</v>
      </c>
      <c r="C589" s="5">
        <f>IFERROR(__xludf.DUMMYFUNCTION("""COMPUTED_VALUE"""),43804.31383101852)</f>
        <v>43804.31383</v>
      </c>
      <c r="D589" s="4" t="str">
        <f>IFERROR(__xludf.DUMMYFUNCTION("""COMPUTED_VALUE"""),"VERIFIED")</f>
        <v>VERIFIED</v>
      </c>
      <c r="E589" s="6">
        <f>IFERROR(__xludf.DUMMYFUNCTION("""COMPUTED_VALUE"""),44447.77521990741)</f>
        <v>44447.77522</v>
      </c>
      <c r="F589" s="4" t="str">
        <f>IFERROR(__xludf.DUMMYFUNCTION("""COMPUTED_VALUE""")," ---")</f>
        <v> ---</v>
      </c>
      <c r="G589" s="4" t="str">
        <f>IFERROR(__xludf.DUMMYFUNCTION("""COMPUTED_VALUE"""),"SUSE Linux Enterprise Server 15 SP2")</f>
        <v>SUSE Linux Enterprise Server 15 SP2</v>
      </c>
      <c r="H589" s="7" t="str">
        <f t="shared" si="2"/>
        <v>NO</v>
      </c>
      <c r="I589" s="7" t="str">
        <f t="shared" si="3"/>
        <v>NO</v>
      </c>
    </row>
    <row r="590">
      <c r="A590" s="4">
        <f>IFERROR(__xludf.DUMMYFUNCTION("""COMPUTED_VALUE"""),1158509.0)</f>
        <v>1158509</v>
      </c>
      <c r="B590" s="4" t="str">
        <f>IFERROR(__xludf.DUMMYFUNCTION("""COMPUTED_VALUE"""),"P3 - Medium")</f>
        <v>P3 - Medium</v>
      </c>
      <c r="C590" s="5">
        <f>IFERROR(__xludf.DUMMYFUNCTION("""COMPUTED_VALUE"""),43804.37726851852)</f>
        <v>43804.37727</v>
      </c>
      <c r="D590" s="4" t="str">
        <f>IFERROR(__xludf.DUMMYFUNCTION("""COMPUTED_VALUE"""),"VERIFIED")</f>
        <v>VERIFIED</v>
      </c>
      <c r="E590" s="6">
        <f>IFERROR(__xludf.DUMMYFUNCTION("""COMPUTED_VALUE"""),44447.775300925925)</f>
        <v>44447.7753</v>
      </c>
      <c r="F590" s="4" t="str">
        <f>IFERROR(__xludf.DUMMYFUNCTION("""COMPUTED_VALUE""")," ---")</f>
        <v> ---</v>
      </c>
      <c r="G590" s="4" t="str">
        <f>IFERROR(__xludf.DUMMYFUNCTION("""COMPUTED_VALUE"""),"SUSE Linux Enterprise Server 15 SP2")</f>
        <v>SUSE Linux Enterprise Server 15 SP2</v>
      </c>
      <c r="H590" s="7" t="str">
        <f t="shared" si="2"/>
        <v>NO</v>
      </c>
      <c r="I590" s="7" t="str">
        <f t="shared" si="3"/>
        <v>NO</v>
      </c>
    </row>
    <row r="591">
      <c r="A591" s="4">
        <f>IFERROR(__xludf.DUMMYFUNCTION("""COMPUTED_VALUE"""),1165806.0)</f>
        <v>1165806</v>
      </c>
      <c r="B591" s="4" t="str">
        <f>IFERROR(__xludf.DUMMYFUNCTION("""COMPUTED_VALUE"""),"P3 - Medium")</f>
        <v>P3 - Medium</v>
      </c>
      <c r="C591" s="5">
        <f>IFERROR(__xludf.DUMMYFUNCTION("""COMPUTED_VALUE"""),43895.4991087963)</f>
        <v>43895.49911</v>
      </c>
      <c r="D591" s="4" t="str">
        <f>IFERROR(__xludf.DUMMYFUNCTION("""COMPUTED_VALUE"""),"VERIFIED")</f>
        <v>VERIFIED</v>
      </c>
      <c r="E591" s="6">
        <f>IFERROR(__xludf.DUMMYFUNCTION("""COMPUTED_VALUE"""),44384.81768518518)</f>
        <v>44384.81769</v>
      </c>
      <c r="F591" s="4" t="str">
        <f>IFERROR(__xludf.DUMMYFUNCTION("""COMPUTED_VALUE""")," ---")</f>
        <v> ---</v>
      </c>
      <c r="G591" s="4" t="str">
        <f>IFERROR(__xludf.DUMMYFUNCTION("""COMPUTED_VALUE"""),"SUSE Linux Enterprise Server 15 SP2")</f>
        <v>SUSE Linux Enterprise Server 15 SP2</v>
      </c>
      <c r="H591" s="7" t="str">
        <f t="shared" si="2"/>
        <v>NO</v>
      </c>
      <c r="I591" s="7" t="str">
        <f t="shared" si="3"/>
        <v>NO</v>
      </c>
    </row>
    <row r="592">
      <c r="A592" s="4">
        <f>IFERROR(__xludf.DUMMYFUNCTION("""COMPUTED_VALUE"""),1165807.0)</f>
        <v>1165807</v>
      </c>
      <c r="B592" s="4" t="str">
        <f>IFERROR(__xludf.DUMMYFUNCTION("""COMPUTED_VALUE"""),"P3 - Medium")</f>
        <v>P3 - Medium</v>
      </c>
      <c r="C592" s="5">
        <f>IFERROR(__xludf.DUMMYFUNCTION("""COMPUTED_VALUE"""),43895.50077546296)</f>
        <v>43895.50078</v>
      </c>
      <c r="D592" s="4" t="str">
        <f>IFERROR(__xludf.DUMMYFUNCTION("""COMPUTED_VALUE"""),"VERIFIED")</f>
        <v>VERIFIED</v>
      </c>
      <c r="E592" s="6">
        <f>IFERROR(__xludf.DUMMYFUNCTION("""COMPUTED_VALUE"""),44384.817766203705)</f>
        <v>44384.81777</v>
      </c>
      <c r="F592" s="4" t="str">
        <f>IFERROR(__xludf.DUMMYFUNCTION("""COMPUTED_VALUE""")," ---")</f>
        <v> ---</v>
      </c>
      <c r="G592" s="4" t="str">
        <f>IFERROR(__xludf.DUMMYFUNCTION("""COMPUTED_VALUE"""),"SUSE Linux Enterprise Server 15 SP2")</f>
        <v>SUSE Linux Enterprise Server 15 SP2</v>
      </c>
      <c r="H592" s="7" t="str">
        <f t="shared" si="2"/>
        <v>NO</v>
      </c>
      <c r="I592" s="7" t="str">
        <f t="shared" si="3"/>
        <v>NO</v>
      </c>
    </row>
    <row r="593">
      <c r="A593" s="4">
        <f>IFERROR(__xludf.DUMMYFUNCTION("""COMPUTED_VALUE"""),1165873.0)</f>
        <v>1165873</v>
      </c>
      <c r="B593" s="4" t="str">
        <f>IFERROR(__xludf.DUMMYFUNCTION("""COMPUTED_VALUE"""),"P3 - Medium")</f>
        <v>P3 - Medium</v>
      </c>
      <c r="C593" s="5">
        <f>IFERROR(__xludf.DUMMYFUNCTION("""COMPUTED_VALUE"""),43896.15091435185)</f>
        <v>43896.15091</v>
      </c>
      <c r="D593" s="4" t="str">
        <f>IFERROR(__xludf.DUMMYFUNCTION("""COMPUTED_VALUE"""),"VERIFIED")</f>
        <v>VERIFIED</v>
      </c>
      <c r="E593" s="6">
        <f>IFERROR(__xludf.DUMMYFUNCTION("""COMPUTED_VALUE"""),44362.55866898148)</f>
        <v>44362.55867</v>
      </c>
      <c r="F593" s="4" t="str">
        <f>IFERROR(__xludf.DUMMYFUNCTION("""COMPUTED_VALUE""")," ---")</f>
        <v> ---</v>
      </c>
      <c r="G593" s="4" t="str">
        <f>IFERROR(__xludf.DUMMYFUNCTION("""COMPUTED_VALUE"""),"SUSE Linux Enterprise Server 15 SP2")</f>
        <v>SUSE Linux Enterprise Server 15 SP2</v>
      </c>
      <c r="H593" s="7" t="str">
        <f t="shared" si="2"/>
        <v>NO</v>
      </c>
      <c r="I593" s="7" t="str">
        <f t="shared" si="3"/>
        <v>NO</v>
      </c>
    </row>
    <row r="594">
      <c r="A594" s="4">
        <f>IFERROR(__xludf.DUMMYFUNCTION("""COMPUTED_VALUE"""),1167205.0)</f>
        <v>1167205</v>
      </c>
      <c r="B594" s="4" t="str">
        <f>IFERROR(__xludf.DUMMYFUNCTION("""COMPUTED_VALUE"""),"P3 - Medium")</f>
        <v>P3 - Medium</v>
      </c>
      <c r="C594" s="5">
        <f>IFERROR(__xludf.DUMMYFUNCTION("""COMPUTED_VALUE"""),43910.31637731481)</f>
        <v>43910.31638</v>
      </c>
      <c r="D594" s="4" t="str">
        <f>IFERROR(__xludf.DUMMYFUNCTION("""COMPUTED_VALUE"""),"VERIFIED")</f>
        <v>VERIFIED</v>
      </c>
      <c r="E594" s="6">
        <f>IFERROR(__xludf.DUMMYFUNCTION("""COMPUTED_VALUE"""),44447.77556712963)</f>
        <v>44447.77557</v>
      </c>
      <c r="F594" s="4" t="str">
        <f>IFERROR(__xludf.DUMMYFUNCTION("""COMPUTED_VALUE""")," ---")</f>
        <v> ---</v>
      </c>
      <c r="G594" s="4" t="str">
        <f>IFERROR(__xludf.DUMMYFUNCTION("""COMPUTED_VALUE"""),"SUSE Linux Enterprise Server 15 SP2")</f>
        <v>SUSE Linux Enterprise Server 15 SP2</v>
      </c>
      <c r="H594" s="7" t="str">
        <f t="shared" si="2"/>
        <v>NO</v>
      </c>
      <c r="I594" s="7" t="str">
        <f t="shared" si="3"/>
        <v>NO</v>
      </c>
    </row>
    <row r="595">
      <c r="A595" s="4">
        <f>IFERROR(__xludf.DUMMYFUNCTION("""COMPUTED_VALUE"""),1167206.0)</f>
        <v>1167206</v>
      </c>
      <c r="B595" s="4" t="str">
        <f>IFERROR(__xludf.DUMMYFUNCTION("""COMPUTED_VALUE"""),"P3 - Medium")</f>
        <v>P3 - Medium</v>
      </c>
      <c r="C595" s="5">
        <f>IFERROR(__xludf.DUMMYFUNCTION("""COMPUTED_VALUE"""),43910.31842592593)</f>
        <v>43910.31843</v>
      </c>
      <c r="D595" s="4" t="str">
        <f>IFERROR(__xludf.DUMMYFUNCTION("""COMPUTED_VALUE"""),"VERIFIED")</f>
        <v>VERIFIED</v>
      </c>
      <c r="E595" s="6">
        <f>IFERROR(__xludf.DUMMYFUNCTION("""COMPUTED_VALUE"""),44447.77563657407)</f>
        <v>44447.77564</v>
      </c>
      <c r="F595" s="4" t="str">
        <f>IFERROR(__xludf.DUMMYFUNCTION("""COMPUTED_VALUE""")," ---")</f>
        <v> ---</v>
      </c>
      <c r="G595" s="4" t="str">
        <f>IFERROR(__xludf.DUMMYFUNCTION("""COMPUTED_VALUE"""),"SUSE Linux Enterprise Server 15 SP2")</f>
        <v>SUSE Linux Enterprise Server 15 SP2</v>
      </c>
      <c r="H595" s="7" t="str">
        <f t="shared" si="2"/>
        <v>NO</v>
      </c>
      <c r="I595" s="7" t="str">
        <f t="shared" si="3"/>
        <v>NO</v>
      </c>
    </row>
    <row r="596">
      <c r="A596" s="4">
        <f>IFERROR(__xludf.DUMMYFUNCTION("""COMPUTED_VALUE"""),1168779.0)</f>
        <v>1168779</v>
      </c>
      <c r="B596" s="4" t="str">
        <f>IFERROR(__xludf.DUMMYFUNCTION("""COMPUTED_VALUE"""),"P3 - Medium")</f>
        <v>P3 - Medium</v>
      </c>
      <c r="C596" s="5">
        <f>IFERROR(__xludf.DUMMYFUNCTION("""COMPUTED_VALUE"""),43927.790625)</f>
        <v>43927.79063</v>
      </c>
      <c r="D596" s="4" t="str">
        <f>IFERROR(__xludf.DUMMYFUNCTION("""COMPUTED_VALUE"""),"VERIFIED")</f>
        <v>VERIFIED</v>
      </c>
      <c r="E596" s="6">
        <f>IFERROR(__xludf.DUMMYFUNCTION("""COMPUTED_VALUE"""),44384.82412037037)</f>
        <v>44384.82412</v>
      </c>
      <c r="F596" s="4" t="str">
        <f>IFERROR(__xludf.DUMMYFUNCTION("""COMPUTED_VALUE""")," ---")</f>
        <v> ---</v>
      </c>
      <c r="G596" s="4" t="str">
        <f>IFERROR(__xludf.DUMMYFUNCTION("""COMPUTED_VALUE"""),"SUSE Linux Enterprise Server 15 SP2")</f>
        <v>SUSE Linux Enterprise Server 15 SP2</v>
      </c>
      <c r="H596" s="7" t="str">
        <f t="shared" si="2"/>
        <v>NO</v>
      </c>
      <c r="I596" s="7" t="str">
        <f t="shared" si="3"/>
        <v>NO</v>
      </c>
    </row>
    <row r="597">
      <c r="A597" s="4">
        <f>IFERROR(__xludf.DUMMYFUNCTION("""COMPUTED_VALUE"""),1160979.0)</f>
        <v>1160979</v>
      </c>
      <c r="B597" s="4" t="str">
        <f>IFERROR(__xludf.DUMMYFUNCTION("""COMPUTED_VALUE"""),"P3 - Medium")</f>
        <v>P3 - Medium</v>
      </c>
      <c r="C597" s="5">
        <f>IFERROR(__xludf.DUMMYFUNCTION("""COMPUTED_VALUE"""),43845.40509259259)</f>
        <v>43845.40509</v>
      </c>
      <c r="D597" s="4" t="str">
        <f>IFERROR(__xludf.DUMMYFUNCTION("""COMPUTED_VALUE"""),"VERIFIED")</f>
        <v>VERIFIED</v>
      </c>
      <c r="E597" s="6">
        <f>IFERROR(__xludf.DUMMYFUNCTION("""COMPUTED_VALUE"""),44624.9159375)</f>
        <v>44624.91594</v>
      </c>
      <c r="F597" s="4" t="str">
        <f>IFERROR(__xludf.DUMMYFUNCTION("""COMPUTED_VALUE""")," ---")</f>
        <v> ---</v>
      </c>
      <c r="G597" s="4" t="str">
        <f>IFERROR(__xludf.DUMMYFUNCTION("""COMPUTED_VALUE"""),"SUSE Linux Enterprise Server 15 SP2")</f>
        <v>SUSE Linux Enterprise Server 15 SP2</v>
      </c>
      <c r="H597" s="7" t="str">
        <f t="shared" si="2"/>
        <v>NO</v>
      </c>
      <c r="I597" s="7" t="str">
        <f t="shared" si="3"/>
        <v>NO</v>
      </c>
    </row>
    <row r="598">
      <c r="A598" s="4">
        <f>IFERROR(__xludf.DUMMYFUNCTION("""COMPUTED_VALUE"""),1167288.0)</f>
        <v>1167288</v>
      </c>
      <c r="B598" s="4" t="str">
        <f>IFERROR(__xludf.DUMMYFUNCTION("""COMPUTED_VALUE"""),"P3 - Medium")</f>
        <v>P3 - Medium</v>
      </c>
      <c r="C598" s="5">
        <f>IFERROR(__xludf.DUMMYFUNCTION("""COMPUTED_VALUE"""),43910.70255787037)</f>
        <v>43910.70256</v>
      </c>
      <c r="D598" s="4" t="str">
        <f>IFERROR(__xludf.DUMMYFUNCTION("""COMPUTED_VALUE"""),"VERIFIED")</f>
        <v>VERIFIED</v>
      </c>
      <c r="E598" s="6">
        <f>IFERROR(__xludf.DUMMYFUNCTION("""COMPUTED_VALUE"""),44624.92092592592)</f>
        <v>44624.92093</v>
      </c>
      <c r="F598" s="4" t="str">
        <f>IFERROR(__xludf.DUMMYFUNCTION("""COMPUTED_VALUE""")," ---")</f>
        <v> ---</v>
      </c>
      <c r="G598" s="4" t="str">
        <f>IFERROR(__xludf.DUMMYFUNCTION("""COMPUTED_VALUE"""),"SUSE Linux Enterprise Server 15 SP2")</f>
        <v>SUSE Linux Enterprise Server 15 SP2</v>
      </c>
      <c r="H598" s="7" t="str">
        <f t="shared" si="2"/>
        <v>NO</v>
      </c>
      <c r="I598" s="7" t="str">
        <f t="shared" si="3"/>
        <v>NO</v>
      </c>
    </row>
    <row r="599">
      <c r="A599" s="4">
        <f>IFERROR(__xludf.DUMMYFUNCTION("""COMPUTED_VALUE"""),1167851.0)</f>
        <v>1167851</v>
      </c>
      <c r="B599" s="4" t="str">
        <f>IFERROR(__xludf.DUMMYFUNCTION("""COMPUTED_VALUE"""),"P3 - Medium")</f>
        <v>P3 - Medium</v>
      </c>
      <c r="C599" s="5">
        <f>IFERROR(__xludf.DUMMYFUNCTION("""COMPUTED_VALUE"""),43917.31318287037)</f>
        <v>43917.31318</v>
      </c>
      <c r="D599" s="4" t="str">
        <f>IFERROR(__xludf.DUMMYFUNCTION("""COMPUTED_VALUE"""),"VERIFIED")</f>
        <v>VERIFIED</v>
      </c>
      <c r="E599" s="6">
        <f>IFERROR(__xludf.DUMMYFUNCTION("""COMPUTED_VALUE"""),44624.921064814815)</f>
        <v>44624.92106</v>
      </c>
      <c r="F599" s="4" t="str">
        <f>IFERROR(__xludf.DUMMYFUNCTION("""COMPUTED_VALUE""")," ---")</f>
        <v> ---</v>
      </c>
      <c r="G599" s="4" t="str">
        <f>IFERROR(__xludf.DUMMYFUNCTION("""COMPUTED_VALUE"""),"SUSE Linux Enterprise Server 15 SP2")</f>
        <v>SUSE Linux Enterprise Server 15 SP2</v>
      </c>
      <c r="H599" s="7" t="str">
        <f t="shared" si="2"/>
        <v>NO</v>
      </c>
      <c r="I599" s="7" t="str">
        <f t="shared" si="3"/>
        <v>NO</v>
      </c>
    </row>
    <row r="600">
      <c r="A600" s="4">
        <f>IFERROR(__xludf.DUMMYFUNCTION("""COMPUTED_VALUE"""),1166776.0)</f>
        <v>1166776</v>
      </c>
      <c r="B600" s="4" t="str">
        <f>IFERROR(__xludf.DUMMYFUNCTION("""COMPUTED_VALUE"""),"P3 - Medium")</f>
        <v>P3 - Medium</v>
      </c>
      <c r="C600" s="5">
        <f>IFERROR(__xludf.DUMMYFUNCTION("""COMPUTED_VALUE"""),43906.53061342592)</f>
        <v>43906.53061</v>
      </c>
      <c r="D600" s="4" t="str">
        <f>IFERROR(__xludf.DUMMYFUNCTION("""COMPUTED_VALUE"""),"VERIFIED")</f>
        <v>VERIFIED</v>
      </c>
      <c r="E600" s="6">
        <f>IFERROR(__xludf.DUMMYFUNCTION("""COMPUTED_VALUE"""),44140.558171296296)</f>
        <v>44140.55817</v>
      </c>
      <c r="F600" s="4" t="str">
        <f>IFERROR(__xludf.DUMMYFUNCTION("""COMPUTED_VALUE""")," ---")</f>
        <v> ---</v>
      </c>
      <c r="G600" s="4" t="str">
        <f>IFERROR(__xludf.DUMMYFUNCTION("""COMPUTED_VALUE"""),"SUSE Linux Enterprise Server 15 SP2")</f>
        <v>SUSE Linux Enterprise Server 15 SP2</v>
      </c>
      <c r="H600" s="7" t="str">
        <f t="shared" si="2"/>
        <v>NO</v>
      </c>
      <c r="I600" s="7" t="str">
        <f t="shared" si="3"/>
        <v>NO</v>
      </c>
    </row>
    <row r="601">
      <c r="A601" s="4">
        <f>IFERROR(__xludf.DUMMYFUNCTION("""COMPUTED_VALUE"""),1158633.0)</f>
        <v>1158633</v>
      </c>
      <c r="B601" s="4" t="str">
        <f>IFERROR(__xludf.DUMMYFUNCTION("""COMPUTED_VALUE"""),"P3 - Medium")</f>
        <v>P3 - Medium</v>
      </c>
      <c r="C601" s="5">
        <f>IFERROR(__xludf.DUMMYFUNCTION("""COMPUTED_VALUE"""),43805.38780092593)</f>
        <v>43805.3878</v>
      </c>
      <c r="D601" s="4" t="str">
        <f>IFERROR(__xludf.DUMMYFUNCTION("""COMPUTED_VALUE"""),"VERIFIED")</f>
        <v>VERIFIED</v>
      </c>
      <c r="E601" s="6">
        <f>IFERROR(__xludf.DUMMYFUNCTION("""COMPUTED_VALUE"""),44384.79583333333)</f>
        <v>44384.79583</v>
      </c>
      <c r="F601" s="4" t="str">
        <f>IFERROR(__xludf.DUMMYFUNCTION("""COMPUTED_VALUE""")," ---")</f>
        <v> ---</v>
      </c>
      <c r="G601" s="4" t="str">
        <f>IFERROR(__xludf.DUMMYFUNCTION("""COMPUTED_VALUE"""),"SUSE Linux Enterprise Server 15 SP2")</f>
        <v>SUSE Linux Enterprise Server 15 SP2</v>
      </c>
      <c r="H601" s="7" t="str">
        <f t="shared" si="2"/>
        <v>NO</v>
      </c>
      <c r="I601" s="7" t="str">
        <f t="shared" si="3"/>
        <v>NO</v>
      </c>
    </row>
    <row r="602">
      <c r="A602" s="4">
        <f>IFERROR(__xludf.DUMMYFUNCTION("""COMPUTED_VALUE"""),1156919.0)</f>
        <v>1156919</v>
      </c>
      <c r="B602" s="4" t="str">
        <f>IFERROR(__xludf.DUMMYFUNCTION("""COMPUTED_VALUE"""),"P3 - Medium")</f>
        <v>P3 - Medium</v>
      </c>
      <c r="C602" s="5">
        <f>IFERROR(__xludf.DUMMYFUNCTION("""COMPUTED_VALUE"""),43784.730046296296)</f>
        <v>43784.73005</v>
      </c>
      <c r="D602" s="4" t="str">
        <f>IFERROR(__xludf.DUMMYFUNCTION("""COMPUTED_VALUE"""),"VERIFIED")</f>
        <v>VERIFIED</v>
      </c>
      <c r="E602" s="6">
        <f>IFERROR(__xludf.DUMMYFUNCTION("""COMPUTED_VALUE"""),44384.792905092596)</f>
        <v>44384.79291</v>
      </c>
      <c r="F602" s="4" t="str">
        <f>IFERROR(__xludf.DUMMYFUNCTION("""COMPUTED_VALUE""")," ---")</f>
        <v> ---</v>
      </c>
      <c r="G602" s="4" t="str">
        <f>IFERROR(__xludf.DUMMYFUNCTION("""COMPUTED_VALUE"""),"SUSE Linux Enterprise Server 15 SP2")</f>
        <v>SUSE Linux Enterprise Server 15 SP2</v>
      </c>
      <c r="H602" s="7" t="str">
        <f t="shared" si="2"/>
        <v>NO</v>
      </c>
      <c r="I602" s="7" t="str">
        <f t="shared" si="3"/>
        <v>NO</v>
      </c>
    </row>
    <row r="603">
      <c r="A603" s="4">
        <f>IFERROR(__xludf.DUMMYFUNCTION("""COMPUTED_VALUE"""),1165910.0)</f>
        <v>1165910</v>
      </c>
      <c r="B603" s="4" t="str">
        <f>IFERROR(__xludf.DUMMYFUNCTION("""COMPUTED_VALUE"""),"P3 - Medium")</f>
        <v>P3 - Medium</v>
      </c>
      <c r="C603" s="5">
        <f>IFERROR(__xludf.DUMMYFUNCTION("""COMPUTED_VALUE"""),43896.444710648146)</f>
        <v>43896.44471</v>
      </c>
      <c r="D603" s="4" t="str">
        <f>IFERROR(__xludf.DUMMYFUNCTION("""COMPUTED_VALUE"""),"VERIFIED")</f>
        <v>VERIFIED</v>
      </c>
      <c r="E603" s="6">
        <f>IFERROR(__xludf.DUMMYFUNCTION("""COMPUTED_VALUE"""),43914.299733796295)</f>
        <v>43914.29973</v>
      </c>
      <c r="F603" s="4" t="str">
        <f>IFERROR(__xludf.DUMMYFUNCTION("""COMPUTED_VALUE""")," ---")</f>
        <v> ---</v>
      </c>
      <c r="G603" s="4" t="str">
        <f>IFERROR(__xludf.DUMMYFUNCTION("""COMPUTED_VALUE"""),"SUSE Linux Enterprise Server 15 SP2")</f>
        <v>SUSE Linux Enterprise Server 15 SP2</v>
      </c>
      <c r="H603" s="7" t="str">
        <f t="shared" si="2"/>
        <v>NO</v>
      </c>
      <c r="I603" s="7" t="str">
        <f t="shared" si="3"/>
        <v>NO</v>
      </c>
    </row>
    <row r="604">
      <c r="A604" s="4">
        <f>IFERROR(__xludf.DUMMYFUNCTION("""COMPUTED_VALUE"""),1172628.0)</f>
        <v>1172628</v>
      </c>
      <c r="B604" s="4" t="str">
        <f>IFERROR(__xludf.DUMMYFUNCTION("""COMPUTED_VALUE"""),"P4 - Low")</f>
        <v>P4 - Low</v>
      </c>
      <c r="C604" s="5">
        <f>IFERROR(__xludf.DUMMYFUNCTION("""COMPUTED_VALUE"""),43990.32104166667)</f>
        <v>43990.32104</v>
      </c>
      <c r="D604" s="4" t="str">
        <f>IFERROR(__xludf.DUMMYFUNCTION("""COMPUTED_VALUE"""),"NEW")</f>
        <v>NEW</v>
      </c>
      <c r="E604" s="6">
        <f>IFERROR(__xludf.DUMMYFUNCTION("""COMPUTED_VALUE"""),44000.06747685185)</f>
        <v>44000.06748</v>
      </c>
      <c r="F604" s="4" t="str">
        <f>IFERROR(__xludf.DUMMYFUNCTION("""COMPUTED_VALUE""")," ---")</f>
        <v> ---</v>
      </c>
      <c r="G604" s="4" t="str">
        <f>IFERROR(__xludf.DUMMYFUNCTION("""COMPUTED_VALUE"""),"SUSE Linux Enterprise Server 15 SP2")</f>
        <v>SUSE Linux Enterprise Server 15 SP2</v>
      </c>
      <c r="H604" s="7" t="str">
        <f t="shared" si="2"/>
        <v>NO</v>
      </c>
      <c r="I604" s="7" t="str">
        <f t="shared" si="3"/>
        <v>NO</v>
      </c>
    </row>
    <row r="605">
      <c r="A605" s="4">
        <f>IFERROR(__xludf.DUMMYFUNCTION("""COMPUTED_VALUE"""),1172629.0)</f>
        <v>1172629</v>
      </c>
      <c r="B605" s="4" t="str">
        <f>IFERROR(__xludf.DUMMYFUNCTION("""COMPUTED_VALUE"""),"P4 - Low")</f>
        <v>P4 - Low</v>
      </c>
      <c r="C605" s="5">
        <f>IFERROR(__xludf.DUMMYFUNCTION("""COMPUTED_VALUE"""),43990.32320601852)</f>
        <v>43990.32321</v>
      </c>
      <c r="D605" s="4" t="str">
        <f>IFERROR(__xludf.DUMMYFUNCTION("""COMPUTED_VALUE"""),"NEW")</f>
        <v>NEW</v>
      </c>
      <c r="E605" s="6">
        <f>IFERROR(__xludf.DUMMYFUNCTION("""COMPUTED_VALUE"""),44000.06851851852)</f>
        <v>44000.06852</v>
      </c>
      <c r="F605" s="4" t="str">
        <f>IFERROR(__xludf.DUMMYFUNCTION("""COMPUTED_VALUE""")," ---")</f>
        <v> ---</v>
      </c>
      <c r="G605" s="4" t="str">
        <f>IFERROR(__xludf.DUMMYFUNCTION("""COMPUTED_VALUE"""),"SUSE Linux Enterprise Server 15 SP2")</f>
        <v>SUSE Linux Enterprise Server 15 SP2</v>
      </c>
      <c r="H605" s="7" t="str">
        <f t="shared" si="2"/>
        <v>NO</v>
      </c>
      <c r="I605" s="7" t="str">
        <f t="shared" si="3"/>
        <v>NO</v>
      </c>
    </row>
    <row r="606">
      <c r="A606" s="4">
        <f>IFERROR(__xludf.DUMMYFUNCTION("""COMPUTED_VALUE"""),1172630.0)</f>
        <v>1172630</v>
      </c>
      <c r="B606" s="4" t="str">
        <f>IFERROR(__xludf.DUMMYFUNCTION("""COMPUTED_VALUE"""),"P4 - Low")</f>
        <v>P4 - Low</v>
      </c>
      <c r="C606" s="5">
        <f>IFERROR(__xludf.DUMMYFUNCTION("""COMPUTED_VALUE"""),43990.32372685185)</f>
        <v>43990.32373</v>
      </c>
      <c r="D606" s="4" t="str">
        <f>IFERROR(__xludf.DUMMYFUNCTION("""COMPUTED_VALUE"""),"NEW")</f>
        <v>NEW</v>
      </c>
      <c r="E606" s="6">
        <f>IFERROR(__xludf.DUMMYFUNCTION("""COMPUTED_VALUE"""),44454.28729166667)</f>
        <v>44454.28729</v>
      </c>
      <c r="F606" s="4" t="str">
        <f>IFERROR(__xludf.DUMMYFUNCTION("""COMPUTED_VALUE""")," ---")</f>
        <v> ---</v>
      </c>
      <c r="G606" s="4" t="str">
        <f>IFERROR(__xludf.DUMMYFUNCTION("""COMPUTED_VALUE"""),"SUSE Linux Enterprise Server 15 SP2")</f>
        <v>SUSE Linux Enterprise Server 15 SP2</v>
      </c>
      <c r="H606" s="7" t="str">
        <f t="shared" si="2"/>
        <v>NO</v>
      </c>
      <c r="I606" s="7" t="str">
        <f t="shared" si="3"/>
        <v>NO</v>
      </c>
    </row>
    <row r="607">
      <c r="A607" s="4">
        <f>IFERROR(__xludf.DUMMYFUNCTION("""COMPUTED_VALUE"""),1172631.0)</f>
        <v>1172631</v>
      </c>
      <c r="B607" s="4" t="str">
        <f>IFERROR(__xludf.DUMMYFUNCTION("""COMPUTED_VALUE"""),"P4 - Low")</f>
        <v>P4 - Low</v>
      </c>
      <c r="C607" s="5">
        <f>IFERROR(__xludf.DUMMYFUNCTION("""COMPUTED_VALUE"""),43990.32503472222)</f>
        <v>43990.32503</v>
      </c>
      <c r="D607" s="4" t="str">
        <f>IFERROR(__xludf.DUMMYFUNCTION("""COMPUTED_VALUE"""),"NEW")</f>
        <v>NEW</v>
      </c>
      <c r="E607" s="6">
        <f>IFERROR(__xludf.DUMMYFUNCTION("""COMPUTED_VALUE"""),44000.06899305555)</f>
        <v>44000.06899</v>
      </c>
      <c r="F607" s="4" t="str">
        <f>IFERROR(__xludf.DUMMYFUNCTION("""COMPUTED_VALUE""")," ---")</f>
        <v> ---</v>
      </c>
      <c r="G607" s="4" t="str">
        <f>IFERROR(__xludf.DUMMYFUNCTION("""COMPUTED_VALUE"""),"SUSE Linux Enterprise Server 15 SP2")</f>
        <v>SUSE Linux Enterprise Server 15 SP2</v>
      </c>
      <c r="H607" s="7" t="str">
        <f t="shared" si="2"/>
        <v>NO</v>
      </c>
      <c r="I607" s="7" t="str">
        <f t="shared" si="3"/>
        <v>NO</v>
      </c>
    </row>
    <row r="608">
      <c r="A608" s="4">
        <f>IFERROR(__xludf.DUMMYFUNCTION("""COMPUTED_VALUE"""),1172632.0)</f>
        <v>1172632</v>
      </c>
      <c r="B608" s="4" t="str">
        <f>IFERROR(__xludf.DUMMYFUNCTION("""COMPUTED_VALUE"""),"P4 - Low")</f>
        <v>P4 - Low</v>
      </c>
      <c r="C608" s="5">
        <f>IFERROR(__xludf.DUMMYFUNCTION("""COMPUTED_VALUE"""),43990.325949074075)</f>
        <v>43990.32595</v>
      </c>
      <c r="D608" s="4" t="str">
        <f>IFERROR(__xludf.DUMMYFUNCTION("""COMPUTED_VALUE"""),"NEW")</f>
        <v>NEW</v>
      </c>
      <c r="E608" s="6">
        <f>IFERROR(__xludf.DUMMYFUNCTION("""COMPUTED_VALUE"""),44000.07045138889)</f>
        <v>44000.07045</v>
      </c>
      <c r="F608" s="4" t="str">
        <f>IFERROR(__xludf.DUMMYFUNCTION("""COMPUTED_VALUE""")," ---")</f>
        <v> ---</v>
      </c>
      <c r="G608" s="4" t="str">
        <f>IFERROR(__xludf.DUMMYFUNCTION("""COMPUTED_VALUE"""),"SUSE Linux Enterprise Server 15 SP2")</f>
        <v>SUSE Linux Enterprise Server 15 SP2</v>
      </c>
      <c r="H608" s="7" t="str">
        <f t="shared" si="2"/>
        <v>NO</v>
      </c>
      <c r="I608" s="7" t="str">
        <f t="shared" si="3"/>
        <v>NO</v>
      </c>
    </row>
    <row r="609">
      <c r="A609" s="4">
        <f>IFERROR(__xludf.DUMMYFUNCTION("""COMPUTED_VALUE"""),1172633.0)</f>
        <v>1172633</v>
      </c>
      <c r="B609" s="4" t="str">
        <f>IFERROR(__xludf.DUMMYFUNCTION("""COMPUTED_VALUE"""),"P4 - Low")</f>
        <v>P4 - Low</v>
      </c>
      <c r="C609" s="5">
        <f>IFERROR(__xludf.DUMMYFUNCTION("""COMPUTED_VALUE"""),43990.32693287037)</f>
        <v>43990.32693</v>
      </c>
      <c r="D609" s="4" t="str">
        <f>IFERROR(__xludf.DUMMYFUNCTION("""COMPUTED_VALUE"""),"NEW")</f>
        <v>NEW</v>
      </c>
      <c r="E609" s="6">
        <f>IFERROR(__xludf.DUMMYFUNCTION("""COMPUTED_VALUE"""),44000.071550925924)</f>
        <v>44000.07155</v>
      </c>
      <c r="F609" s="4" t="str">
        <f>IFERROR(__xludf.DUMMYFUNCTION("""COMPUTED_VALUE""")," ---")</f>
        <v> ---</v>
      </c>
      <c r="G609" s="4" t="str">
        <f>IFERROR(__xludf.DUMMYFUNCTION("""COMPUTED_VALUE"""),"SUSE Linux Enterprise Server 15 SP2")</f>
        <v>SUSE Linux Enterprise Server 15 SP2</v>
      </c>
      <c r="H609" s="7" t="str">
        <f t="shared" si="2"/>
        <v>NO</v>
      </c>
      <c r="I609" s="7" t="str">
        <f t="shared" si="3"/>
        <v>NO</v>
      </c>
    </row>
    <row r="610">
      <c r="A610" s="4">
        <f>IFERROR(__xludf.DUMMYFUNCTION("""COMPUTED_VALUE"""),1172634.0)</f>
        <v>1172634</v>
      </c>
      <c r="B610" s="4" t="str">
        <f>IFERROR(__xludf.DUMMYFUNCTION("""COMPUTED_VALUE"""),"P4 - Low")</f>
        <v>P4 - Low</v>
      </c>
      <c r="C610" s="5">
        <f>IFERROR(__xludf.DUMMYFUNCTION("""COMPUTED_VALUE"""),43990.32797453704)</f>
        <v>43990.32797</v>
      </c>
      <c r="D610" s="4" t="str">
        <f>IFERROR(__xludf.DUMMYFUNCTION("""COMPUTED_VALUE"""),"NEW")</f>
        <v>NEW</v>
      </c>
      <c r="E610" s="6">
        <f>IFERROR(__xludf.DUMMYFUNCTION("""COMPUTED_VALUE"""),44000.07197916666)</f>
        <v>44000.07198</v>
      </c>
      <c r="F610" s="4" t="str">
        <f>IFERROR(__xludf.DUMMYFUNCTION("""COMPUTED_VALUE""")," ---")</f>
        <v> ---</v>
      </c>
      <c r="G610" s="4" t="str">
        <f>IFERROR(__xludf.DUMMYFUNCTION("""COMPUTED_VALUE"""),"SUSE Linux Enterprise Server 15 SP2")</f>
        <v>SUSE Linux Enterprise Server 15 SP2</v>
      </c>
      <c r="H610" s="7" t="str">
        <f t="shared" si="2"/>
        <v>NO</v>
      </c>
      <c r="I610" s="7" t="str">
        <f t="shared" si="3"/>
        <v>NO</v>
      </c>
    </row>
    <row r="611">
      <c r="A611" s="4">
        <f>IFERROR(__xludf.DUMMYFUNCTION("""COMPUTED_VALUE"""),1172635.0)</f>
        <v>1172635</v>
      </c>
      <c r="B611" s="4" t="str">
        <f>IFERROR(__xludf.DUMMYFUNCTION("""COMPUTED_VALUE"""),"P4 - Low")</f>
        <v>P4 - Low</v>
      </c>
      <c r="C611" s="5">
        <f>IFERROR(__xludf.DUMMYFUNCTION("""COMPUTED_VALUE"""),43990.32921296296)</f>
        <v>43990.32921</v>
      </c>
      <c r="D611" s="4" t="str">
        <f>IFERROR(__xludf.DUMMYFUNCTION("""COMPUTED_VALUE"""),"NEW")</f>
        <v>NEW</v>
      </c>
      <c r="E611" s="6">
        <f>IFERROR(__xludf.DUMMYFUNCTION("""COMPUTED_VALUE"""),44000.07449074074)</f>
        <v>44000.07449</v>
      </c>
      <c r="F611" s="4" t="str">
        <f>IFERROR(__xludf.DUMMYFUNCTION("""COMPUTED_VALUE""")," ---")</f>
        <v> ---</v>
      </c>
      <c r="G611" s="4" t="str">
        <f>IFERROR(__xludf.DUMMYFUNCTION("""COMPUTED_VALUE"""),"SUSE Linux Enterprise Server 15 SP2")</f>
        <v>SUSE Linux Enterprise Server 15 SP2</v>
      </c>
      <c r="H611" s="7" t="str">
        <f t="shared" si="2"/>
        <v>NO</v>
      </c>
      <c r="I611" s="7" t="str">
        <f t="shared" si="3"/>
        <v>NO</v>
      </c>
    </row>
    <row r="612">
      <c r="A612" s="4">
        <f>IFERROR(__xludf.DUMMYFUNCTION("""COMPUTED_VALUE"""),1172636.0)</f>
        <v>1172636</v>
      </c>
      <c r="B612" s="4" t="str">
        <f>IFERROR(__xludf.DUMMYFUNCTION("""COMPUTED_VALUE"""),"P4 - Low")</f>
        <v>P4 - Low</v>
      </c>
      <c r="C612" s="5">
        <f>IFERROR(__xludf.DUMMYFUNCTION("""COMPUTED_VALUE"""),43990.330196759256)</f>
        <v>43990.3302</v>
      </c>
      <c r="D612" s="4" t="str">
        <f>IFERROR(__xludf.DUMMYFUNCTION("""COMPUTED_VALUE"""),"NEW")</f>
        <v>NEW</v>
      </c>
      <c r="E612" s="6">
        <f>IFERROR(__xludf.DUMMYFUNCTION("""COMPUTED_VALUE"""),44000.07363425926)</f>
        <v>44000.07363</v>
      </c>
      <c r="F612" s="4" t="str">
        <f>IFERROR(__xludf.DUMMYFUNCTION("""COMPUTED_VALUE""")," ---")</f>
        <v> ---</v>
      </c>
      <c r="G612" s="4" t="str">
        <f>IFERROR(__xludf.DUMMYFUNCTION("""COMPUTED_VALUE"""),"SUSE Linux Enterprise Server 15 SP2")</f>
        <v>SUSE Linux Enterprise Server 15 SP2</v>
      </c>
      <c r="H612" s="7" t="str">
        <f t="shared" si="2"/>
        <v>NO</v>
      </c>
      <c r="I612" s="7" t="str">
        <f t="shared" si="3"/>
        <v>NO</v>
      </c>
    </row>
    <row r="613">
      <c r="A613" s="4">
        <f>IFERROR(__xludf.DUMMYFUNCTION("""COMPUTED_VALUE"""),1172638.0)</f>
        <v>1172638</v>
      </c>
      <c r="B613" s="4" t="str">
        <f>IFERROR(__xludf.DUMMYFUNCTION("""COMPUTED_VALUE"""),"P4 - Low")</f>
        <v>P4 - Low</v>
      </c>
      <c r="C613" s="5">
        <f>IFERROR(__xludf.DUMMYFUNCTION("""COMPUTED_VALUE"""),43990.332141203704)</f>
        <v>43990.33214</v>
      </c>
      <c r="D613" s="4" t="str">
        <f>IFERROR(__xludf.DUMMYFUNCTION("""COMPUTED_VALUE"""),"NEW")</f>
        <v>NEW</v>
      </c>
      <c r="E613" s="6">
        <f>IFERROR(__xludf.DUMMYFUNCTION("""COMPUTED_VALUE"""),44000.07787037037)</f>
        <v>44000.07787</v>
      </c>
      <c r="F613" s="4" t="str">
        <f>IFERROR(__xludf.DUMMYFUNCTION("""COMPUTED_VALUE""")," ---")</f>
        <v> ---</v>
      </c>
      <c r="G613" s="4" t="str">
        <f>IFERROR(__xludf.DUMMYFUNCTION("""COMPUTED_VALUE"""),"SUSE Linux Enterprise Server 15 SP2")</f>
        <v>SUSE Linux Enterprise Server 15 SP2</v>
      </c>
      <c r="H613" s="7" t="str">
        <f t="shared" si="2"/>
        <v>NO</v>
      </c>
      <c r="I613" s="7" t="str">
        <f t="shared" si="3"/>
        <v>NO</v>
      </c>
    </row>
    <row r="614">
      <c r="A614" s="4">
        <f>IFERROR(__xludf.DUMMYFUNCTION("""COMPUTED_VALUE"""),1172639.0)</f>
        <v>1172639</v>
      </c>
      <c r="B614" s="4" t="str">
        <f>IFERROR(__xludf.DUMMYFUNCTION("""COMPUTED_VALUE"""),"P4 - Low")</f>
        <v>P4 - Low</v>
      </c>
      <c r="C614" s="5">
        <f>IFERROR(__xludf.DUMMYFUNCTION("""COMPUTED_VALUE"""),43990.333032407405)</f>
        <v>43990.33303</v>
      </c>
      <c r="D614" s="4" t="str">
        <f>IFERROR(__xludf.DUMMYFUNCTION("""COMPUTED_VALUE"""),"NEW")</f>
        <v>NEW</v>
      </c>
      <c r="E614" s="6">
        <f>IFERROR(__xludf.DUMMYFUNCTION("""COMPUTED_VALUE"""),44000.072858796295)</f>
        <v>44000.07286</v>
      </c>
      <c r="F614" s="4" t="str">
        <f>IFERROR(__xludf.DUMMYFUNCTION("""COMPUTED_VALUE""")," ---")</f>
        <v> ---</v>
      </c>
      <c r="G614" s="4" t="str">
        <f>IFERROR(__xludf.DUMMYFUNCTION("""COMPUTED_VALUE"""),"SUSE Linux Enterprise Server 15 SP2")</f>
        <v>SUSE Linux Enterprise Server 15 SP2</v>
      </c>
      <c r="H614" s="7" t="str">
        <f t="shared" si="2"/>
        <v>NO</v>
      </c>
      <c r="I614" s="7" t="str">
        <f t="shared" si="3"/>
        <v>NO</v>
      </c>
    </row>
    <row r="615">
      <c r="A615" s="4">
        <f>IFERROR(__xludf.DUMMYFUNCTION("""COMPUTED_VALUE"""),1156461.0)</f>
        <v>1156461</v>
      </c>
      <c r="B615" s="4" t="str">
        <f>IFERROR(__xludf.DUMMYFUNCTION("""COMPUTED_VALUE"""),"P4 - Low")</f>
        <v>P4 - Low</v>
      </c>
      <c r="C615" s="5">
        <f>IFERROR(__xludf.DUMMYFUNCTION("""COMPUTED_VALUE"""),43780.65660879629)</f>
        <v>43780.65661</v>
      </c>
      <c r="D615" s="4" t="str">
        <f>IFERROR(__xludf.DUMMYFUNCTION("""COMPUTED_VALUE"""),"NEW")</f>
        <v>NEW</v>
      </c>
      <c r="E615" s="6">
        <f>IFERROR(__xludf.DUMMYFUNCTION("""COMPUTED_VALUE"""),43984.77515046296)</f>
        <v>43984.77515</v>
      </c>
      <c r="F615" s="4" t="str">
        <f>IFERROR(__xludf.DUMMYFUNCTION("""COMPUTED_VALUE""")," ---")</f>
        <v> ---</v>
      </c>
      <c r="G615" s="4" t="str">
        <f>IFERROR(__xludf.DUMMYFUNCTION("""COMPUTED_VALUE"""),"SUSE Linux Enterprise Server 15 SP2")</f>
        <v>SUSE Linux Enterprise Server 15 SP2</v>
      </c>
      <c r="H615" s="7" t="str">
        <f t="shared" si="2"/>
        <v>NO</v>
      </c>
      <c r="I615" s="7" t="str">
        <f t="shared" si="3"/>
        <v>NO</v>
      </c>
    </row>
    <row r="616">
      <c r="A616" s="4">
        <f>IFERROR(__xludf.DUMMYFUNCTION("""COMPUTED_VALUE"""),1168670.0)</f>
        <v>1168670</v>
      </c>
      <c r="B616" s="4" t="str">
        <f>IFERROR(__xludf.DUMMYFUNCTION("""COMPUTED_VALUE"""),"P4 - Low")</f>
        <v>P4 - Low</v>
      </c>
      <c r="C616" s="5">
        <f>IFERROR(__xludf.DUMMYFUNCTION("""COMPUTED_VALUE"""),43927.26190972222)</f>
        <v>43927.26191</v>
      </c>
      <c r="D616" s="4" t="str">
        <f>IFERROR(__xludf.DUMMYFUNCTION("""COMPUTED_VALUE"""),"NEW")</f>
        <v>NEW</v>
      </c>
      <c r="E616" s="6">
        <f>IFERROR(__xludf.DUMMYFUNCTION("""COMPUTED_VALUE"""),44624.921423611115)</f>
        <v>44624.92142</v>
      </c>
      <c r="F616" s="4" t="str">
        <f>IFERROR(__xludf.DUMMYFUNCTION("""COMPUTED_VALUE""")," ---")</f>
        <v> ---</v>
      </c>
      <c r="G616" s="4" t="str">
        <f>IFERROR(__xludf.DUMMYFUNCTION("""COMPUTED_VALUE"""),"SUSE Linux Enterprise Server 15 SP2")</f>
        <v>SUSE Linux Enterprise Server 15 SP2</v>
      </c>
      <c r="H616" s="7" t="str">
        <f t="shared" si="2"/>
        <v>NO</v>
      </c>
      <c r="I616" s="7" t="str">
        <f t="shared" si="3"/>
        <v>NO</v>
      </c>
    </row>
    <row r="617">
      <c r="A617" s="4">
        <f>IFERROR(__xludf.DUMMYFUNCTION("""COMPUTED_VALUE"""),1164915.0)</f>
        <v>1164915</v>
      </c>
      <c r="B617" s="4" t="str">
        <f>IFERROR(__xludf.DUMMYFUNCTION("""COMPUTED_VALUE"""),"P4 - Low")</f>
        <v>P4 - Low</v>
      </c>
      <c r="C617" s="5">
        <f>IFERROR(__xludf.DUMMYFUNCTION("""COMPUTED_VALUE"""),43887.08954861111)</f>
        <v>43887.08955</v>
      </c>
      <c r="D617" s="4" t="str">
        <f>IFERROR(__xludf.DUMMYFUNCTION("""COMPUTED_VALUE"""),"CONFIRMED")</f>
        <v>CONFIRMED</v>
      </c>
      <c r="E617" s="6">
        <f>IFERROR(__xludf.DUMMYFUNCTION("""COMPUTED_VALUE"""),43914.55284722222)</f>
        <v>43914.55285</v>
      </c>
      <c r="F617" s="4" t="str">
        <f>IFERROR(__xludf.DUMMYFUNCTION("""COMPUTED_VALUE""")," ---")</f>
        <v> ---</v>
      </c>
      <c r="G617" s="4" t="str">
        <f>IFERROR(__xludf.DUMMYFUNCTION("""COMPUTED_VALUE"""),"SUSE Linux Enterprise Server 15 SP2")</f>
        <v>SUSE Linux Enterprise Server 15 SP2</v>
      </c>
      <c r="H617" s="7" t="str">
        <f t="shared" si="2"/>
        <v>NO</v>
      </c>
      <c r="I617" s="7" t="str">
        <f t="shared" si="3"/>
        <v>NO</v>
      </c>
    </row>
    <row r="618">
      <c r="A618" s="4">
        <f>IFERROR(__xludf.DUMMYFUNCTION("""COMPUTED_VALUE"""),1164811.0)</f>
        <v>1164811</v>
      </c>
      <c r="B618" s="4" t="str">
        <f>IFERROR(__xludf.DUMMYFUNCTION("""COMPUTED_VALUE"""),"P4 - Low")</f>
        <v>P4 - Low</v>
      </c>
      <c r="C618" s="5">
        <f>IFERROR(__xludf.DUMMYFUNCTION("""COMPUTED_VALUE"""),43886.431238425925)</f>
        <v>43886.43124</v>
      </c>
      <c r="D618" s="4" t="str">
        <f>IFERROR(__xludf.DUMMYFUNCTION("""COMPUTED_VALUE"""),"RESOLVED")</f>
        <v>RESOLVED</v>
      </c>
      <c r="E618" s="6">
        <f>IFERROR(__xludf.DUMMYFUNCTION("""COMPUTED_VALUE"""),44139.81164351852)</f>
        <v>44139.81164</v>
      </c>
      <c r="F618" s="4" t="str">
        <f>IFERROR(__xludf.DUMMYFUNCTION("""COMPUTED_VALUE""")," ---")</f>
        <v> ---</v>
      </c>
      <c r="G618" s="4" t="str">
        <f>IFERROR(__xludf.DUMMYFUNCTION("""COMPUTED_VALUE"""),"SUSE Linux Enterprise Server 15 SP2")</f>
        <v>SUSE Linux Enterprise Server 15 SP2</v>
      </c>
      <c r="H618" s="7" t="str">
        <f t="shared" si="2"/>
        <v>NO</v>
      </c>
      <c r="I618" s="7" t="str">
        <f t="shared" si="3"/>
        <v>NO</v>
      </c>
    </row>
    <row r="619">
      <c r="A619" s="4">
        <f>IFERROR(__xludf.DUMMYFUNCTION("""COMPUTED_VALUE"""),1166132.0)</f>
        <v>1166132</v>
      </c>
      <c r="B619" s="4" t="str">
        <f>IFERROR(__xludf.DUMMYFUNCTION("""COMPUTED_VALUE"""),"P4 - Low")</f>
        <v>P4 - Low</v>
      </c>
      <c r="C619" s="5">
        <f>IFERROR(__xludf.DUMMYFUNCTION("""COMPUTED_VALUE"""),43899.853125)</f>
        <v>43899.85313</v>
      </c>
      <c r="D619" s="4" t="str">
        <f>IFERROR(__xludf.DUMMYFUNCTION("""COMPUTED_VALUE"""),"RESOLVED")</f>
        <v>RESOLVED</v>
      </c>
      <c r="E619" s="6">
        <f>IFERROR(__xludf.DUMMYFUNCTION("""COMPUTED_VALUE"""),44384.81814814815)</f>
        <v>44384.81815</v>
      </c>
      <c r="F619" s="4" t="str">
        <f>IFERROR(__xludf.DUMMYFUNCTION("""COMPUTED_VALUE""")," ---")</f>
        <v> ---</v>
      </c>
      <c r="G619" s="4" t="str">
        <f>IFERROR(__xludf.DUMMYFUNCTION("""COMPUTED_VALUE"""),"SUSE Linux Enterprise Server 15 SP2")</f>
        <v>SUSE Linux Enterprise Server 15 SP2</v>
      </c>
      <c r="H619" s="7" t="str">
        <f t="shared" si="2"/>
        <v>NO</v>
      </c>
      <c r="I619" s="7" t="str">
        <f t="shared" si="3"/>
        <v>NO</v>
      </c>
    </row>
    <row r="620">
      <c r="A620" s="4">
        <f>IFERROR(__xludf.DUMMYFUNCTION("""COMPUTED_VALUE"""),1166133.0)</f>
        <v>1166133</v>
      </c>
      <c r="B620" s="4" t="str">
        <f>IFERROR(__xludf.DUMMYFUNCTION("""COMPUTED_VALUE"""),"P4 - Low")</f>
        <v>P4 - Low</v>
      </c>
      <c r="C620" s="5">
        <f>IFERROR(__xludf.DUMMYFUNCTION("""COMPUTED_VALUE"""),43899.8553125)</f>
        <v>43899.85531</v>
      </c>
      <c r="D620" s="4" t="str">
        <f>IFERROR(__xludf.DUMMYFUNCTION("""COMPUTED_VALUE"""),"RESOLVED")</f>
        <v>RESOLVED</v>
      </c>
      <c r="E620" s="6">
        <f>IFERROR(__xludf.DUMMYFUNCTION("""COMPUTED_VALUE"""),44384.81821759259)</f>
        <v>44384.81822</v>
      </c>
      <c r="F620" s="4" t="str">
        <f>IFERROR(__xludf.DUMMYFUNCTION("""COMPUTED_VALUE""")," ---")</f>
        <v> ---</v>
      </c>
      <c r="G620" s="4" t="str">
        <f>IFERROR(__xludf.DUMMYFUNCTION("""COMPUTED_VALUE"""),"SUSE Linux Enterprise Server 15 SP2")</f>
        <v>SUSE Linux Enterprise Server 15 SP2</v>
      </c>
      <c r="H620" s="7" t="str">
        <f t="shared" si="2"/>
        <v>NO</v>
      </c>
      <c r="I620" s="7" t="str">
        <f t="shared" si="3"/>
        <v>NO</v>
      </c>
    </row>
    <row r="621">
      <c r="A621" s="4">
        <f>IFERROR(__xludf.DUMMYFUNCTION("""COMPUTED_VALUE"""),1166134.0)</f>
        <v>1166134</v>
      </c>
      <c r="B621" s="4" t="str">
        <f>IFERROR(__xludf.DUMMYFUNCTION("""COMPUTED_VALUE"""),"P4 - Low")</f>
        <v>P4 - Low</v>
      </c>
      <c r="C621" s="5">
        <f>IFERROR(__xludf.DUMMYFUNCTION("""COMPUTED_VALUE"""),43899.85696759259)</f>
        <v>43899.85697</v>
      </c>
      <c r="D621" s="4" t="str">
        <f>IFERROR(__xludf.DUMMYFUNCTION("""COMPUTED_VALUE"""),"RESOLVED")</f>
        <v>RESOLVED</v>
      </c>
      <c r="E621" s="6">
        <f>IFERROR(__xludf.DUMMYFUNCTION("""COMPUTED_VALUE"""),43916.682592592595)</f>
        <v>43916.68259</v>
      </c>
      <c r="F621" s="4" t="str">
        <f>IFERROR(__xludf.DUMMYFUNCTION("""COMPUTED_VALUE""")," ---")</f>
        <v> ---</v>
      </c>
      <c r="G621" s="4" t="str">
        <f>IFERROR(__xludf.DUMMYFUNCTION("""COMPUTED_VALUE"""),"SUSE Linux Enterprise Server 15 SP2")</f>
        <v>SUSE Linux Enterprise Server 15 SP2</v>
      </c>
      <c r="H621" s="7" t="str">
        <f t="shared" si="2"/>
        <v>NO</v>
      </c>
      <c r="I621" s="7" t="str">
        <f t="shared" si="3"/>
        <v>NO</v>
      </c>
    </row>
    <row r="622">
      <c r="A622" s="4">
        <f>IFERROR(__xludf.DUMMYFUNCTION("""COMPUTED_VALUE"""),1166135.0)</f>
        <v>1166135</v>
      </c>
      <c r="B622" s="4" t="str">
        <f>IFERROR(__xludf.DUMMYFUNCTION("""COMPUTED_VALUE"""),"P4 - Low")</f>
        <v>P4 - Low</v>
      </c>
      <c r="C622" s="5">
        <f>IFERROR(__xludf.DUMMYFUNCTION("""COMPUTED_VALUE"""),43899.85971064815)</f>
        <v>43899.85971</v>
      </c>
      <c r="D622" s="4" t="str">
        <f>IFERROR(__xludf.DUMMYFUNCTION("""COMPUTED_VALUE"""),"RESOLVED")</f>
        <v>RESOLVED</v>
      </c>
      <c r="E622" s="6">
        <f>IFERROR(__xludf.DUMMYFUNCTION("""COMPUTED_VALUE"""),43916.68309027778)</f>
        <v>43916.68309</v>
      </c>
      <c r="F622" s="4" t="str">
        <f>IFERROR(__xludf.DUMMYFUNCTION("""COMPUTED_VALUE""")," ---")</f>
        <v> ---</v>
      </c>
      <c r="G622" s="4" t="str">
        <f>IFERROR(__xludf.DUMMYFUNCTION("""COMPUTED_VALUE"""),"SUSE Linux Enterprise Server 15 SP2")</f>
        <v>SUSE Linux Enterprise Server 15 SP2</v>
      </c>
      <c r="H622" s="7" t="str">
        <f t="shared" si="2"/>
        <v>NO</v>
      </c>
      <c r="I622" s="7" t="str">
        <f t="shared" si="3"/>
        <v>NO</v>
      </c>
    </row>
    <row r="623">
      <c r="A623" s="4">
        <f>IFERROR(__xludf.DUMMYFUNCTION("""COMPUTED_VALUE"""),1166136.0)</f>
        <v>1166136</v>
      </c>
      <c r="B623" s="4" t="str">
        <f>IFERROR(__xludf.DUMMYFUNCTION("""COMPUTED_VALUE"""),"P4 - Low")</f>
        <v>P4 - Low</v>
      </c>
      <c r="C623" s="5">
        <f>IFERROR(__xludf.DUMMYFUNCTION("""COMPUTED_VALUE"""),43899.86094907407)</f>
        <v>43899.86095</v>
      </c>
      <c r="D623" s="4" t="str">
        <f>IFERROR(__xludf.DUMMYFUNCTION("""COMPUTED_VALUE"""),"RESOLVED")</f>
        <v>RESOLVED</v>
      </c>
      <c r="E623" s="6">
        <f>IFERROR(__xludf.DUMMYFUNCTION("""COMPUTED_VALUE"""),44384.81828703704)</f>
        <v>44384.81829</v>
      </c>
      <c r="F623" s="4" t="str">
        <f>IFERROR(__xludf.DUMMYFUNCTION("""COMPUTED_VALUE""")," ---")</f>
        <v> ---</v>
      </c>
      <c r="G623" s="4" t="str">
        <f>IFERROR(__xludf.DUMMYFUNCTION("""COMPUTED_VALUE"""),"SUSE Linux Enterprise Server 15 SP2")</f>
        <v>SUSE Linux Enterprise Server 15 SP2</v>
      </c>
      <c r="H623" s="7" t="str">
        <f t="shared" si="2"/>
        <v>NO</v>
      </c>
      <c r="I623" s="7" t="str">
        <f t="shared" si="3"/>
        <v>NO</v>
      </c>
    </row>
    <row r="624">
      <c r="A624" s="4">
        <f>IFERROR(__xludf.DUMMYFUNCTION("""COMPUTED_VALUE"""),1166140.0)</f>
        <v>1166140</v>
      </c>
      <c r="B624" s="4" t="str">
        <f>IFERROR(__xludf.DUMMYFUNCTION("""COMPUTED_VALUE"""),"P4 - Low")</f>
        <v>P4 - Low</v>
      </c>
      <c r="C624" s="5">
        <f>IFERROR(__xludf.DUMMYFUNCTION("""COMPUTED_VALUE"""),43899.87516203704)</f>
        <v>43899.87516</v>
      </c>
      <c r="D624" s="4" t="str">
        <f>IFERROR(__xludf.DUMMYFUNCTION("""COMPUTED_VALUE"""),"RESOLVED")</f>
        <v>RESOLVED</v>
      </c>
      <c r="E624" s="6">
        <f>IFERROR(__xludf.DUMMYFUNCTION("""COMPUTED_VALUE"""),44384.81835648148)</f>
        <v>44384.81836</v>
      </c>
      <c r="F624" s="4" t="str">
        <f>IFERROR(__xludf.DUMMYFUNCTION("""COMPUTED_VALUE""")," ---")</f>
        <v> ---</v>
      </c>
      <c r="G624" s="4" t="str">
        <f>IFERROR(__xludf.DUMMYFUNCTION("""COMPUTED_VALUE"""),"SUSE Linux Enterprise Server 15 SP2")</f>
        <v>SUSE Linux Enterprise Server 15 SP2</v>
      </c>
      <c r="H624" s="7" t="str">
        <f t="shared" si="2"/>
        <v>NO</v>
      </c>
      <c r="I624" s="7" t="str">
        <f t="shared" si="3"/>
        <v>NO</v>
      </c>
    </row>
    <row r="625">
      <c r="A625" s="4">
        <f>IFERROR(__xludf.DUMMYFUNCTION("""COMPUTED_VALUE"""),1166142.0)</f>
        <v>1166142</v>
      </c>
      <c r="B625" s="4" t="str">
        <f>IFERROR(__xludf.DUMMYFUNCTION("""COMPUTED_VALUE"""),"P4 - Low")</f>
        <v>P4 - Low</v>
      </c>
      <c r="C625" s="5">
        <f>IFERROR(__xludf.DUMMYFUNCTION("""COMPUTED_VALUE"""),43899.8768287037)</f>
        <v>43899.87683</v>
      </c>
      <c r="D625" s="4" t="str">
        <f>IFERROR(__xludf.DUMMYFUNCTION("""COMPUTED_VALUE"""),"RESOLVED")</f>
        <v>RESOLVED</v>
      </c>
      <c r="E625" s="6">
        <f>IFERROR(__xludf.DUMMYFUNCTION("""COMPUTED_VALUE"""),43916.68518518518)</f>
        <v>43916.68519</v>
      </c>
      <c r="F625" s="4" t="str">
        <f>IFERROR(__xludf.DUMMYFUNCTION("""COMPUTED_VALUE""")," ---")</f>
        <v> ---</v>
      </c>
      <c r="G625" s="4" t="str">
        <f>IFERROR(__xludf.DUMMYFUNCTION("""COMPUTED_VALUE"""),"SUSE Linux Enterprise Server 15 SP2")</f>
        <v>SUSE Linux Enterprise Server 15 SP2</v>
      </c>
      <c r="H625" s="7" t="str">
        <f t="shared" si="2"/>
        <v>NO</v>
      </c>
      <c r="I625" s="7" t="str">
        <f t="shared" si="3"/>
        <v>NO</v>
      </c>
    </row>
    <row r="626">
      <c r="A626" s="4">
        <f>IFERROR(__xludf.DUMMYFUNCTION("""COMPUTED_VALUE"""),1166143.0)</f>
        <v>1166143</v>
      </c>
      <c r="B626" s="4" t="str">
        <f>IFERROR(__xludf.DUMMYFUNCTION("""COMPUTED_VALUE"""),"P4 - Low")</f>
        <v>P4 - Low</v>
      </c>
      <c r="C626" s="5">
        <f>IFERROR(__xludf.DUMMYFUNCTION("""COMPUTED_VALUE"""),43899.87771990741)</f>
        <v>43899.87772</v>
      </c>
      <c r="D626" s="4" t="str">
        <f>IFERROR(__xludf.DUMMYFUNCTION("""COMPUTED_VALUE"""),"RESOLVED")</f>
        <v>RESOLVED</v>
      </c>
      <c r="E626" s="6">
        <f>IFERROR(__xludf.DUMMYFUNCTION("""COMPUTED_VALUE"""),44384.81842592593)</f>
        <v>44384.81843</v>
      </c>
      <c r="F626" s="4" t="str">
        <f>IFERROR(__xludf.DUMMYFUNCTION("""COMPUTED_VALUE""")," ---")</f>
        <v> ---</v>
      </c>
      <c r="G626" s="4" t="str">
        <f>IFERROR(__xludf.DUMMYFUNCTION("""COMPUTED_VALUE"""),"SUSE Linux Enterprise Server 15 SP2")</f>
        <v>SUSE Linux Enterprise Server 15 SP2</v>
      </c>
      <c r="H626" s="7" t="str">
        <f t="shared" si="2"/>
        <v>NO</v>
      </c>
      <c r="I626" s="7" t="str">
        <f t="shared" si="3"/>
        <v>NO</v>
      </c>
    </row>
    <row r="627">
      <c r="A627" s="4">
        <f>IFERROR(__xludf.DUMMYFUNCTION("""COMPUTED_VALUE"""),1166144.0)</f>
        <v>1166144</v>
      </c>
      <c r="B627" s="4" t="str">
        <f>IFERROR(__xludf.DUMMYFUNCTION("""COMPUTED_VALUE"""),"P4 - Low")</f>
        <v>P4 - Low</v>
      </c>
      <c r="C627" s="5">
        <f>IFERROR(__xludf.DUMMYFUNCTION("""COMPUTED_VALUE"""),43899.87909722222)</f>
        <v>43899.8791</v>
      </c>
      <c r="D627" s="4" t="str">
        <f>IFERROR(__xludf.DUMMYFUNCTION("""COMPUTED_VALUE"""),"RESOLVED")</f>
        <v>RESOLVED</v>
      </c>
      <c r="E627" s="6">
        <f>IFERROR(__xludf.DUMMYFUNCTION("""COMPUTED_VALUE"""),44384.81849537037)</f>
        <v>44384.8185</v>
      </c>
      <c r="F627" s="4" t="str">
        <f>IFERROR(__xludf.DUMMYFUNCTION("""COMPUTED_VALUE""")," ---")</f>
        <v> ---</v>
      </c>
      <c r="G627" s="4" t="str">
        <f>IFERROR(__xludf.DUMMYFUNCTION("""COMPUTED_VALUE"""),"SUSE Linux Enterprise Server 15 SP2")</f>
        <v>SUSE Linux Enterprise Server 15 SP2</v>
      </c>
      <c r="H627" s="7" t="str">
        <f t="shared" si="2"/>
        <v>NO</v>
      </c>
      <c r="I627" s="7" t="str">
        <f t="shared" si="3"/>
        <v>NO</v>
      </c>
    </row>
    <row r="628">
      <c r="A628" s="4">
        <f>IFERROR(__xludf.DUMMYFUNCTION("""COMPUTED_VALUE"""),1166145.0)</f>
        <v>1166145</v>
      </c>
      <c r="B628" s="4" t="str">
        <f>IFERROR(__xludf.DUMMYFUNCTION("""COMPUTED_VALUE"""),"P4 - Low")</f>
        <v>P4 - Low</v>
      </c>
      <c r="C628" s="5">
        <f>IFERROR(__xludf.DUMMYFUNCTION("""COMPUTED_VALUE"""),43899.88037037037)</f>
        <v>43899.88037</v>
      </c>
      <c r="D628" s="4" t="str">
        <f>IFERROR(__xludf.DUMMYFUNCTION("""COMPUTED_VALUE"""),"RESOLVED")</f>
        <v>RESOLVED</v>
      </c>
      <c r="E628" s="6">
        <f>IFERROR(__xludf.DUMMYFUNCTION("""COMPUTED_VALUE"""),44384.818564814814)</f>
        <v>44384.81856</v>
      </c>
      <c r="F628" s="4" t="str">
        <f>IFERROR(__xludf.DUMMYFUNCTION("""COMPUTED_VALUE""")," ---")</f>
        <v> ---</v>
      </c>
      <c r="G628" s="4" t="str">
        <f>IFERROR(__xludf.DUMMYFUNCTION("""COMPUTED_VALUE"""),"SUSE Linux Enterprise Server 15 SP2")</f>
        <v>SUSE Linux Enterprise Server 15 SP2</v>
      </c>
      <c r="H628" s="7" t="str">
        <f t="shared" si="2"/>
        <v>NO</v>
      </c>
      <c r="I628" s="7" t="str">
        <f t="shared" si="3"/>
        <v>NO</v>
      </c>
    </row>
    <row r="629">
      <c r="A629" s="4">
        <f>IFERROR(__xludf.DUMMYFUNCTION("""COMPUTED_VALUE"""),1166146.0)</f>
        <v>1166146</v>
      </c>
      <c r="B629" s="4" t="str">
        <f>IFERROR(__xludf.DUMMYFUNCTION("""COMPUTED_VALUE"""),"P4 - Low")</f>
        <v>P4 - Low</v>
      </c>
      <c r="C629" s="5">
        <f>IFERROR(__xludf.DUMMYFUNCTION("""COMPUTED_VALUE"""),43899.88122685185)</f>
        <v>43899.88123</v>
      </c>
      <c r="D629" s="4" t="str">
        <f>IFERROR(__xludf.DUMMYFUNCTION("""COMPUTED_VALUE"""),"RESOLVED")</f>
        <v>RESOLVED</v>
      </c>
      <c r="E629" s="6">
        <f>IFERROR(__xludf.DUMMYFUNCTION("""COMPUTED_VALUE"""),44384.81863425926)</f>
        <v>44384.81863</v>
      </c>
      <c r="F629" s="4" t="str">
        <f>IFERROR(__xludf.DUMMYFUNCTION("""COMPUTED_VALUE""")," ---")</f>
        <v> ---</v>
      </c>
      <c r="G629" s="4" t="str">
        <f>IFERROR(__xludf.DUMMYFUNCTION("""COMPUTED_VALUE"""),"SUSE Linux Enterprise Server 15 SP2")</f>
        <v>SUSE Linux Enterprise Server 15 SP2</v>
      </c>
      <c r="H629" s="7" t="str">
        <f t="shared" si="2"/>
        <v>NO</v>
      </c>
      <c r="I629" s="7" t="str">
        <f t="shared" si="3"/>
        <v>NO</v>
      </c>
    </row>
    <row r="630">
      <c r="A630" s="4">
        <f>IFERROR(__xludf.DUMMYFUNCTION("""COMPUTED_VALUE"""),1166147.0)</f>
        <v>1166147</v>
      </c>
      <c r="B630" s="4" t="str">
        <f>IFERROR(__xludf.DUMMYFUNCTION("""COMPUTED_VALUE"""),"P4 - Low")</f>
        <v>P4 - Low</v>
      </c>
      <c r="C630" s="5">
        <f>IFERROR(__xludf.DUMMYFUNCTION("""COMPUTED_VALUE"""),43899.882199074076)</f>
        <v>43899.8822</v>
      </c>
      <c r="D630" s="4" t="str">
        <f>IFERROR(__xludf.DUMMYFUNCTION("""COMPUTED_VALUE"""),"RESOLVED")</f>
        <v>RESOLVED</v>
      </c>
      <c r="E630" s="6">
        <f>IFERROR(__xludf.DUMMYFUNCTION("""COMPUTED_VALUE"""),44384.818703703706)</f>
        <v>44384.8187</v>
      </c>
      <c r="F630" s="4" t="str">
        <f>IFERROR(__xludf.DUMMYFUNCTION("""COMPUTED_VALUE""")," ---")</f>
        <v> ---</v>
      </c>
      <c r="G630" s="4" t="str">
        <f>IFERROR(__xludf.DUMMYFUNCTION("""COMPUTED_VALUE"""),"SUSE Linux Enterprise Server 15 SP2")</f>
        <v>SUSE Linux Enterprise Server 15 SP2</v>
      </c>
      <c r="H630" s="7" t="str">
        <f t="shared" si="2"/>
        <v>NO</v>
      </c>
      <c r="I630" s="7" t="str">
        <f t="shared" si="3"/>
        <v>NO</v>
      </c>
    </row>
    <row r="631">
      <c r="A631" s="4">
        <f>IFERROR(__xludf.DUMMYFUNCTION("""COMPUTED_VALUE"""),1166149.0)</f>
        <v>1166149</v>
      </c>
      <c r="B631" s="4" t="str">
        <f>IFERROR(__xludf.DUMMYFUNCTION("""COMPUTED_VALUE"""),"P4 - Low")</f>
        <v>P4 - Low</v>
      </c>
      <c r="C631" s="5">
        <f>IFERROR(__xludf.DUMMYFUNCTION("""COMPUTED_VALUE"""),43899.90756944445)</f>
        <v>43899.90757</v>
      </c>
      <c r="D631" s="4" t="str">
        <f>IFERROR(__xludf.DUMMYFUNCTION("""COMPUTED_VALUE"""),"RESOLVED")</f>
        <v>RESOLVED</v>
      </c>
      <c r="E631" s="6">
        <f>IFERROR(__xludf.DUMMYFUNCTION("""COMPUTED_VALUE"""),44384.818773148145)</f>
        <v>44384.81877</v>
      </c>
      <c r="F631" s="4" t="str">
        <f>IFERROR(__xludf.DUMMYFUNCTION("""COMPUTED_VALUE""")," ---")</f>
        <v> ---</v>
      </c>
      <c r="G631" s="4" t="str">
        <f>IFERROR(__xludf.DUMMYFUNCTION("""COMPUTED_VALUE"""),"SUSE Linux Enterprise Server 15 SP2")</f>
        <v>SUSE Linux Enterprise Server 15 SP2</v>
      </c>
      <c r="H631" s="7" t="str">
        <f t="shared" si="2"/>
        <v>NO</v>
      </c>
      <c r="I631" s="7" t="str">
        <f t="shared" si="3"/>
        <v>NO</v>
      </c>
    </row>
    <row r="632">
      <c r="A632" s="4">
        <f>IFERROR(__xludf.DUMMYFUNCTION("""COMPUTED_VALUE"""),1166152.0)</f>
        <v>1166152</v>
      </c>
      <c r="B632" s="4" t="str">
        <f>IFERROR(__xludf.DUMMYFUNCTION("""COMPUTED_VALUE"""),"P4 - Low")</f>
        <v>P4 - Low</v>
      </c>
      <c r="C632" s="5">
        <f>IFERROR(__xludf.DUMMYFUNCTION("""COMPUTED_VALUE"""),43899.918125)</f>
        <v>43899.91813</v>
      </c>
      <c r="D632" s="4" t="str">
        <f>IFERROR(__xludf.DUMMYFUNCTION("""COMPUTED_VALUE"""),"RESOLVED")</f>
        <v>RESOLVED</v>
      </c>
      <c r="E632" s="6">
        <f>IFERROR(__xludf.DUMMYFUNCTION("""COMPUTED_VALUE"""),44384.81884259259)</f>
        <v>44384.81884</v>
      </c>
      <c r="F632" s="4" t="str">
        <f>IFERROR(__xludf.DUMMYFUNCTION("""COMPUTED_VALUE""")," ---")</f>
        <v> ---</v>
      </c>
      <c r="G632" s="4" t="str">
        <f>IFERROR(__xludf.DUMMYFUNCTION("""COMPUTED_VALUE"""),"SUSE Linux Enterprise Server 15 SP2")</f>
        <v>SUSE Linux Enterprise Server 15 SP2</v>
      </c>
      <c r="H632" s="7" t="str">
        <f t="shared" si="2"/>
        <v>NO</v>
      </c>
      <c r="I632" s="7" t="str">
        <f t="shared" si="3"/>
        <v>NO</v>
      </c>
    </row>
    <row r="633">
      <c r="A633" s="4">
        <f>IFERROR(__xludf.DUMMYFUNCTION("""COMPUTED_VALUE"""),1166153.0)</f>
        <v>1166153</v>
      </c>
      <c r="B633" s="4" t="str">
        <f>IFERROR(__xludf.DUMMYFUNCTION("""COMPUTED_VALUE"""),"P4 - Low")</f>
        <v>P4 - Low</v>
      </c>
      <c r="C633" s="5">
        <f>IFERROR(__xludf.DUMMYFUNCTION("""COMPUTED_VALUE"""),43899.92172453704)</f>
        <v>43899.92172</v>
      </c>
      <c r="D633" s="4" t="str">
        <f>IFERROR(__xludf.DUMMYFUNCTION("""COMPUTED_VALUE"""),"RESOLVED")</f>
        <v>RESOLVED</v>
      </c>
      <c r="E633" s="6">
        <f>IFERROR(__xludf.DUMMYFUNCTION("""COMPUTED_VALUE"""),44384.81891203704)</f>
        <v>44384.81891</v>
      </c>
      <c r="F633" s="4" t="str">
        <f>IFERROR(__xludf.DUMMYFUNCTION("""COMPUTED_VALUE""")," ---")</f>
        <v> ---</v>
      </c>
      <c r="G633" s="4" t="str">
        <f>IFERROR(__xludf.DUMMYFUNCTION("""COMPUTED_VALUE"""),"SUSE Linux Enterprise Server 15 SP2")</f>
        <v>SUSE Linux Enterprise Server 15 SP2</v>
      </c>
      <c r="H633" s="7" t="str">
        <f t="shared" si="2"/>
        <v>NO</v>
      </c>
      <c r="I633" s="7" t="str">
        <f t="shared" si="3"/>
        <v>NO</v>
      </c>
    </row>
    <row r="634">
      <c r="A634" s="4">
        <f>IFERROR(__xludf.DUMMYFUNCTION("""COMPUTED_VALUE"""),1166154.0)</f>
        <v>1166154</v>
      </c>
      <c r="B634" s="4" t="str">
        <f>IFERROR(__xludf.DUMMYFUNCTION("""COMPUTED_VALUE"""),"P4 - Low")</f>
        <v>P4 - Low</v>
      </c>
      <c r="C634" s="5">
        <f>IFERROR(__xludf.DUMMYFUNCTION("""COMPUTED_VALUE"""),43899.930081018516)</f>
        <v>43899.93008</v>
      </c>
      <c r="D634" s="4" t="str">
        <f>IFERROR(__xludf.DUMMYFUNCTION("""COMPUTED_VALUE"""),"RESOLVED")</f>
        <v>RESOLVED</v>
      </c>
      <c r="E634" s="6">
        <f>IFERROR(__xludf.DUMMYFUNCTION("""COMPUTED_VALUE"""),44384.81898148148)</f>
        <v>44384.81898</v>
      </c>
      <c r="F634" s="4" t="str">
        <f>IFERROR(__xludf.DUMMYFUNCTION("""COMPUTED_VALUE""")," ---")</f>
        <v> ---</v>
      </c>
      <c r="G634" s="4" t="str">
        <f>IFERROR(__xludf.DUMMYFUNCTION("""COMPUTED_VALUE"""),"SUSE Linux Enterprise Server 15 SP2")</f>
        <v>SUSE Linux Enterprise Server 15 SP2</v>
      </c>
      <c r="H634" s="7" t="str">
        <f t="shared" si="2"/>
        <v>NO</v>
      </c>
      <c r="I634" s="7" t="str">
        <f t="shared" si="3"/>
        <v>NO</v>
      </c>
    </row>
    <row r="635">
      <c r="A635" s="4">
        <f>IFERROR(__xludf.DUMMYFUNCTION("""COMPUTED_VALUE"""),1166155.0)</f>
        <v>1166155</v>
      </c>
      <c r="B635" s="4" t="str">
        <f>IFERROR(__xludf.DUMMYFUNCTION("""COMPUTED_VALUE"""),"P4 - Low")</f>
        <v>P4 - Low</v>
      </c>
      <c r="C635" s="5">
        <f>IFERROR(__xludf.DUMMYFUNCTION("""COMPUTED_VALUE"""),43899.931180555555)</f>
        <v>43899.93118</v>
      </c>
      <c r="D635" s="4" t="str">
        <f>IFERROR(__xludf.DUMMYFUNCTION("""COMPUTED_VALUE"""),"RESOLVED")</f>
        <v>RESOLVED</v>
      </c>
      <c r="E635" s="6">
        <f>IFERROR(__xludf.DUMMYFUNCTION("""COMPUTED_VALUE"""),44384.8190625)</f>
        <v>44384.81906</v>
      </c>
      <c r="F635" s="4" t="str">
        <f>IFERROR(__xludf.DUMMYFUNCTION("""COMPUTED_VALUE""")," ---")</f>
        <v> ---</v>
      </c>
      <c r="G635" s="4" t="str">
        <f>IFERROR(__xludf.DUMMYFUNCTION("""COMPUTED_VALUE"""),"SUSE Linux Enterprise Server 15 SP2")</f>
        <v>SUSE Linux Enterprise Server 15 SP2</v>
      </c>
      <c r="H635" s="7" t="str">
        <f t="shared" si="2"/>
        <v>NO</v>
      </c>
      <c r="I635" s="7" t="str">
        <f t="shared" si="3"/>
        <v>NO</v>
      </c>
    </row>
    <row r="636">
      <c r="A636" s="4">
        <f>IFERROR(__xludf.DUMMYFUNCTION("""COMPUTED_VALUE"""),1166156.0)</f>
        <v>1166156</v>
      </c>
      <c r="B636" s="4" t="str">
        <f>IFERROR(__xludf.DUMMYFUNCTION("""COMPUTED_VALUE"""),"P4 - Low")</f>
        <v>P4 - Low</v>
      </c>
      <c r="C636" s="5">
        <f>IFERROR(__xludf.DUMMYFUNCTION("""COMPUTED_VALUE"""),43899.93283564815)</f>
        <v>43899.93284</v>
      </c>
      <c r="D636" s="4" t="str">
        <f>IFERROR(__xludf.DUMMYFUNCTION("""COMPUTED_VALUE"""),"RESOLVED")</f>
        <v>RESOLVED</v>
      </c>
      <c r="E636" s="6">
        <f>IFERROR(__xludf.DUMMYFUNCTION("""COMPUTED_VALUE"""),44384.819131944445)</f>
        <v>44384.81913</v>
      </c>
      <c r="F636" s="4" t="str">
        <f>IFERROR(__xludf.DUMMYFUNCTION("""COMPUTED_VALUE""")," ---")</f>
        <v> ---</v>
      </c>
      <c r="G636" s="4" t="str">
        <f>IFERROR(__xludf.DUMMYFUNCTION("""COMPUTED_VALUE"""),"SUSE Linux Enterprise Server 15 SP2")</f>
        <v>SUSE Linux Enterprise Server 15 SP2</v>
      </c>
      <c r="H636" s="7" t="str">
        <f t="shared" si="2"/>
        <v>NO</v>
      </c>
      <c r="I636" s="7" t="str">
        <f t="shared" si="3"/>
        <v>NO</v>
      </c>
    </row>
    <row r="637">
      <c r="A637" s="4">
        <f>IFERROR(__xludf.DUMMYFUNCTION("""COMPUTED_VALUE"""),1166158.0)</f>
        <v>1166158</v>
      </c>
      <c r="B637" s="4" t="str">
        <f>IFERROR(__xludf.DUMMYFUNCTION("""COMPUTED_VALUE"""),"P4 - Low")</f>
        <v>P4 - Low</v>
      </c>
      <c r="C637" s="5">
        <f>IFERROR(__xludf.DUMMYFUNCTION("""COMPUTED_VALUE"""),43899.93969907407)</f>
        <v>43899.9397</v>
      </c>
      <c r="D637" s="4" t="str">
        <f>IFERROR(__xludf.DUMMYFUNCTION("""COMPUTED_VALUE"""),"RESOLVED")</f>
        <v>RESOLVED</v>
      </c>
      <c r="E637" s="6">
        <f>IFERROR(__xludf.DUMMYFUNCTION("""COMPUTED_VALUE"""),44384.81920138889)</f>
        <v>44384.8192</v>
      </c>
      <c r="F637" s="4" t="str">
        <f>IFERROR(__xludf.DUMMYFUNCTION("""COMPUTED_VALUE""")," ---")</f>
        <v> ---</v>
      </c>
      <c r="G637" s="4" t="str">
        <f>IFERROR(__xludf.DUMMYFUNCTION("""COMPUTED_VALUE"""),"SUSE Linux Enterprise Server 15 SP2")</f>
        <v>SUSE Linux Enterprise Server 15 SP2</v>
      </c>
      <c r="H637" s="7" t="str">
        <f t="shared" si="2"/>
        <v>NO</v>
      </c>
      <c r="I637" s="7" t="str">
        <f t="shared" si="3"/>
        <v>NO</v>
      </c>
    </row>
    <row r="638">
      <c r="A638" s="4">
        <f>IFERROR(__xludf.DUMMYFUNCTION("""COMPUTED_VALUE"""),1166160.0)</f>
        <v>1166160</v>
      </c>
      <c r="B638" s="4" t="str">
        <f>IFERROR(__xludf.DUMMYFUNCTION("""COMPUTED_VALUE"""),"P4 - Low")</f>
        <v>P4 - Low</v>
      </c>
      <c r="C638" s="5">
        <f>IFERROR(__xludf.DUMMYFUNCTION("""COMPUTED_VALUE"""),43899.943136574075)</f>
        <v>43899.94314</v>
      </c>
      <c r="D638" s="4" t="str">
        <f>IFERROR(__xludf.DUMMYFUNCTION("""COMPUTED_VALUE"""),"RESOLVED")</f>
        <v>RESOLVED</v>
      </c>
      <c r="E638" s="6">
        <f>IFERROR(__xludf.DUMMYFUNCTION("""COMPUTED_VALUE"""),44384.81927083333)</f>
        <v>44384.81927</v>
      </c>
      <c r="F638" s="4" t="str">
        <f>IFERROR(__xludf.DUMMYFUNCTION("""COMPUTED_VALUE""")," ---")</f>
        <v> ---</v>
      </c>
      <c r="G638" s="4" t="str">
        <f>IFERROR(__xludf.DUMMYFUNCTION("""COMPUTED_VALUE"""),"SUSE Linux Enterprise Server 15 SP2")</f>
        <v>SUSE Linux Enterprise Server 15 SP2</v>
      </c>
      <c r="H638" s="7" t="str">
        <f t="shared" si="2"/>
        <v>NO</v>
      </c>
      <c r="I638" s="7" t="str">
        <f t="shared" si="3"/>
        <v>NO</v>
      </c>
    </row>
    <row r="639">
      <c r="A639" s="4">
        <f>IFERROR(__xludf.DUMMYFUNCTION("""COMPUTED_VALUE"""),1166161.0)</f>
        <v>1166161</v>
      </c>
      <c r="B639" s="4" t="str">
        <f>IFERROR(__xludf.DUMMYFUNCTION("""COMPUTED_VALUE"""),"P4 - Low")</f>
        <v>P4 - Low</v>
      </c>
      <c r="C639" s="5">
        <f>IFERROR(__xludf.DUMMYFUNCTION("""COMPUTED_VALUE"""),43899.94923611111)</f>
        <v>43899.94924</v>
      </c>
      <c r="D639" s="4" t="str">
        <f>IFERROR(__xludf.DUMMYFUNCTION("""COMPUTED_VALUE"""),"RESOLVED")</f>
        <v>RESOLVED</v>
      </c>
      <c r="E639" s="6">
        <f>IFERROR(__xludf.DUMMYFUNCTION("""COMPUTED_VALUE"""),44384.81935185185)</f>
        <v>44384.81935</v>
      </c>
      <c r="F639" s="4" t="str">
        <f>IFERROR(__xludf.DUMMYFUNCTION("""COMPUTED_VALUE""")," ---")</f>
        <v> ---</v>
      </c>
      <c r="G639" s="4" t="str">
        <f>IFERROR(__xludf.DUMMYFUNCTION("""COMPUTED_VALUE"""),"SUSE Linux Enterprise Server 15 SP2")</f>
        <v>SUSE Linux Enterprise Server 15 SP2</v>
      </c>
      <c r="H639" s="7" t="str">
        <f t="shared" si="2"/>
        <v>NO</v>
      </c>
      <c r="I639" s="7" t="str">
        <f t="shared" si="3"/>
        <v>NO</v>
      </c>
    </row>
    <row r="640">
      <c r="A640" s="4">
        <f>IFERROR(__xludf.DUMMYFUNCTION("""COMPUTED_VALUE"""),1166162.0)</f>
        <v>1166162</v>
      </c>
      <c r="B640" s="4" t="str">
        <f>IFERROR(__xludf.DUMMYFUNCTION("""COMPUTED_VALUE"""),"P4 - Low")</f>
        <v>P4 - Low</v>
      </c>
      <c r="C640" s="5">
        <f>IFERROR(__xludf.DUMMYFUNCTION("""COMPUTED_VALUE"""),43899.95222222222)</f>
        <v>43899.95222</v>
      </c>
      <c r="D640" s="4" t="str">
        <f>IFERROR(__xludf.DUMMYFUNCTION("""COMPUTED_VALUE"""),"RESOLVED")</f>
        <v>RESOLVED</v>
      </c>
      <c r="E640" s="6">
        <f>IFERROR(__xludf.DUMMYFUNCTION("""COMPUTED_VALUE"""),44384.8194212963)</f>
        <v>44384.81942</v>
      </c>
      <c r="F640" s="4" t="str">
        <f>IFERROR(__xludf.DUMMYFUNCTION("""COMPUTED_VALUE""")," ---")</f>
        <v> ---</v>
      </c>
      <c r="G640" s="4" t="str">
        <f>IFERROR(__xludf.DUMMYFUNCTION("""COMPUTED_VALUE"""),"SUSE Linux Enterprise Server 15 SP2")</f>
        <v>SUSE Linux Enterprise Server 15 SP2</v>
      </c>
      <c r="H640" s="7" t="str">
        <f t="shared" si="2"/>
        <v>NO</v>
      </c>
      <c r="I640" s="7" t="str">
        <f t="shared" si="3"/>
        <v>NO</v>
      </c>
    </row>
    <row r="641">
      <c r="A641" s="4">
        <f>IFERROR(__xludf.DUMMYFUNCTION("""COMPUTED_VALUE"""),1166164.0)</f>
        <v>1166164</v>
      </c>
      <c r="B641" s="4" t="str">
        <f>IFERROR(__xludf.DUMMYFUNCTION("""COMPUTED_VALUE"""),"P4 - Low")</f>
        <v>P4 - Low</v>
      </c>
      <c r="C641" s="5">
        <f>IFERROR(__xludf.DUMMYFUNCTION("""COMPUTED_VALUE"""),43899.95423611111)</f>
        <v>43899.95424</v>
      </c>
      <c r="D641" s="4" t="str">
        <f>IFERROR(__xludf.DUMMYFUNCTION("""COMPUTED_VALUE"""),"RESOLVED")</f>
        <v>RESOLVED</v>
      </c>
      <c r="E641" s="6">
        <f>IFERROR(__xludf.DUMMYFUNCTION("""COMPUTED_VALUE"""),44384.819502314815)</f>
        <v>44384.8195</v>
      </c>
      <c r="F641" s="4" t="str">
        <f>IFERROR(__xludf.DUMMYFUNCTION("""COMPUTED_VALUE""")," ---")</f>
        <v> ---</v>
      </c>
      <c r="G641" s="4" t="str">
        <f>IFERROR(__xludf.DUMMYFUNCTION("""COMPUTED_VALUE"""),"SUSE Linux Enterprise Server 15 SP2")</f>
        <v>SUSE Linux Enterprise Server 15 SP2</v>
      </c>
      <c r="H641" s="7" t="str">
        <f t="shared" si="2"/>
        <v>NO</v>
      </c>
      <c r="I641" s="7" t="str">
        <f t="shared" si="3"/>
        <v>NO</v>
      </c>
    </row>
    <row r="642">
      <c r="A642" s="4">
        <f>IFERROR(__xludf.DUMMYFUNCTION("""COMPUTED_VALUE"""),1166166.0)</f>
        <v>1166166</v>
      </c>
      <c r="B642" s="4" t="str">
        <f>IFERROR(__xludf.DUMMYFUNCTION("""COMPUTED_VALUE"""),"P4 - Low")</f>
        <v>P4 - Low</v>
      </c>
      <c r="C642" s="5">
        <f>IFERROR(__xludf.DUMMYFUNCTION("""COMPUTED_VALUE"""),43899.95961805555)</f>
        <v>43899.95962</v>
      </c>
      <c r="D642" s="4" t="str">
        <f>IFERROR(__xludf.DUMMYFUNCTION("""COMPUTED_VALUE"""),"RESOLVED")</f>
        <v>RESOLVED</v>
      </c>
      <c r="E642" s="6">
        <f>IFERROR(__xludf.DUMMYFUNCTION("""COMPUTED_VALUE"""),44384.81957175926)</f>
        <v>44384.81957</v>
      </c>
      <c r="F642" s="4" t="str">
        <f>IFERROR(__xludf.DUMMYFUNCTION("""COMPUTED_VALUE""")," ---")</f>
        <v> ---</v>
      </c>
      <c r="G642" s="4" t="str">
        <f>IFERROR(__xludf.DUMMYFUNCTION("""COMPUTED_VALUE"""),"SUSE Linux Enterprise Server 15 SP2")</f>
        <v>SUSE Linux Enterprise Server 15 SP2</v>
      </c>
      <c r="H642" s="7" t="str">
        <f t="shared" si="2"/>
        <v>NO</v>
      </c>
      <c r="I642" s="7" t="str">
        <f t="shared" si="3"/>
        <v>NO</v>
      </c>
    </row>
    <row r="643">
      <c r="A643" s="4">
        <f>IFERROR(__xludf.DUMMYFUNCTION("""COMPUTED_VALUE"""),1166169.0)</f>
        <v>1166169</v>
      </c>
      <c r="B643" s="4" t="str">
        <f>IFERROR(__xludf.DUMMYFUNCTION("""COMPUTED_VALUE"""),"P4 - Low")</f>
        <v>P4 - Low</v>
      </c>
      <c r="C643" s="5">
        <f>IFERROR(__xludf.DUMMYFUNCTION("""COMPUTED_VALUE"""),43899.99450231482)</f>
        <v>43899.9945</v>
      </c>
      <c r="D643" s="4" t="str">
        <f>IFERROR(__xludf.DUMMYFUNCTION("""COMPUTED_VALUE"""),"RESOLVED")</f>
        <v>RESOLVED</v>
      </c>
      <c r="E643" s="6">
        <f>IFERROR(__xludf.DUMMYFUNCTION("""COMPUTED_VALUE"""),43916.6834375)</f>
        <v>43916.68344</v>
      </c>
      <c r="F643" s="4" t="str">
        <f>IFERROR(__xludf.DUMMYFUNCTION("""COMPUTED_VALUE""")," ---")</f>
        <v> ---</v>
      </c>
      <c r="G643" s="4" t="str">
        <f>IFERROR(__xludf.DUMMYFUNCTION("""COMPUTED_VALUE"""),"SUSE Linux Enterprise Server 15 SP2")</f>
        <v>SUSE Linux Enterprise Server 15 SP2</v>
      </c>
      <c r="H643" s="7" t="str">
        <f t="shared" si="2"/>
        <v>NO</v>
      </c>
      <c r="I643" s="7" t="str">
        <f t="shared" si="3"/>
        <v>NO</v>
      </c>
    </row>
    <row r="644">
      <c r="A644" s="4">
        <f>IFERROR(__xludf.DUMMYFUNCTION("""COMPUTED_VALUE"""),1166170.0)</f>
        <v>1166170</v>
      </c>
      <c r="B644" s="4" t="str">
        <f>IFERROR(__xludf.DUMMYFUNCTION("""COMPUTED_VALUE"""),"P4 - Low")</f>
        <v>P4 - Low</v>
      </c>
      <c r="C644" s="5">
        <f>IFERROR(__xludf.DUMMYFUNCTION("""COMPUTED_VALUE"""),43899.99623842593)</f>
        <v>43899.99624</v>
      </c>
      <c r="D644" s="4" t="str">
        <f>IFERROR(__xludf.DUMMYFUNCTION("""COMPUTED_VALUE"""),"RESOLVED")</f>
        <v>RESOLVED</v>
      </c>
      <c r="E644" s="6">
        <f>IFERROR(__xludf.DUMMYFUNCTION("""COMPUTED_VALUE"""),43916.68388888889)</f>
        <v>43916.68389</v>
      </c>
      <c r="F644" s="4" t="str">
        <f>IFERROR(__xludf.DUMMYFUNCTION("""COMPUTED_VALUE""")," ---")</f>
        <v> ---</v>
      </c>
      <c r="G644" s="4" t="str">
        <f>IFERROR(__xludf.DUMMYFUNCTION("""COMPUTED_VALUE"""),"SUSE Linux Enterprise Server 15 SP2")</f>
        <v>SUSE Linux Enterprise Server 15 SP2</v>
      </c>
      <c r="H644" s="7" t="str">
        <f t="shared" si="2"/>
        <v>NO</v>
      </c>
      <c r="I644" s="7" t="str">
        <f t="shared" si="3"/>
        <v>NO</v>
      </c>
    </row>
    <row r="645">
      <c r="A645" s="4">
        <f>IFERROR(__xludf.DUMMYFUNCTION("""COMPUTED_VALUE"""),1166209.0)</f>
        <v>1166209</v>
      </c>
      <c r="B645" s="4" t="str">
        <f>IFERROR(__xludf.DUMMYFUNCTION("""COMPUTED_VALUE"""),"P4 - Low")</f>
        <v>P4 - Low</v>
      </c>
      <c r="C645" s="5">
        <f>IFERROR(__xludf.DUMMYFUNCTION("""COMPUTED_VALUE"""),43900.41866898148)</f>
        <v>43900.41867</v>
      </c>
      <c r="D645" s="4" t="str">
        <f>IFERROR(__xludf.DUMMYFUNCTION("""COMPUTED_VALUE"""),"RESOLVED")</f>
        <v>RESOLVED</v>
      </c>
      <c r="E645" s="6">
        <f>IFERROR(__xludf.DUMMYFUNCTION("""COMPUTED_VALUE"""),43916.68577546296)</f>
        <v>43916.68578</v>
      </c>
      <c r="F645" s="4" t="str">
        <f>IFERROR(__xludf.DUMMYFUNCTION("""COMPUTED_VALUE""")," ---")</f>
        <v> ---</v>
      </c>
      <c r="G645" s="4" t="str">
        <f>IFERROR(__xludf.DUMMYFUNCTION("""COMPUTED_VALUE"""),"SUSE Linux Enterprise Server 15 SP2")</f>
        <v>SUSE Linux Enterprise Server 15 SP2</v>
      </c>
      <c r="H645" s="7" t="str">
        <f t="shared" si="2"/>
        <v>NO</v>
      </c>
      <c r="I645" s="7" t="str">
        <f t="shared" si="3"/>
        <v>NO</v>
      </c>
    </row>
    <row r="646">
      <c r="A646" s="4">
        <f>IFERROR(__xludf.DUMMYFUNCTION("""COMPUTED_VALUE"""),1166222.0)</f>
        <v>1166222</v>
      </c>
      <c r="B646" s="4" t="str">
        <f>IFERROR(__xludf.DUMMYFUNCTION("""COMPUTED_VALUE"""),"P4 - Low")</f>
        <v>P4 - Low</v>
      </c>
      <c r="C646" s="5">
        <f>IFERROR(__xludf.DUMMYFUNCTION("""COMPUTED_VALUE"""),43900.456192129626)</f>
        <v>43900.45619</v>
      </c>
      <c r="D646" s="4" t="str">
        <f>IFERROR(__xludf.DUMMYFUNCTION("""COMPUTED_VALUE"""),"RESOLVED")</f>
        <v>RESOLVED</v>
      </c>
      <c r="E646" s="6">
        <f>IFERROR(__xludf.DUMMYFUNCTION("""COMPUTED_VALUE"""),43916.68612268518)</f>
        <v>43916.68612</v>
      </c>
      <c r="F646" s="4" t="str">
        <f>IFERROR(__xludf.DUMMYFUNCTION("""COMPUTED_VALUE""")," ---")</f>
        <v> ---</v>
      </c>
      <c r="G646" s="4" t="str">
        <f>IFERROR(__xludf.DUMMYFUNCTION("""COMPUTED_VALUE"""),"SUSE Linux Enterprise Server 15 SP2")</f>
        <v>SUSE Linux Enterprise Server 15 SP2</v>
      </c>
      <c r="H646" s="7" t="str">
        <f t="shared" si="2"/>
        <v>NO</v>
      </c>
      <c r="I646" s="7" t="str">
        <f t="shared" si="3"/>
        <v>NO</v>
      </c>
    </row>
    <row r="647">
      <c r="A647" s="4">
        <f>IFERROR(__xludf.DUMMYFUNCTION("""COMPUTED_VALUE"""),1166226.0)</f>
        <v>1166226</v>
      </c>
      <c r="B647" s="4" t="str">
        <f>IFERROR(__xludf.DUMMYFUNCTION("""COMPUTED_VALUE"""),"P4 - Low")</f>
        <v>P4 - Low</v>
      </c>
      <c r="C647" s="5">
        <f>IFERROR(__xludf.DUMMYFUNCTION("""COMPUTED_VALUE"""),43900.463530092595)</f>
        <v>43900.46353</v>
      </c>
      <c r="D647" s="4" t="str">
        <f>IFERROR(__xludf.DUMMYFUNCTION("""COMPUTED_VALUE"""),"RESOLVED")</f>
        <v>RESOLVED</v>
      </c>
      <c r="E647" s="6">
        <f>IFERROR(__xludf.DUMMYFUNCTION("""COMPUTED_VALUE"""),44384.81964120371)</f>
        <v>44384.81964</v>
      </c>
      <c r="F647" s="4" t="str">
        <f>IFERROR(__xludf.DUMMYFUNCTION("""COMPUTED_VALUE""")," ---")</f>
        <v> ---</v>
      </c>
      <c r="G647" s="4" t="str">
        <f>IFERROR(__xludf.DUMMYFUNCTION("""COMPUTED_VALUE"""),"SUSE Linux Enterprise Server 15 SP2")</f>
        <v>SUSE Linux Enterprise Server 15 SP2</v>
      </c>
      <c r="H647" s="7" t="str">
        <f t="shared" si="2"/>
        <v>NO</v>
      </c>
      <c r="I647" s="7" t="str">
        <f t="shared" si="3"/>
        <v>NO</v>
      </c>
    </row>
    <row r="648">
      <c r="A648" s="4">
        <f>IFERROR(__xludf.DUMMYFUNCTION("""COMPUTED_VALUE"""),1171710.0)</f>
        <v>1171710</v>
      </c>
      <c r="B648" s="4" t="str">
        <f>IFERROR(__xludf.DUMMYFUNCTION("""COMPUTED_VALUE"""),"P4 - Low")</f>
        <v>P4 - Low</v>
      </c>
      <c r="C648" s="5">
        <f>IFERROR(__xludf.DUMMYFUNCTION("""COMPUTED_VALUE"""),43966.28795138889)</f>
        <v>43966.28795</v>
      </c>
      <c r="D648" s="4" t="str">
        <f>IFERROR(__xludf.DUMMYFUNCTION("""COMPUTED_VALUE"""),"RESOLVED")</f>
        <v>RESOLVED</v>
      </c>
      <c r="E648" s="6">
        <f>IFERROR(__xludf.DUMMYFUNCTION("""COMPUTED_VALUE"""),44147.364953703705)</f>
        <v>44147.36495</v>
      </c>
      <c r="F648" s="4" t="str">
        <f>IFERROR(__xludf.DUMMYFUNCTION("""COMPUTED_VALUE""")," ---")</f>
        <v> ---</v>
      </c>
      <c r="G648" s="4" t="str">
        <f>IFERROR(__xludf.DUMMYFUNCTION("""COMPUTED_VALUE"""),"SUSE Linux Enterprise Server 15 SP2")</f>
        <v>SUSE Linux Enterprise Server 15 SP2</v>
      </c>
      <c r="H648" s="7" t="str">
        <f t="shared" si="2"/>
        <v>NO</v>
      </c>
      <c r="I648" s="7" t="str">
        <f t="shared" si="3"/>
        <v>NO</v>
      </c>
    </row>
    <row r="649">
      <c r="A649" s="4">
        <f>IFERROR(__xludf.DUMMYFUNCTION("""COMPUTED_VALUE"""),1172046.0)</f>
        <v>1172046</v>
      </c>
      <c r="B649" s="4" t="str">
        <f>IFERROR(__xludf.DUMMYFUNCTION("""COMPUTED_VALUE"""),"P4 - Low")</f>
        <v>P4 - Low</v>
      </c>
      <c r="C649" s="5">
        <f>IFERROR(__xludf.DUMMYFUNCTION("""COMPUTED_VALUE"""),43976.40136574074)</f>
        <v>43976.40137</v>
      </c>
      <c r="D649" s="4" t="str">
        <f>IFERROR(__xludf.DUMMYFUNCTION("""COMPUTED_VALUE"""),"RESOLVED")</f>
        <v>RESOLVED</v>
      </c>
      <c r="E649" s="6">
        <f>IFERROR(__xludf.DUMMYFUNCTION("""COMPUTED_VALUE"""),44384.83212962963)</f>
        <v>44384.83213</v>
      </c>
      <c r="F649" s="4" t="str">
        <f>IFERROR(__xludf.DUMMYFUNCTION("""COMPUTED_VALUE""")," ---")</f>
        <v> ---</v>
      </c>
      <c r="G649" s="4" t="str">
        <f>IFERROR(__xludf.DUMMYFUNCTION("""COMPUTED_VALUE"""),"SUSE Linux Enterprise Server 15 SP2")</f>
        <v>SUSE Linux Enterprise Server 15 SP2</v>
      </c>
      <c r="H649" s="7" t="str">
        <f t="shared" si="2"/>
        <v>NO</v>
      </c>
      <c r="I649" s="7" t="str">
        <f t="shared" si="3"/>
        <v>NO</v>
      </c>
    </row>
    <row r="650">
      <c r="A650" s="4">
        <f>IFERROR(__xludf.DUMMYFUNCTION("""COMPUTED_VALUE"""),1153773.0)</f>
        <v>1153773</v>
      </c>
      <c r="B650" s="4" t="str">
        <f>IFERROR(__xludf.DUMMYFUNCTION("""COMPUTED_VALUE"""),"P4 - Low")</f>
        <v>P4 - Low</v>
      </c>
      <c r="C650" s="5">
        <f>IFERROR(__xludf.DUMMYFUNCTION("""COMPUTED_VALUE"""),43749.634930555556)</f>
        <v>43749.63493</v>
      </c>
      <c r="D650" s="4" t="str">
        <f>IFERROR(__xludf.DUMMYFUNCTION("""COMPUTED_VALUE"""),"RESOLVED")</f>
        <v>RESOLVED</v>
      </c>
      <c r="E650" s="6">
        <f>IFERROR(__xludf.DUMMYFUNCTION("""COMPUTED_VALUE"""),44039.05158564815)</f>
        <v>44039.05159</v>
      </c>
      <c r="F650" s="4" t="str">
        <f>IFERROR(__xludf.DUMMYFUNCTION("""COMPUTED_VALUE""")," ---")</f>
        <v> ---</v>
      </c>
      <c r="G650" s="4" t="str">
        <f>IFERROR(__xludf.DUMMYFUNCTION("""COMPUTED_VALUE"""),"SUSE Linux Enterprise Real Time 15 SP2")</f>
        <v>SUSE Linux Enterprise Real Time 15 SP2</v>
      </c>
      <c r="H650" s="7" t="str">
        <f t="shared" si="2"/>
        <v>NO</v>
      </c>
      <c r="I650" s="7" t="str">
        <f t="shared" si="3"/>
        <v>NO</v>
      </c>
    </row>
    <row r="651">
      <c r="A651" s="4">
        <f>IFERROR(__xludf.DUMMYFUNCTION("""COMPUTED_VALUE"""),1170417.0)</f>
        <v>1170417</v>
      </c>
      <c r="B651" s="4" t="str">
        <f>IFERROR(__xludf.DUMMYFUNCTION("""COMPUTED_VALUE"""),"P4 - Low")</f>
        <v>P4 - Low</v>
      </c>
      <c r="C651" s="5">
        <f>IFERROR(__xludf.DUMMYFUNCTION("""COMPUTED_VALUE"""),43945.37398148148)</f>
        <v>43945.37398</v>
      </c>
      <c r="D651" s="4" t="str">
        <f>IFERROR(__xludf.DUMMYFUNCTION("""COMPUTED_VALUE"""),"RESOLVED")</f>
        <v>RESOLVED</v>
      </c>
      <c r="E651" s="6">
        <f>IFERROR(__xludf.DUMMYFUNCTION("""COMPUTED_VALUE"""),44397.375613425924)</f>
        <v>44397.37561</v>
      </c>
      <c r="F651" s="4" t="str">
        <f>IFERROR(__xludf.DUMMYFUNCTION("""COMPUTED_VALUE""")," ---")</f>
        <v> ---</v>
      </c>
      <c r="G651" s="4" t="str">
        <f>IFERROR(__xludf.DUMMYFUNCTION("""COMPUTED_VALUE"""),"SUSE Linux Enterprise Server 15 SP2")</f>
        <v>SUSE Linux Enterprise Server 15 SP2</v>
      </c>
      <c r="H651" s="7" t="str">
        <f t="shared" si="2"/>
        <v>NO</v>
      </c>
      <c r="I651" s="7" t="str">
        <f t="shared" si="3"/>
        <v>NO</v>
      </c>
    </row>
    <row r="652">
      <c r="A652" s="4">
        <f>IFERROR(__xludf.DUMMYFUNCTION("""COMPUTED_VALUE"""),1172061.0)</f>
        <v>1172061</v>
      </c>
      <c r="B652" s="4" t="str">
        <f>IFERROR(__xludf.DUMMYFUNCTION("""COMPUTED_VALUE"""),"P4 - Low")</f>
        <v>P4 - Low</v>
      </c>
      <c r="C652" s="5">
        <f>IFERROR(__xludf.DUMMYFUNCTION("""COMPUTED_VALUE"""),43976.784583333334)</f>
        <v>43976.78458</v>
      </c>
      <c r="D652" s="4" t="str">
        <f>IFERROR(__xludf.DUMMYFUNCTION("""COMPUTED_VALUE"""),"RESOLVED")</f>
        <v>RESOLVED</v>
      </c>
      <c r="E652" s="6">
        <f>IFERROR(__xludf.DUMMYFUNCTION("""COMPUTED_VALUE"""),44384.83221064815)</f>
        <v>44384.83221</v>
      </c>
      <c r="F652" s="4" t="str">
        <f>IFERROR(__xludf.DUMMYFUNCTION("""COMPUTED_VALUE""")," ---")</f>
        <v> ---</v>
      </c>
      <c r="G652" s="4" t="str">
        <f>IFERROR(__xludf.DUMMYFUNCTION("""COMPUTED_VALUE"""),"SUSE Linux Enterprise Server 15 SP2")</f>
        <v>SUSE Linux Enterprise Server 15 SP2</v>
      </c>
      <c r="H652" s="7" t="str">
        <f t="shared" si="2"/>
        <v>NO</v>
      </c>
      <c r="I652" s="7" t="str">
        <f t="shared" si="3"/>
        <v>NO</v>
      </c>
    </row>
    <row r="653">
      <c r="A653" s="4">
        <f>IFERROR(__xludf.DUMMYFUNCTION("""COMPUTED_VALUE"""),1172062.0)</f>
        <v>1172062</v>
      </c>
      <c r="B653" s="4" t="str">
        <f>IFERROR(__xludf.DUMMYFUNCTION("""COMPUTED_VALUE"""),"P4 - Low")</f>
        <v>P4 - Low</v>
      </c>
      <c r="C653" s="5">
        <f>IFERROR(__xludf.DUMMYFUNCTION("""COMPUTED_VALUE"""),43976.78475694444)</f>
        <v>43976.78476</v>
      </c>
      <c r="D653" s="4" t="str">
        <f>IFERROR(__xludf.DUMMYFUNCTION("""COMPUTED_VALUE"""),"RESOLVED")</f>
        <v>RESOLVED</v>
      </c>
      <c r="E653" s="6">
        <f>IFERROR(__xludf.DUMMYFUNCTION("""COMPUTED_VALUE"""),44384.832280092596)</f>
        <v>44384.83228</v>
      </c>
      <c r="F653" s="4" t="str">
        <f>IFERROR(__xludf.DUMMYFUNCTION("""COMPUTED_VALUE""")," ---")</f>
        <v> ---</v>
      </c>
      <c r="G653" s="4" t="str">
        <f>IFERROR(__xludf.DUMMYFUNCTION("""COMPUTED_VALUE"""),"SUSE Linux Enterprise Server 15 SP2")</f>
        <v>SUSE Linux Enterprise Server 15 SP2</v>
      </c>
      <c r="H653" s="7" t="str">
        <f t="shared" si="2"/>
        <v>NO</v>
      </c>
      <c r="I653" s="7" t="str">
        <f t="shared" si="3"/>
        <v>NO</v>
      </c>
    </row>
    <row r="654">
      <c r="A654" s="4">
        <f>IFERROR(__xludf.DUMMYFUNCTION("""COMPUTED_VALUE"""),1172063.0)</f>
        <v>1172063</v>
      </c>
      <c r="B654" s="4" t="str">
        <f>IFERROR(__xludf.DUMMYFUNCTION("""COMPUTED_VALUE"""),"P4 - Low")</f>
        <v>P4 - Low</v>
      </c>
      <c r="C654" s="5">
        <f>IFERROR(__xludf.DUMMYFUNCTION("""COMPUTED_VALUE"""),43976.78494212963)</f>
        <v>43976.78494</v>
      </c>
      <c r="D654" s="4" t="str">
        <f>IFERROR(__xludf.DUMMYFUNCTION("""COMPUTED_VALUE"""),"RESOLVED")</f>
        <v>RESOLVED</v>
      </c>
      <c r="E654" s="6">
        <f>IFERROR(__xludf.DUMMYFUNCTION("""COMPUTED_VALUE"""),44384.832337962966)</f>
        <v>44384.83234</v>
      </c>
      <c r="F654" s="4" t="str">
        <f>IFERROR(__xludf.DUMMYFUNCTION("""COMPUTED_VALUE""")," ---")</f>
        <v> ---</v>
      </c>
      <c r="G654" s="4" t="str">
        <f>IFERROR(__xludf.DUMMYFUNCTION("""COMPUTED_VALUE"""),"SUSE Linux Enterprise Server 15 SP2")</f>
        <v>SUSE Linux Enterprise Server 15 SP2</v>
      </c>
      <c r="H654" s="7" t="str">
        <f t="shared" si="2"/>
        <v>NO</v>
      </c>
      <c r="I654" s="7" t="str">
        <f t="shared" si="3"/>
        <v>NO</v>
      </c>
    </row>
    <row r="655">
      <c r="A655" s="4">
        <f>IFERROR(__xludf.DUMMYFUNCTION("""COMPUTED_VALUE"""),1172064.0)</f>
        <v>1172064</v>
      </c>
      <c r="B655" s="4" t="str">
        <f>IFERROR(__xludf.DUMMYFUNCTION("""COMPUTED_VALUE"""),"P4 - Low")</f>
        <v>P4 - Low</v>
      </c>
      <c r="C655" s="5">
        <f>IFERROR(__xludf.DUMMYFUNCTION("""COMPUTED_VALUE"""),43976.78511574074)</f>
        <v>43976.78512</v>
      </c>
      <c r="D655" s="4" t="str">
        <f>IFERROR(__xludf.DUMMYFUNCTION("""COMPUTED_VALUE"""),"RESOLVED")</f>
        <v>RESOLVED</v>
      </c>
      <c r="E655" s="6">
        <f>IFERROR(__xludf.DUMMYFUNCTION("""COMPUTED_VALUE"""),44384.83241898148)</f>
        <v>44384.83242</v>
      </c>
      <c r="F655" s="4" t="str">
        <f>IFERROR(__xludf.DUMMYFUNCTION("""COMPUTED_VALUE""")," ---")</f>
        <v> ---</v>
      </c>
      <c r="G655" s="4" t="str">
        <f>IFERROR(__xludf.DUMMYFUNCTION("""COMPUTED_VALUE"""),"SUSE Linux Enterprise Server 15 SP2")</f>
        <v>SUSE Linux Enterprise Server 15 SP2</v>
      </c>
      <c r="H655" s="7" t="str">
        <f t="shared" si="2"/>
        <v>NO</v>
      </c>
      <c r="I655" s="7" t="str">
        <f t="shared" si="3"/>
        <v>NO</v>
      </c>
    </row>
    <row r="656">
      <c r="A656" s="4">
        <f>IFERROR(__xludf.DUMMYFUNCTION("""COMPUTED_VALUE"""),1172065.0)</f>
        <v>1172065</v>
      </c>
      <c r="B656" s="4" t="str">
        <f>IFERROR(__xludf.DUMMYFUNCTION("""COMPUTED_VALUE"""),"P4 - Low")</f>
        <v>P4 - Low</v>
      </c>
      <c r="C656" s="5">
        <f>IFERROR(__xludf.DUMMYFUNCTION("""COMPUTED_VALUE"""),43976.78528935185)</f>
        <v>43976.78529</v>
      </c>
      <c r="D656" s="4" t="str">
        <f>IFERROR(__xludf.DUMMYFUNCTION("""COMPUTED_VALUE"""),"RESOLVED")</f>
        <v>RESOLVED</v>
      </c>
      <c r="E656" s="6">
        <f>IFERROR(__xludf.DUMMYFUNCTION("""COMPUTED_VALUE"""),44384.83248842593)</f>
        <v>44384.83249</v>
      </c>
      <c r="F656" s="4" t="str">
        <f>IFERROR(__xludf.DUMMYFUNCTION("""COMPUTED_VALUE""")," ---")</f>
        <v> ---</v>
      </c>
      <c r="G656" s="4" t="str">
        <f>IFERROR(__xludf.DUMMYFUNCTION("""COMPUTED_VALUE"""),"SUSE Linux Enterprise Server 15 SP2")</f>
        <v>SUSE Linux Enterprise Server 15 SP2</v>
      </c>
      <c r="H656" s="7" t="str">
        <f t="shared" si="2"/>
        <v>NO</v>
      </c>
      <c r="I656" s="7" t="str">
        <f t="shared" si="3"/>
        <v>NO</v>
      </c>
    </row>
    <row r="657">
      <c r="A657" s="4">
        <f>IFERROR(__xludf.DUMMYFUNCTION("""COMPUTED_VALUE"""),1172066.0)</f>
        <v>1172066</v>
      </c>
      <c r="B657" s="4" t="str">
        <f>IFERROR(__xludf.DUMMYFUNCTION("""COMPUTED_VALUE"""),"P4 - Low")</f>
        <v>P4 - Low</v>
      </c>
      <c r="C657" s="5">
        <f>IFERROR(__xludf.DUMMYFUNCTION("""COMPUTED_VALUE"""),43976.78545138889)</f>
        <v>43976.78545</v>
      </c>
      <c r="D657" s="4" t="str">
        <f>IFERROR(__xludf.DUMMYFUNCTION("""COMPUTED_VALUE"""),"RESOLVED")</f>
        <v>RESOLVED</v>
      </c>
      <c r="E657" s="6">
        <f>IFERROR(__xludf.DUMMYFUNCTION("""COMPUTED_VALUE"""),44384.83255787037)</f>
        <v>44384.83256</v>
      </c>
      <c r="F657" s="4" t="str">
        <f>IFERROR(__xludf.DUMMYFUNCTION("""COMPUTED_VALUE""")," ---")</f>
        <v> ---</v>
      </c>
      <c r="G657" s="4" t="str">
        <f>IFERROR(__xludf.DUMMYFUNCTION("""COMPUTED_VALUE"""),"SUSE Linux Enterprise Server 15 SP2")</f>
        <v>SUSE Linux Enterprise Server 15 SP2</v>
      </c>
      <c r="H657" s="7" t="str">
        <f t="shared" si="2"/>
        <v>NO</v>
      </c>
      <c r="I657" s="7" t="str">
        <f t="shared" si="3"/>
        <v>NO</v>
      </c>
    </row>
    <row r="658">
      <c r="A658" s="4">
        <f>IFERROR(__xludf.DUMMYFUNCTION("""COMPUTED_VALUE"""),1172067.0)</f>
        <v>1172067</v>
      </c>
      <c r="B658" s="4" t="str">
        <f>IFERROR(__xludf.DUMMYFUNCTION("""COMPUTED_VALUE"""),"P4 - Low")</f>
        <v>P4 - Low</v>
      </c>
      <c r="C658" s="5">
        <f>IFERROR(__xludf.DUMMYFUNCTION("""COMPUTED_VALUE"""),43976.785625)</f>
        <v>43976.78563</v>
      </c>
      <c r="D658" s="4" t="str">
        <f>IFERROR(__xludf.DUMMYFUNCTION("""COMPUTED_VALUE"""),"RESOLVED")</f>
        <v>RESOLVED</v>
      </c>
      <c r="E658" s="6">
        <f>IFERROR(__xludf.DUMMYFUNCTION("""COMPUTED_VALUE"""),44384.83262731481)</f>
        <v>44384.83263</v>
      </c>
      <c r="F658" s="4" t="str">
        <f>IFERROR(__xludf.DUMMYFUNCTION("""COMPUTED_VALUE""")," ---")</f>
        <v> ---</v>
      </c>
      <c r="G658" s="4" t="str">
        <f>IFERROR(__xludf.DUMMYFUNCTION("""COMPUTED_VALUE"""),"SUSE Linux Enterprise Server 15 SP2")</f>
        <v>SUSE Linux Enterprise Server 15 SP2</v>
      </c>
      <c r="H658" s="7" t="str">
        <f t="shared" si="2"/>
        <v>NO</v>
      </c>
      <c r="I658" s="7" t="str">
        <f t="shared" si="3"/>
        <v>NO</v>
      </c>
    </row>
    <row r="659">
      <c r="A659" s="4">
        <f>IFERROR(__xludf.DUMMYFUNCTION("""COMPUTED_VALUE"""),1172068.0)</f>
        <v>1172068</v>
      </c>
      <c r="B659" s="4" t="str">
        <f>IFERROR(__xludf.DUMMYFUNCTION("""COMPUTED_VALUE"""),"P4 - Low")</f>
        <v>P4 - Low</v>
      </c>
      <c r="C659" s="5">
        <f>IFERROR(__xludf.DUMMYFUNCTION("""COMPUTED_VALUE"""),43976.78579861111)</f>
        <v>43976.7858</v>
      </c>
      <c r="D659" s="4" t="str">
        <f>IFERROR(__xludf.DUMMYFUNCTION("""COMPUTED_VALUE"""),"RESOLVED")</f>
        <v>RESOLVED</v>
      </c>
      <c r="E659" s="6">
        <f>IFERROR(__xludf.DUMMYFUNCTION("""COMPUTED_VALUE"""),44384.83269675926)</f>
        <v>44384.8327</v>
      </c>
      <c r="F659" s="4" t="str">
        <f>IFERROR(__xludf.DUMMYFUNCTION("""COMPUTED_VALUE""")," ---")</f>
        <v> ---</v>
      </c>
      <c r="G659" s="4" t="str">
        <f>IFERROR(__xludf.DUMMYFUNCTION("""COMPUTED_VALUE"""),"SUSE Linux Enterprise Server 15 SP2")</f>
        <v>SUSE Linux Enterprise Server 15 SP2</v>
      </c>
      <c r="H659" s="7" t="str">
        <f t="shared" si="2"/>
        <v>NO</v>
      </c>
      <c r="I659" s="7" t="str">
        <f t="shared" si="3"/>
        <v>NO</v>
      </c>
    </row>
    <row r="660">
      <c r="A660" s="4">
        <f>IFERROR(__xludf.DUMMYFUNCTION("""COMPUTED_VALUE"""),1164917.0)</f>
        <v>1164917</v>
      </c>
      <c r="B660" s="4" t="str">
        <f>IFERROR(__xludf.DUMMYFUNCTION("""COMPUTED_VALUE"""),"P4 - Low")</f>
        <v>P4 - Low</v>
      </c>
      <c r="C660" s="5">
        <f>IFERROR(__xludf.DUMMYFUNCTION("""COMPUTED_VALUE"""),43887.09821759259)</f>
        <v>43887.09822</v>
      </c>
      <c r="D660" s="4" t="str">
        <f>IFERROR(__xludf.DUMMYFUNCTION("""COMPUTED_VALUE"""),"RESOLVED")</f>
        <v>RESOLVED</v>
      </c>
      <c r="E660" s="6">
        <f>IFERROR(__xludf.DUMMYFUNCTION("""COMPUTED_VALUE"""),44384.816782407404)</f>
        <v>44384.81678</v>
      </c>
      <c r="F660" s="4" t="str">
        <f>IFERROR(__xludf.DUMMYFUNCTION("""COMPUTED_VALUE""")," ---")</f>
        <v> ---</v>
      </c>
      <c r="G660" s="4" t="str">
        <f>IFERROR(__xludf.DUMMYFUNCTION("""COMPUTED_VALUE"""),"SUSE Linux Enterprise Server 15 SP2")</f>
        <v>SUSE Linux Enterprise Server 15 SP2</v>
      </c>
      <c r="H660" s="7" t="str">
        <f t="shared" si="2"/>
        <v>NO</v>
      </c>
      <c r="I660" s="7" t="str">
        <f t="shared" si="3"/>
        <v>NO</v>
      </c>
    </row>
    <row r="661">
      <c r="A661" s="4">
        <f>IFERROR(__xludf.DUMMYFUNCTION("""COMPUTED_VALUE"""),1172425.0)</f>
        <v>1172425</v>
      </c>
      <c r="B661" s="4" t="str">
        <f>IFERROR(__xludf.DUMMYFUNCTION("""COMPUTED_VALUE"""),"P4 - Low")</f>
        <v>P4 - Low</v>
      </c>
      <c r="C661" s="5">
        <f>IFERROR(__xludf.DUMMYFUNCTION("""COMPUTED_VALUE"""),43985.16037037037)</f>
        <v>43985.16037</v>
      </c>
      <c r="D661" s="4" t="str">
        <f>IFERROR(__xludf.DUMMYFUNCTION("""COMPUTED_VALUE"""),"RESOLVED")</f>
        <v>RESOLVED</v>
      </c>
      <c r="E661" s="6">
        <f>IFERROR(__xludf.DUMMYFUNCTION("""COMPUTED_VALUE"""),44127.42431712963)</f>
        <v>44127.42432</v>
      </c>
      <c r="F661" s="4" t="str">
        <f>IFERROR(__xludf.DUMMYFUNCTION("""COMPUTED_VALUE""")," ---")</f>
        <v> ---</v>
      </c>
      <c r="G661" s="4" t="str">
        <f>IFERROR(__xludf.DUMMYFUNCTION("""COMPUTED_VALUE"""),"SUSE Linux Enterprise Server 15 SP2")</f>
        <v>SUSE Linux Enterprise Server 15 SP2</v>
      </c>
      <c r="H661" s="7" t="str">
        <f t="shared" si="2"/>
        <v>NO</v>
      </c>
      <c r="I661" s="7" t="str">
        <f t="shared" si="3"/>
        <v>NO</v>
      </c>
    </row>
    <row r="662">
      <c r="A662" s="4">
        <f>IFERROR(__xludf.DUMMYFUNCTION("""COMPUTED_VALUE"""),1158359.0)</f>
        <v>1158359</v>
      </c>
      <c r="B662" s="4" t="str">
        <f>IFERROR(__xludf.DUMMYFUNCTION("""COMPUTED_VALUE"""),"P4 - Low")</f>
        <v>P4 - Low</v>
      </c>
      <c r="C662" s="5">
        <f>IFERROR(__xludf.DUMMYFUNCTION("""COMPUTED_VALUE"""),43803.3412962963)</f>
        <v>43803.3413</v>
      </c>
      <c r="D662" s="4" t="str">
        <f>IFERROR(__xludf.DUMMYFUNCTION("""COMPUTED_VALUE"""),"RESOLVED")</f>
        <v>RESOLVED</v>
      </c>
      <c r="E662" s="6">
        <f>IFERROR(__xludf.DUMMYFUNCTION("""COMPUTED_VALUE"""),43974.2547337963)</f>
        <v>43974.25473</v>
      </c>
      <c r="F662" s="4" t="str">
        <f>IFERROR(__xludf.DUMMYFUNCTION("""COMPUTED_VALUE""")," ---")</f>
        <v> ---</v>
      </c>
      <c r="G662" s="4" t="str">
        <f>IFERROR(__xludf.DUMMYFUNCTION("""COMPUTED_VALUE"""),"SUSE Linux Enterprise Server 15 SP2")</f>
        <v>SUSE Linux Enterprise Server 15 SP2</v>
      </c>
      <c r="H662" s="7" t="str">
        <f t="shared" si="2"/>
        <v>NO</v>
      </c>
      <c r="I662" s="7" t="str">
        <f t="shared" si="3"/>
        <v>NO</v>
      </c>
    </row>
    <row r="663">
      <c r="A663" s="4">
        <f>IFERROR(__xludf.DUMMYFUNCTION("""COMPUTED_VALUE"""),1167384.0)</f>
        <v>1167384</v>
      </c>
      <c r="B663" s="4" t="str">
        <f>IFERROR(__xludf.DUMMYFUNCTION("""COMPUTED_VALUE"""),"P4 - Low")</f>
        <v>P4 - Low</v>
      </c>
      <c r="C663" s="5">
        <f>IFERROR(__xludf.DUMMYFUNCTION("""COMPUTED_VALUE"""),43913.36539351852)</f>
        <v>43913.36539</v>
      </c>
      <c r="D663" s="4" t="str">
        <f>IFERROR(__xludf.DUMMYFUNCTION("""COMPUTED_VALUE"""),"VERIFIED")</f>
        <v>VERIFIED</v>
      </c>
      <c r="E663" s="6">
        <f>IFERROR(__xludf.DUMMYFUNCTION("""COMPUTED_VALUE"""),44384.82208333333)</f>
        <v>44384.82208</v>
      </c>
      <c r="F663" s="4" t="str">
        <f>IFERROR(__xludf.DUMMYFUNCTION("""COMPUTED_VALUE""")," ---")</f>
        <v> ---</v>
      </c>
      <c r="G663" s="4" t="str">
        <f>IFERROR(__xludf.DUMMYFUNCTION("""COMPUTED_VALUE"""),"SUSE Linux Enterprise Server 15 SP2")</f>
        <v>SUSE Linux Enterprise Server 15 SP2</v>
      </c>
      <c r="H663" s="7" t="str">
        <f t="shared" si="2"/>
        <v>NO</v>
      </c>
      <c r="I663" s="7" t="str">
        <f t="shared" si="3"/>
        <v>NO</v>
      </c>
    </row>
    <row r="664">
      <c r="A664" s="4">
        <f>IFERROR(__xludf.DUMMYFUNCTION("""COMPUTED_VALUE"""),1161726.0)</f>
        <v>1161726</v>
      </c>
      <c r="B664" s="4" t="str">
        <f>IFERROR(__xludf.DUMMYFUNCTION("""COMPUTED_VALUE"""),"P5 - None")</f>
        <v>P5 - None</v>
      </c>
      <c r="C664" s="5">
        <f>IFERROR(__xludf.DUMMYFUNCTION("""COMPUTED_VALUE"""),43853.79224537037)</f>
        <v>43853.79225</v>
      </c>
      <c r="D664" s="4" t="str">
        <f>IFERROR(__xludf.DUMMYFUNCTION("""COMPUTED_VALUE"""),"RESOLVED")</f>
        <v>RESOLVED</v>
      </c>
      <c r="E664" s="6">
        <f>IFERROR(__xludf.DUMMYFUNCTION("""COMPUTED_VALUE"""),44384.80233796296)</f>
        <v>44384.80234</v>
      </c>
      <c r="F664" s="4" t="str">
        <f>IFERROR(__xludf.DUMMYFUNCTION("""COMPUTED_VALUE""")," ---")</f>
        <v> ---</v>
      </c>
      <c r="G664" s="4" t="str">
        <f>IFERROR(__xludf.DUMMYFUNCTION("""COMPUTED_VALUE"""),"SUSE Linux Enterprise Server 15 SP2")</f>
        <v>SUSE Linux Enterprise Server 15 SP2</v>
      </c>
      <c r="H664" s="7" t="str">
        <f t="shared" si="2"/>
        <v>NO</v>
      </c>
      <c r="I664" s="7" t="str">
        <f t="shared" si="3"/>
        <v>NO</v>
      </c>
    </row>
    <row r="665">
      <c r="A665" s="4">
        <f>IFERROR(__xludf.DUMMYFUNCTION("""COMPUTED_VALUE"""),1154455.0)</f>
        <v>1154455</v>
      </c>
      <c r="B665" s="4" t="str">
        <f>IFERROR(__xludf.DUMMYFUNCTION("""COMPUTED_VALUE"""),"P5 - None")</f>
        <v>P5 - None</v>
      </c>
      <c r="C665" s="5">
        <f>IFERROR(__xludf.DUMMYFUNCTION("""COMPUTED_VALUE"""),43756.39574074074)</f>
        <v>43756.39574</v>
      </c>
      <c r="D665" s="4" t="str">
        <f>IFERROR(__xludf.DUMMYFUNCTION("""COMPUTED_VALUE"""),"RESOLVED")</f>
        <v>RESOLVED</v>
      </c>
      <c r="E665" s="6">
        <f>IFERROR(__xludf.DUMMYFUNCTION("""COMPUTED_VALUE"""),43759.24141203704)</f>
        <v>43759.24141</v>
      </c>
      <c r="F665" s="4" t="str">
        <f>IFERROR(__xludf.DUMMYFUNCTION("""COMPUTED_VALUE""")," ---")</f>
        <v> ---</v>
      </c>
      <c r="G665" s="4" t="str">
        <f>IFERROR(__xludf.DUMMYFUNCTION("""COMPUTED_VALUE"""),"SUSE Linux Enterprise Server 15 SP2")</f>
        <v>SUSE Linux Enterprise Server 15 SP2</v>
      </c>
      <c r="H665" s="7" t="str">
        <f t="shared" si="2"/>
        <v>NO</v>
      </c>
      <c r="I665" s="7" t="str">
        <f t="shared" si="3"/>
        <v>NO</v>
      </c>
    </row>
    <row r="666">
      <c r="A666" s="4">
        <f>IFERROR(__xludf.DUMMYFUNCTION("""COMPUTED_VALUE"""),1171827.0)</f>
        <v>1171827</v>
      </c>
      <c r="B666" s="4" t="str">
        <f>IFERROR(__xludf.DUMMYFUNCTION("""COMPUTED_VALUE"""),"P5 - None")</f>
        <v>P5 - None</v>
      </c>
      <c r="C666" s="5">
        <f>IFERROR(__xludf.DUMMYFUNCTION("""COMPUTED_VALUE"""),43969.468773148146)</f>
        <v>43969.46877</v>
      </c>
      <c r="D666" s="4" t="str">
        <f>IFERROR(__xludf.DUMMYFUNCTION("""COMPUTED_VALUE"""),"RESOLVED")</f>
        <v>RESOLVED</v>
      </c>
      <c r="E666" s="6">
        <f>IFERROR(__xludf.DUMMYFUNCTION("""COMPUTED_VALUE"""),44384.83121527778)</f>
        <v>44384.83122</v>
      </c>
      <c r="F666" s="4" t="str">
        <f>IFERROR(__xludf.DUMMYFUNCTION("""COMPUTED_VALUE""")," ---")</f>
        <v> ---</v>
      </c>
      <c r="G666" s="4" t="str">
        <f>IFERROR(__xludf.DUMMYFUNCTION("""COMPUTED_VALUE"""),"SUSE Linux Enterprise Server 15 SP2")</f>
        <v>SUSE Linux Enterprise Server 15 SP2</v>
      </c>
      <c r="H666" s="7" t="str">
        <f t="shared" si="2"/>
        <v>NO</v>
      </c>
      <c r="I666" s="7" t="str">
        <f t="shared" si="3"/>
        <v>NO</v>
      </c>
    </row>
    <row r="667">
      <c r="A667" s="4">
        <f>IFERROR(__xludf.DUMMYFUNCTION("""COMPUTED_VALUE"""),1159864.0)</f>
        <v>1159864</v>
      </c>
      <c r="B667" s="4" t="str">
        <f>IFERROR(__xludf.DUMMYFUNCTION("""COMPUTED_VALUE"""),"P5 - None")</f>
        <v>P5 - None</v>
      </c>
      <c r="C667" s="5">
        <f>IFERROR(__xludf.DUMMYFUNCTION("""COMPUTED_VALUE"""),43826.77983796296)</f>
        <v>43826.77984</v>
      </c>
      <c r="D667" s="4" t="str">
        <f>IFERROR(__xludf.DUMMYFUNCTION("""COMPUTED_VALUE"""),"RESOLVED")</f>
        <v>RESOLVED</v>
      </c>
      <c r="E667" s="6">
        <f>IFERROR(__xludf.DUMMYFUNCTION("""COMPUTED_VALUE"""),44384.79822916666)</f>
        <v>44384.79823</v>
      </c>
      <c r="F667" s="4" t="str">
        <f>IFERROR(__xludf.DUMMYFUNCTION("""COMPUTED_VALUE""")," ---")</f>
        <v> ---</v>
      </c>
      <c r="G667" s="4" t="str">
        <f>IFERROR(__xludf.DUMMYFUNCTION("""COMPUTED_VALUE"""),"SUSE Linux Enterprise Server 15 SP2")</f>
        <v>SUSE Linux Enterprise Server 15 SP2</v>
      </c>
      <c r="H667" s="7" t="str">
        <f t="shared" si="2"/>
        <v>YES</v>
      </c>
      <c r="I667" s="7" t="str">
        <f t="shared" si="3"/>
        <v>NO</v>
      </c>
    </row>
    <row r="668">
      <c r="A668" s="4">
        <f>IFERROR(__xludf.DUMMYFUNCTION("""COMPUTED_VALUE"""),1159867.0)</f>
        <v>1159867</v>
      </c>
      <c r="B668" s="4" t="str">
        <f>IFERROR(__xludf.DUMMYFUNCTION("""COMPUTED_VALUE"""),"P5 - None")</f>
        <v>P5 - None</v>
      </c>
      <c r="C668" s="5">
        <f>IFERROR(__xludf.DUMMYFUNCTION("""COMPUTED_VALUE"""),43826.895625)</f>
        <v>43826.89563</v>
      </c>
      <c r="D668" s="4" t="str">
        <f>IFERROR(__xludf.DUMMYFUNCTION("""COMPUTED_VALUE"""),"RESOLVED")</f>
        <v>RESOLVED</v>
      </c>
      <c r="E668" s="6">
        <f>IFERROR(__xludf.DUMMYFUNCTION("""COMPUTED_VALUE"""),44384.79829861111)</f>
        <v>44384.7983</v>
      </c>
      <c r="F668" s="4" t="str">
        <f>IFERROR(__xludf.DUMMYFUNCTION("""COMPUTED_VALUE""")," ---")</f>
        <v> ---</v>
      </c>
      <c r="G668" s="4" t="str">
        <f>IFERROR(__xludf.DUMMYFUNCTION("""COMPUTED_VALUE"""),"SUSE Linux Enterprise Server 15 SP2")</f>
        <v>SUSE Linux Enterprise Server 15 SP2</v>
      </c>
      <c r="H668" s="7" t="str">
        <f t="shared" si="2"/>
        <v>YES</v>
      </c>
      <c r="I668" s="7" t="str">
        <f t="shared" si="3"/>
        <v>NO</v>
      </c>
    </row>
    <row r="669">
      <c r="A669" s="4">
        <f>IFERROR(__xludf.DUMMYFUNCTION("""COMPUTED_VALUE"""),1173438.0)</f>
        <v>1173438</v>
      </c>
      <c r="B669" s="4" t="str">
        <f>IFERROR(__xludf.DUMMYFUNCTION("""COMPUTED_VALUE"""),"P5 - None")</f>
        <v>P5 - None</v>
      </c>
      <c r="C669" s="5">
        <f>IFERROR(__xludf.DUMMYFUNCTION("""COMPUTED_VALUE"""),44009.888240740744)</f>
        <v>44009.88824</v>
      </c>
      <c r="D669" s="4" t="str">
        <f>IFERROR(__xludf.DUMMYFUNCTION("""COMPUTED_VALUE"""),"RESOLVED")</f>
        <v>RESOLVED</v>
      </c>
      <c r="E669" s="6">
        <f>IFERROR(__xludf.DUMMYFUNCTION("""COMPUTED_VALUE"""),44384.83604166667)</f>
        <v>44384.83604</v>
      </c>
      <c r="F669" s="4" t="str">
        <f>IFERROR(__xludf.DUMMYFUNCTION("""COMPUTED_VALUE""")," ---")</f>
        <v> ---</v>
      </c>
      <c r="G669" s="4" t="str">
        <f>IFERROR(__xludf.DUMMYFUNCTION("""COMPUTED_VALUE"""),"SUSE Linux Enterprise Server 15 SP2")</f>
        <v>SUSE Linux Enterprise Server 15 SP2</v>
      </c>
      <c r="H669" s="7" t="str">
        <f t="shared" si="2"/>
        <v>NO</v>
      </c>
      <c r="I669" s="7" t="str">
        <f t="shared" si="3"/>
        <v>NO</v>
      </c>
    </row>
    <row r="670">
      <c r="A670" s="4">
        <f>IFERROR(__xludf.DUMMYFUNCTION("""COMPUTED_VALUE"""),1172769.0)</f>
        <v>1172769</v>
      </c>
      <c r="B670" s="4" t="str">
        <f>IFERROR(__xludf.DUMMYFUNCTION("""COMPUTED_VALUE"""),"P5 - None")</f>
        <v>P5 - None</v>
      </c>
      <c r="C670" s="5">
        <f>IFERROR(__xludf.DUMMYFUNCTION("""COMPUTED_VALUE"""),43992.38232638889)</f>
        <v>43992.38233</v>
      </c>
      <c r="D670" s="4" t="str">
        <f>IFERROR(__xludf.DUMMYFUNCTION("""COMPUTED_VALUE"""),"RESOLVED")</f>
        <v>RESOLVED</v>
      </c>
      <c r="E670" s="6">
        <f>IFERROR(__xludf.DUMMYFUNCTION("""COMPUTED_VALUE"""),43997.16038194444)</f>
        <v>43997.16038</v>
      </c>
      <c r="F670" s="4" t="str">
        <f>IFERROR(__xludf.DUMMYFUNCTION("""COMPUTED_VALUE""")," ---")</f>
        <v> ---</v>
      </c>
      <c r="G670" s="4" t="str">
        <f>IFERROR(__xludf.DUMMYFUNCTION("""COMPUTED_VALUE"""),"SUSE Linux Enterprise Server 15 SP2")</f>
        <v>SUSE Linux Enterprise Server 15 SP2</v>
      </c>
      <c r="H670" s="7" t="str">
        <f t="shared" si="2"/>
        <v>NO</v>
      </c>
      <c r="I670" s="7" t="str">
        <f t="shared" si="3"/>
        <v>NO</v>
      </c>
    </row>
    <row r="671">
      <c r="A671" s="4">
        <f>IFERROR(__xludf.DUMMYFUNCTION("""COMPUTED_VALUE"""),1156055.0)</f>
        <v>1156055</v>
      </c>
      <c r="B671" s="4" t="str">
        <f>IFERROR(__xludf.DUMMYFUNCTION("""COMPUTED_VALUE"""),"P5 - None")</f>
        <v>P5 - None</v>
      </c>
      <c r="C671" s="5">
        <f>IFERROR(__xludf.DUMMYFUNCTION("""COMPUTED_VALUE"""),43775.62425925926)</f>
        <v>43775.62426</v>
      </c>
      <c r="D671" s="4" t="str">
        <f>IFERROR(__xludf.DUMMYFUNCTION("""COMPUTED_VALUE"""),"RESOLVED")</f>
        <v>RESOLVED</v>
      </c>
      <c r="E671" s="6">
        <f>IFERROR(__xludf.DUMMYFUNCTION("""COMPUTED_VALUE"""),44384.79184027778)</f>
        <v>44384.79184</v>
      </c>
      <c r="F671" s="4" t="str">
        <f>IFERROR(__xludf.DUMMYFUNCTION("""COMPUTED_VALUE""")," ---")</f>
        <v> ---</v>
      </c>
      <c r="G671" s="4" t="str">
        <f>IFERROR(__xludf.DUMMYFUNCTION("""COMPUTED_VALUE"""),"SUSE Linux Enterprise Server 15 SP2")</f>
        <v>SUSE Linux Enterprise Server 15 SP2</v>
      </c>
      <c r="H671" s="7" t="str">
        <f t="shared" si="2"/>
        <v>NO</v>
      </c>
      <c r="I671" s="7" t="str">
        <f t="shared" si="3"/>
        <v>NO</v>
      </c>
    </row>
    <row r="672">
      <c r="A672" s="4">
        <f>IFERROR(__xludf.DUMMYFUNCTION("""COMPUTED_VALUE"""),1158303.0)</f>
        <v>1158303</v>
      </c>
      <c r="B672" s="4" t="str">
        <f>IFERROR(__xludf.DUMMYFUNCTION("""COMPUTED_VALUE"""),"P5 - None")</f>
        <v>P5 - None</v>
      </c>
      <c r="C672" s="5">
        <f>IFERROR(__xludf.DUMMYFUNCTION("""COMPUTED_VALUE"""),43802.58866898148)</f>
        <v>43802.58867</v>
      </c>
      <c r="D672" s="4" t="str">
        <f>IFERROR(__xludf.DUMMYFUNCTION("""COMPUTED_VALUE"""),"RESOLVED")</f>
        <v>RESOLVED</v>
      </c>
      <c r="E672" s="6">
        <f>IFERROR(__xludf.DUMMYFUNCTION("""COMPUTED_VALUE"""),43802.58876157407)</f>
        <v>43802.58876</v>
      </c>
      <c r="F672" s="4" t="str">
        <f>IFERROR(__xludf.DUMMYFUNCTION("""COMPUTED_VALUE""")," ---")</f>
        <v> ---</v>
      </c>
      <c r="G672" s="4" t="str">
        <f>IFERROR(__xludf.DUMMYFUNCTION("""COMPUTED_VALUE"""),"SUSE Linux Enterprise Server 15 SP2")</f>
        <v>SUSE Linux Enterprise Server 15 SP2</v>
      </c>
      <c r="H672" s="7" t="str">
        <f t="shared" si="2"/>
        <v>NO</v>
      </c>
      <c r="I672" s="7" t="str">
        <f t="shared" si="3"/>
        <v>NO</v>
      </c>
    </row>
    <row r="673">
      <c r="A673" s="4">
        <f>IFERROR(__xludf.DUMMYFUNCTION("""COMPUTED_VALUE"""),1158370.0)</f>
        <v>1158370</v>
      </c>
      <c r="B673" s="4" t="str">
        <f>IFERROR(__xludf.DUMMYFUNCTION("""COMPUTED_VALUE"""),"P5 - None")</f>
        <v>P5 - None</v>
      </c>
      <c r="C673" s="5">
        <f>IFERROR(__xludf.DUMMYFUNCTION("""COMPUTED_VALUE"""),43803.393159722225)</f>
        <v>43803.39316</v>
      </c>
      <c r="D673" s="4" t="str">
        <f>IFERROR(__xludf.DUMMYFUNCTION("""COMPUTED_VALUE"""),"RESOLVED")</f>
        <v>RESOLVED</v>
      </c>
      <c r="E673" s="6">
        <f>IFERROR(__xludf.DUMMYFUNCTION("""COMPUTED_VALUE"""),44384.794583333336)</f>
        <v>44384.79458</v>
      </c>
      <c r="F673" s="4" t="str">
        <f>IFERROR(__xludf.DUMMYFUNCTION("""COMPUTED_VALUE""")," ---")</f>
        <v> ---</v>
      </c>
      <c r="G673" s="4" t="str">
        <f>IFERROR(__xludf.DUMMYFUNCTION("""COMPUTED_VALUE"""),"SUSE Linux Enterprise Server 15 SP2")</f>
        <v>SUSE Linux Enterprise Server 15 SP2</v>
      </c>
      <c r="H673" s="7" t="str">
        <f t="shared" si="2"/>
        <v>NO</v>
      </c>
      <c r="I673" s="7" t="str">
        <f t="shared" si="3"/>
        <v>NO</v>
      </c>
    </row>
    <row r="674">
      <c r="A674" s="4">
        <f>IFERROR(__xludf.DUMMYFUNCTION("""COMPUTED_VALUE"""),1158371.0)</f>
        <v>1158371</v>
      </c>
      <c r="B674" s="4" t="str">
        <f>IFERROR(__xludf.DUMMYFUNCTION("""COMPUTED_VALUE"""),"P5 - None")</f>
        <v>P5 - None</v>
      </c>
      <c r="C674" s="5">
        <f>IFERROR(__xludf.DUMMYFUNCTION("""COMPUTED_VALUE"""),43803.39513888889)</f>
        <v>43803.39514</v>
      </c>
      <c r="D674" s="4" t="str">
        <f>IFERROR(__xludf.DUMMYFUNCTION("""COMPUTED_VALUE"""),"RESOLVED")</f>
        <v>RESOLVED</v>
      </c>
      <c r="E674" s="6">
        <f>IFERROR(__xludf.DUMMYFUNCTION("""COMPUTED_VALUE"""),44384.794652777775)</f>
        <v>44384.79465</v>
      </c>
      <c r="F674" s="4" t="str">
        <f>IFERROR(__xludf.DUMMYFUNCTION("""COMPUTED_VALUE""")," ---")</f>
        <v> ---</v>
      </c>
      <c r="G674" s="4" t="str">
        <f>IFERROR(__xludf.DUMMYFUNCTION("""COMPUTED_VALUE"""),"SUSE Linux Enterprise Server 15 SP2")</f>
        <v>SUSE Linux Enterprise Server 15 SP2</v>
      </c>
      <c r="H674" s="7" t="str">
        <f t="shared" si="2"/>
        <v>NO</v>
      </c>
      <c r="I674" s="7" t="str">
        <f t="shared" si="3"/>
        <v>NO</v>
      </c>
    </row>
    <row r="675">
      <c r="A675" s="4">
        <f>IFERROR(__xludf.DUMMYFUNCTION("""COMPUTED_VALUE"""),1158373.0)</f>
        <v>1158373</v>
      </c>
      <c r="B675" s="4" t="str">
        <f>IFERROR(__xludf.DUMMYFUNCTION("""COMPUTED_VALUE"""),"P5 - None")</f>
        <v>P5 - None</v>
      </c>
      <c r="C675" s="5">
        <f>IFERROR(__xludf.DUMMYFUNCTION("""COMPUTED_VALUE"""),43803.40033564815)</f>
        <v>43803.40034</v>
      </c>
      <c r="D675" s="4" t="str">
        <f>IFERROR(__xludf.DUMMYFUNCTION("""COMPUTED_VALUE"""),"RESOLVED")</f>
        <v>RESOLVED</v>
      </c>
      <c r="E675" s="6">
        <f>IFERROR(__xludf.DUMMYFUNCTION("""COMPUTED_VALUE"""),44384.79472222222)</f>
        <v>44384.79472</v>
      </c>
      <c r="F675" s="4" t="str">
        <f>IFERROR(__xludf.DUMMYFUNCTION("""COMPUTED_VALUE""")," ---")</f>
        <v> ---</v>
      </c>
      <c r="G675" s="4" t="str">
        <f>IFERROR(__xludf.DUMMYFUNCTION("""COMPUTED_VALUE"""),"SUSE Linux Enterprise Server 15 SP2")</f>
        <v>SUSE Linux Enterprise Server 15 SP2</v>
      </c>
      <c r="H675" s="7" t="str">
        <f t="shared" si="2"/>
        <v>NO</v>
      </c>
      <c r="I675" s="7" t="str">
        <f t="shared" si="3"/>
        <v>NO</v>
      </c>
    </row>
    <row r="676">
      <c r="A676" s="4">
        <f>IFERROR(__xludf.DUMMYFUNCTION("""COMPUTED_VALUE"""),1158374.0)</f>
        <v>1158374</v>
      </c>
      <c r="B676" s="4" t="str">
        <f>IFERROR(__xludf.DUMMYFUNCTION("""COMPUTED_VALUE"""),"P5 - None")</f>
        <v>P5 - None</v>
      </c>
      <c r="C676" s="5">
        <f>IFERROR(__xludf.DUMMYFUNCTION("""COMPUTED_VALUE"""),43803.40113425926)</f>
        <v>43803.40113</v>
      </c>
      <c r="D676" s="4" t="str">
        <f>IFERROR(__xludf.DUMMYFUNCTION("""COMPUTED_VALUE"""),"RESOLVED")</f>
        <v>RESOLVED</v>
      </c>
      <c r="E676" s="6">
        <f>IFERROR(__xludf.DUMMYFUNCTION("""COMPUTED_VALUE"""),44384.79479166667)</f>
        <v>44384.79479</v>
      </c>
      <c r="F676" s="4" t="str">
        <f>IFERROR(__xludf.DUMMYFUNCTION("""COMPUTED_VALUE""")," ---")</f>
        <v> ---</v>
      </c>
      <c r="G676" s="4" t="str">
        <f>IFERROR(__xludf.DUMMYFUNCTION("""COMPUTED_VALUE"""),"SUSE Linux Enterprise Server 15 SP2")</f>
        <v>SUSE Linux Enterprise Server 15 SP2</v>
      </c>
      <c r="H676" s="7" t="str">
        <f t="shared" si="2"/>
        <v>NO</v>
      </c>
      <c r="I676" s="7" t="str">
        <f t="shared" si="3"/>
        <v>NO</v>
      </c>
    </row>
    <row r="677">
      <c r="A677" s="4">
        <f>IFERROR(__xludf.DUMMYFUNCTION("""COMPUTED_VALUE"""),1158376.0)</f>
        <v>1158376</v>
      </c>
      <c r="B677" s="4" t="str">
        <f>IFERROR(__xludf.DUMMYFUNCTION("""COMPUTED_VALUE"""),"P5 - None")</f>
        <v>P5 - None</v>
      </c>
      <c r="C677" s="5">
        <f>IFERROR(__xludf.DUMMYFUNCTION("""COMPUTED_VALUE"""),43803.402337962965)</f>
        <v>43803.40234</v>
      </c>
      <c r="D677" s="4" t="str">
        <f>IFERROR(__xludf.DUMMYFUNCTION("""COMPUTED_VALUE"""),"RESOLVED")</f>
        <v>RESOLVED</v>
      </c>
      <c r="E677" s="6">
        <f>IFERROR(__xludf.DUMMYFUNCTION("""COMPUTED_VALUE"""),44384.79484953704)</f>
        <v>44384.79485</v>
      </c>
      <c r="F677" s="4" t="str">
        <f>IFERROR(__xludf.DUMMYFUNCTION("""COMPUTED_VALUE""")," ---")</f>
        <v> ---</v>
      </c>
      <c r="G677" s="4" t="str">
        <f>IFERROR(__xludf.DUMMYFUNCTION("""COMPUTED_VALUE"""),"SUSE Linux Enterprise Server 15 SP2")</f>
        <v>SUSE Linux Enterprise Server 15 SP2</v>
      </c>
      <c r="H677" s="7" t="str">
        <f t="shared" si="2"/>
        <v>NO</v>
      </c>
      <c r="I677" s="7" t="str">
        <f t="shared" si="3"/>
        <v>NO</v>
      </c>
    </row>
    <row r="678">
      <c r="A678" s="4">
        <f>IFERROR(__xludf.DUMMYFUNCTION("""COMPUTED_VALUE"""),1158378.0)</f>
        <v>1158378</v>
      </c>
      <c r="B678" s="4" t="str">
        <f>IFERROR(__xludf.DUMMYFUNCTION("""COMPUTED_VALUE"""),"P5 - None")</f>
        <v>P5 - None</v>
      </c>
      <c r="C678" s="5">
        <f>IFERROR(__xludf.DUMMYFUNCTION("""COMPUTED_VALUE"""),43803.40263888889)</f>
        <v>43803.40264</v>
      </c>
      <c r="D678" s="4" t="str">
        <f>IFERROR(__xludf.DUMMYFUNCTION("""COMPUTED_VALUE"""),"RESOLVED")</f>
        <v>RESOLVED</v>
      </c>
      <c r="E678" s="6">
        <f>IFERROR(__xludf.DUMMYFUNCTION("""COMPUTED_VALUE"""),44384.79491898148)</f>
        <v>44384.79492</v>
      </c>
      <c r="F678" s="4" t="str">
        <f>IFERROR(__xludf.DUMMYFUNCTION("""COMPUTED_VALUE""")," ---")</f>
        <v> ---</v>
      </c>
      <c r="G678" s="4" t="str">
        <f>IFERROR(__xludf.DUMMYFUNCTION("""COMPUTED_VALUE"""),"SUSE Linux Enterprise Server 15 SP2")</f>
        <v>SUSE Linux Enterprise Server 15 SP2</v>
      </c>
      <c r="H678" s="7" t="str">
        <f t="shared" si="2"/>
        <v>NO</v>
      </c>
      <c r="I678" s="7" t="str">
        <f t="shared" si="3"/>
        <v>NO</v>
      </c>
    </row>
    <row r="679">
      <c r="A679" s="4">
        <f>IFERROR(__xludf.DUMMYFUNCTION("""COMPUTED_VALUE"""),1158379.0)</f>
        <v>1158379</v>
      </c>
      <c r="B679" s="4" t="str">
        <f>IFERROR(__xludf.DUMMYFUNCTION("""COMPUTED_VALUE"""),"P5 - None")</f>
        <v>P5 - None</v>
      </c>
      <c r="C679" s="5">
        <f>IFERROR(__xludf.DUMMYFUNCTION("""COMPUTED_VALUE"""),43803.40283564815)</f>
        <v>43803.40284</v>
      </c>
      <c r="D679" s="4" t="str">
        <f>IFERROR(__xludf.DUMMYFUNCTION("""COMPUTED_VALUE"""),"RESOLVED")</f>
        <v>RESOLVED</v>
      </c>
      <c r="E679" s="6">
        <f>IFERROR(__xludf.DUMMYFUNCTION("""COMPUTED_VALUE"""),43803.40288194444)</f>
        <v>43803.40288</v>
      </c>
      <c r="F679" s="4" t="str">
        <f>IFERROR(__xludf.DUMMYFUNCTION("""COMPUTED_VALUE""")," ---")</f>
        <v> ---</v>
      </c>
      <c r="G679" s="4" t="str">
        <f>IFERROR(__xludf.DUMMYFUNCTION("""COMPUTED_VALUE"""),"SUSE Linux Enterprise Server 15 SP2")</f>
        <v>SUSE Linux Enterprise Server 15 SP2</v>
      </c>
      <c r="H679" s="7" t="str">
        <f t="shared" si="2"/>
        <v>NO</v>
      </c>
      <c r="I679" s="7" t="str">
        <f t="shared" si="3"/>
        <v>NO</v>
      </c>
    </row>
    <row r="680">
      <c r="A680" s="4">
        <f>IFERROR(__xludf.DUMMYFUNCTION("""COMPUTED_VALUE"""),1158380.0)</f>
        <v>1158380</v>
      </c>
      <c r="B680" s="4" t="str">
        <f>IFERROR(__xludf.DUMMYFUNCTION("""COMPUTED_VALUE"""),"P5 - None")</f>
        <v>P5 - None</v>
      </c>
      <c r="C680" s="5">
        <f>IFERROR(__xludf.DUMMYFUNCTION("""COMPUTED_VALUE"""),43803.40347222222)</f>
        <v>43803.40347</v>
      </c>
      <c r="D680" s="4" t="str">
        <f>IFERROR(__xludf.DUMMYFUNCTION("""COMPUTED_VALUE"""),"RESOLVED")</f>
        <v>RESOLVED</v>
      </c>
      <c r="E680" s="6">
        <f>IFERROR(__xludf.DUMMYFUNCTION("""COMPUTED_VALUE"""),44384.79498842593)</f>
        <v>44384.79499</v>
      </c>
      <c r="F680" s="4" t="str">
        <f>IFERROR(__xludf.DUMMYFUNCTION("""COMPUTED_VALUE""")," ---")</f>
        <v> ---</v>
      </c>
      <c r="G680" s="4" t="str">
        <f>IFERROR(__xludf.DUMMYFUNCTION("""COMPUTED_VALUE"""),"SUSE Linux Enterprise Server 15 SP2")</f>
        <v>SUSE Linux Enterprise Server 15 SP2</v>
      </c>
      <c r="H680" s="7" t="str">
        <f t="shared" si="2"/>
        <v>NO</v>
      </c>
      <c r="I680" s="7" t="str">
        <f t="shared" si="3"/>
        <v>NO</v>
      </c>
    </row>
    <row r="681">
      <c r="A681" s="4">
        <f>IFERROR(__xludf.DUMMYFUNCTION("""COMPUTED_VALUE"""),1158383.0)</f>
        <v>1158383</v>
      </c>
      <c r="B681" s="4" t="str">
        <f>IFERROR(__xludf.DUMMYFUNCTION("""COMPUTED_VALUE"""),"P5 - None")</f>
        <v>P5 - None</v>
      </c>
      <c r="C681" s="5">
        <f>IFERROR(__xludf.DUMMYFUNCTION("""COMPUTED_VALUE"""),43803.40483796296)</f>
        <v>43803.40484</v>
      </c>
      <c r="D681" s="4" t="str">
        <f>IFERROR(__xludf.DUMMYFUNCTION("""COMPUTED_VALUE"""),"RESOLVED")</f>
        <v>RESOLVED</v>
      </c>
      <c r="E681" s="6">
        <f>IFERROR(__xludf.DUMMYFUNCTION("""COMPUTED_VALUE"""),44384.79505787037)</f>
        <v>44384.79506</v>
      </c>
      <c r="F681" s="4" t="str">
        <f>IFERROR(__xludf.DUMMYFUNCTION("""COMPUTED_VALUE""")," ---")</f>
        <v> ---</v>
      </c>
      <c r="G681" s="4" t="str">
        <f>IFERROR(__xludf.DUMMYFUNCTION("""COMPUTED_VALUE"""),"SUSE Linux Enterprise Server 15 SP2")</f>
        <v>SUSE Linux Enterprise Server 15 SP2</v>
      </c>
      <c r="H681" s="7" t="str">
        <f t="shared" si="2"/>
        <v>NO</v>
      </c>
      <c r="I681" s="7" t="str">
        <f t="shared" si="3"/>
        <v>NO</v>
      </c>
    </row>
    <row r="682">
      <c r="A682" s="4">
        <f>IFERROR(__xludf.DUMMYFUNCTION("""COMPUTED_VALUE"""),1158389.0)</f>
        <v>1158389</v>
      </c>
      <c r="B682" s="4" t="str">
        <f>IFERROR(__xludf.DUMMYFUNCTION("""COMPUTED_VALUE"""),"P5 - None")</f>
        <v>P5 - None</v>
      </c>
      <c r="C682" s="5">
        <f>IFERROR(__xludf.DUMMYFUNCTION("""COMPUTED_VALUE"""),43803.42798611111)</f>
        <v>43803.42799</v>
      </c>
      <c r="D682" s="4" t="str">
        <f>IFERROR(__xludf.DUMMYFUNCTION("""COMPUTED_VALUE"""),"RESOLVED")</f>
        <v>RESOLVED</v>
      </c>
      <c r="E682" s="6">
        <f>IFERROR(__xludf.DUMMYFUNCTION("""COMPUTED_VALUE"""),44384.795127314814)</f>
        <v>44384.79513</v>
      </c>
      <c r="F682" s="4" t="str">
        <f>IFERROR(__xludf.DUMMYFUNCTION("""COMPUTED_VALUE""")," ---")</f>
        <v> ---</v>
      </c>
      <c r="G682" s="4" t="str">
        <f>IFERROR(__xludf.DUMMYFUNCTION("""COMPUTED_VALUE"""),"SUSE Linux Enterprise Server 15 SP2")</f>
        <v>SUSE Linux Enterprise Server 15 SP2</v>
      </c>
      <c r="H682" s="7" t="str">
        <f t="shared" si="2"/>
        <v>NO</v>
      </c>
      <c r="I682" s="7" t="str">
        <f t="shared" si="3"/>
        <v>NO</v>
      </c>
    </row>
    <row r="683">
      <c r="A683" s="4">
        <f>IFERROR(__xludf.DUMMYFUNCTION("""COMPUTED_VALUE"""),1158454.0)</f>
        <v>1158454</v>
      </c>
      <c r="B683" s="4" t="str">
        <f>IFERROR(__xludf.DUMMYFUNCTION("""COMPUTED_VALUE"""),"P5 - None")</f>
        <v>P5 - None</v>
      </c>
      <c r="C683" s="5">
        <f>IFERROR(__xludf.DUMMYFUNCTION("""COMPUTED_VALUE"""),43803.73605324074)</f>
        <v>43803.73605</v>
      </c>
      <c r="D683" s="4" t="str">
        <f>IFERROR(__xludf.DUMMYFUNCTION("""COMPUTED_VALUE"""),"RESOLVED")</f>
        <v>RESOLVED</v>
      </c>
      <c r="E683" s="6">
        <f>IFERROR(__xludf.DUMMYFUNCTION("""COMPUTED_VALUE"""),44384.795266203706)</f>
        <v>44384.79527</v>
      </c>
      <c r="F683" s="4" t="str">
        <f>IFERROR(__xludf.DUMMYFUNCTION("""COMPUTED_VALUE""")," ---")</f>
        <v> ---</v>
      </c>
      <c r="G683" s="4" t="str">
        <f>IFERROR(__xludf.DUMMYFUNCTION("""COMPUTED_VALUE"""),"SUSE Linux Enterprise Server 15 SP2")</f>
        <v>SUSE Linux Enterprise Server 15 SP2</v>
      </c>
      <c r="H683" s="7" t="str">
        <f t="shared" si="2"/>
        <v>NO</v>
      </c>
      <c r="I683" s="7" t="str">
        <f t="shared" si="3"/>
        <v>NO</v>
      </c>
    </row>
    <row r="684">
      <c r="A684" s="4">
        <f>IFERROR(__xludf.DUMMYFUNCTION("""COMPUTED_VALUE"""),1158455.0)</f>
        <v>1158455</v>
      </c>
      <c r="B684" s="4" t="str">
        <f>IFERROR(__xludf.DUMMYFUNCTION("""COMPUTED_VALUE"""),"P5 - None")</f>
        <v>P5 - None</v>
      </c>
      <c r="C684" s="5">
        <f>IFERROR(__xludf.DUMMYFUNCTION("""COMPUTED_VALUE"""),43803.73761574074)</f>
        <v>43803.73762</v>
      </c>
      <c r="D684" s="4" t="str">
        <f>IFERROR(__xludf.DUMMYFUNCTION("""COMPUTED_VALUE"""),"RESOLVED")</f>
        <v>RESOLVED</v>
      </c>
      <c r="E684" s="6">
        <f>IFERROR(__xludf.DUMMYFUNCTION("""COMPUTED_VALUE"""),44384.795335648145)</f>
        <v>44384.79534</v>
      </c>
      <c r="F684" s="4" t="str">
        <f>IFERROR(__xludf.DUMMYFUNCTION("""COMPUTED_VALUE""")," ---")</f>
        <v> ---</v>
      </c>
      <c r="G684" s="4" t="str">
        <f>IFERROR(__xludf.DUMMYFUNCTION("""COMPUTED_VALUE"""),"SUSE Linux Enterprise Server 15 SP2")</f>
        <v>SUSE Linux Enterprise Server 15 SP2</v>
      </c>
      <c r="H684" s="7" t="str">
        <f t="shared" si="2"/>
        <v>NO</v>
      </c>
      <c r="I684" s="7" t="str">
        <f t="shared" si="3"/>
        <v>NO</v>
      </c>
    </row>
    <row r="685">
      <c r="A685" s="4">
        <f>IFERROR(__xludf.DUMMYFUNCTION("""COMPUTED_VALUE"""),1158456.0)</f>
        <v>1158456</v>
      </c>
      <c r="B685" s="4" t="str">
        <f>IFERROR(__xludf.DUMMYFUNCTION("""COMPUTED_VALUE"""),"P5 - None")</f>
        <v>P5 - None</v>
      </c>
      <c r="C685" s="5">
        <f>IFERROR(__xludf.DUMMYFUNCTION("""COMPUTED_VALUE"""),43803.73888888889)</f>
        <v>43803.73889</v>
      </c>
      <c r="D685" s="4" t="str">
        <f>IFERROR(__xludf.DUMMYFUNCTION("""COMPUTED_VALUE"""),"RESOLVED")</f>
        <v>RESOLVED</v>
      </c>
      <c r="E685" s="6">
        <f>IFERROR(__xludf.DUMMYFUNCTION("""COMPUTED_VALUE"""),44384.79540509259)</f>
        <v>44384.79541</v>
      </c>
      <c r="F685" s="4" t="str">
        <f>IFERROR(__xludf.DUMMYFUNCTION("""COMPUTED_VALUE""")," ---")</f>
        <v> ---</v>
      </c>
      <c r="G685" s="4" t="str">
        <f>IFERROR(__xludf.DUMMYFUNCTION("""COMPUTED_VALUE"""),"SUSE Linux Enterprise Server 15 SP2")</f>
        <v>SUSE Linux Enterprise Server 15 SP2</v>
      </c>
      <c r="H685" s="7" t="str">
        <f t="shared" si="2"/>
        <v>NO</v>
      </c>
      <c r="I685" s="7" t="str">
        <f t="shared" si="3"/>
        <v>NO</v>
      </c>
    </row>
    <row r="686">
      <c r="A686" s="4">
        <f>IFERROR(__xludf.DUMMYFUNCTION("""COMPUTED_VALUE"""),1158457.0)</f>
        <v>1158457</v>
      </c>
      <c r="B686" s="4" t="str">
        <f>IFERROR(__xludf.DUMMYFUNCTION("""COMPUTED_VALUE"""),"P5 - None")</f>
        <v>P5 - None</v>
      </c>
      <c r="C686" s="5">
        <f>IFERROR(__xludf.DUMMYFUNCTION("""COMPUTED_VALUE"""),43803.739756944444)</f>
        <v>43803.73976</v>
      </c>
      <c r="D686" s="4" t="str">
        <f>IFERROR(__xludf.DUMMYFUNCTION("""COMPUTED_VALUE"""),"RESOLVED")</f>
        <v>RESOLVED</v>
      </c>
      <c r="E686" s="6">
        <f>IFERROR(__xludf.DUMMYFUNCTION("""COMPUTED_VALUE"""),44384.79547453704)</f>
        <v>44384.79547</v>
      </c>
      <c r="F686" s="4" t="str">
        <f>IFERROR(__xludf.DUMMYFUNCTION("""COMPUTED_VALUE""")," ---")</f>
        <v> ---</v>
      </c>
      <c r="G686" s="4" t="str">
        <f>IFERROR(__xludf.DUMMYFUNCTION("""COMPUTED_VALUE"""),"SUSE Linux Enterprise Server 15 SP2")</f>
        <v>SUSE Linux Enterprise Server 15 SP2</v>
      </c>
      <c r="H686" s="7" t="str">
        <f t="shared" si="2"/>
        <v>NO</v>
      </c>
      <c r="I686" s="7" t="str">
        <f t="shared" si="3"/>
        <v>NO</v>
      </c>
    </row>
    <row r="687">
      <c r="A687" s="4">
        <f>IFERROR(__xludf.DUMMYFUNCTION("""COMPUTED_VALUE"""),1158458.0)</f>
        <v>1158458</v>
      </c>
      <c r="B687" s="4" t="str">
        <f>IFERROR(__xludf.DUMMYFUNCTION("""COMPUTED_VALUE"""),"P5 - None")</f>
        <v>P5 - None</v>
      </c>
      <c r="C687" s="5">
        <f>IFERROR(__xludf.DUMMYFUNCTION("""COMPUTED_VALUE"""),43803.74085648148)</f>
        <v>43803.74086</v>
      </c>
      <c r="D687" s="4" t="str">
        <f>IFERROR(__xludf.DUMMYFUNCTION("""COMPUTED_VALUE"""),"RESOLVED")</f>
        <v>RESOLVED</v>
      </c>
      <c r="E687" s="6">
        <f>IFERROR(__xludf.DUMMYFUNCTION("""COMPUTED_VALUE"""),44384.79554398148)</f>
        <v>44384.79554</v>
      </c>
      <c r="F687" s="4" t="str">
        <f>IFERROR(__xludf.DUMMYFUNCTION("""COMPUTED_VALUE""")," ---")</f>
        <v> ---</v>
      </c>
      <c r="G687" s="4" t="str">
        <f>IFERROR(__xludf.DUMMYFUNCTION("""COMPUTED_VALUE"""),"SUSE Linux Enterprise Server 15 SP2")</f>
        <v>SUSE Linux Enterprise Server 15 SP2</v>
      </c>
      <c r="H687" s="7" t="str">
        <f t="shared" si="2"/>
        <v>NO</v>
      </c>
      <c r="I687" s="7" t="str">
        <f t="shared" si="3"/>
        <v>NO</v>
      </c>
    </row>
    <row r="688">
      <c r="A688" s="4">
        <f>IFERROR(__xludf.DUMMYFUNCTION("""COMPUTED_VALUE"""),1158459.0)</f>
        <v>1158459</v>
      </c>
      <c r="B688" s="4" t="str">
        <f>IFERROR(__xludf.DUMMYFUNCTION("""COMPUTED_VALUE"""),"P5 - None")</f>
        <v>P5 - None</v>
      </c>
      <c r="C688" s="5">
        <f>IFERROR(__xludf.DUMMYFUNCTION("""COMPUTED_VALUE"""),43803.74239583333)</f>
        <v>43803.7424</v>
      </c>
      <c r="D688" s="4" t="str">
        <f>IFERROR(__xludf.DUMMYFUNCTION("""COMPUTED_VALUE"""),"RESOLVED")</f>
        <v>RESOLVED</v>
      </c>
      <c r="E688" s="6">
        <f>IFERROR(__xludf.DUMMYFUNCTION("""COMPUTED_VALUE"""),44384.79561342593)</f>
        <v>44384.79561</v>
      </c>
      <c r="F688" s="4" t="str">
        <f>IFERROR(__xludf.DUMMYFUNCTION("""COMPUTED_VALUE""")," ---")</f>
        <v> ---</v>
      </c>
      <c r="G688" s="4" t="str">
        <f>IFERROR(__xludf.DUMMYFUNCTION("""COMPUTED_VALUE"""),"SUSE Linux Enterprise Server 15 SP2")</f>
        <v>SUSE Linux Enterprise Server 15 SP2</v>
      </c>
      <c r="H688" s="7" t="str">
        <f t="shared" si="2"/>
        <v>NO</v>
      </c>
      <c r="I688" s="7" t="str">
        <f t="shared" si="3"/>
        <v>NO</v>
      </c>
    </row>
    <row r="689">
      <c r="A689" s="4">
        <f>IFERROR(__xludf.DUMMYFUNCTION("""COMPUTED_VALUE"""),1158460.0)</f>
        <v>1158460</v>
      </c>
      <c r="B689" s="4" t="str">
        <f>IFERROR(__xludf.DUMMYFUNCTION("""COMPUTED_VALUE"""),"P5 - None")</f>
        <v>P5 - None</v>
      </c>
      <c r="C689" s="5">
        <f>IFERROR(__xludf.DUMMYFUNCTION("""COMPUTED_VALUE"""),43803.74324074074)</f>
        <v>43803.74324</v>
      </c>
      <c r="D689" s="4" t="str">
        <f>IFERROR(__xludf.DUMMYFUNCTION("""COMPUTED_VALUE"""),"RESOLVED")</f>
        <v>RESOLVED</v>
      </c>
      <c r="E689" s="6">
        <f>IFERROR(__xludf.DUMMYFUNCTION("""COMPUTED_VALUE"""),44384.79568287037)</f>
        <v>44384.79568</v>
      </c>
      <c r="F689" s="4" t="str">
        <f>IFERROR(__xludf.DUMMYFUNCTION("""COMPUTED_VALUE""")," ---")</f>
        <v> ---</v>
      </c>
      <c r="G689" s="4" t="str">
        <f>IFERROR(__xludf.DUMMYFUNCTION("""COMPUTED_VALUE"""),"SUSE Linux Enterprise Server 15 SP2")</f>
        <v>SUSE Linux Enterprise Server 15 SP2</v>
      </c>
      <c r="H689" s="7" t="str">
        <f t="shared" si="2"/>
        <v>NO</v>
      </c>
      <c r="I689" s="7" t="str">
        <f t="shared" si="3"/>
        <v>NO</v>
      </c>
    </row>
    <row r="690">
      <c r="A690" s="4">
        <f>IFERROR(__xludf.DUMMYFUNCTION("""COMPUTED_VALUE"""),1163890.0)</f>
        <v>1163890</v>
      </c>
      <c r="B690" s="4" t="str">
        <f>IFERROR(__xludf.DUMMYFUNCTION("""COMPUTED_VALUE"""),"P5 - None")</f>
        <v>P5 - None</v>
      </c>
      <c r="C690" s="5">
        <f>IFERROR(__xludf.DUMMYFUNCTION("""COMPUTED_VALUE"""),43878.520520833335)</f>
        <v>43878.52052</v>
      </c>
      <c r="D690" s="4" t="str">
        <f>IFERROR(__xludf.DUMMYFUNCTION("""COMPUTED_VALUE"""),"RESOLVED")</f>
        <v>RESOLVED</v>
      </c>
      <c r="E690" s="6">
        <f>IFERROR(__xludf.DUMMYFUNCTION("""COMPUTED_VALUE"""),43878.698171296295)</f>
        <v>43878.69817</v>
      </c>
      <c r="F690" s="4" t="str">
        <f>IFERROR(__xludf.DUMMYFUNCTION("""COMPUTED_VALUE""")," ---")</f>
        <v> ---</v>
      </c>
      <c r="G690" s="4" t="str">
        <f>IFERROR(__xludf.DUMMYFUNCTION("""COMPUTED_VALUE"""),"SUSE Linux Enterprise Server 15 SP2")</f>
        <v>SUSE Linux Enterprise Server 15 SP2</v>
      </c>
      <c r="H690" s="7" t="str">
        <f t="shared" si="2"/>
        <v>NO</v>
      </c>
      <c r="I690" s="7" t="str">
        <f t="shared" si="3"/>
        <v>NO</v>
      </c>
    </row>
    <row r="691">
      <c r="A691" s="4">
        <f>IFERROR(__xludf.DUMMYFUNCTION("""COMPUTED_VALUE"""),1163891.0)</f>
        <v>1163891</v>
      </c>
      <c r="B691" s="4" t="str">
        <f>IFERROR(__xludf.DUMMYFUNCTION("""COMPUTED_VALUE"""),"P5 - None")</f>
        <v>P5 - None</v>
      </c>
      <c r="C691" s="5">
        <f>IFERROR(__xludf.DUMMYFUNCTION("""COMPUTED_VALUE"""),43878.52255787037)</f>
        <v>43878.52256</v>
      </c>
      <c r="D691" s="4" t="str">
        <f>IFERROR(__xludf.DUMMYFUNCTION("""COMPUTED_VALUE"""),"RESOLVED")</f>
        <v>RESOLVED</v>
      </c>
      <c r="E691" s="6">
        <f>IFERROR(__xludf.DUMMYFUNCTION("""COMPUTED_VALUE"""),44384.80472222222)</f>
        <v>44384.80472</v>
      </c>
      <c r="F691" s="4" t="str">
        <f>IFERROR(__xludf.DUMMYFUNCTION("""COMPUTED_VALUE""")," ---")</f>
        <v> ---</v>
      </c>
      <c r="G691" s="4" t="str">
        <f>IFERROR(__xludf.DUMMYFUNCTION("""COMPUTED_VALUE"""),"SUSE Linux Enterprise Server 15 SP2")</f>
        <v>SUSE Linux Enterprise Server 15 SP2</v>
      </c>
      <c r="H691" s="7" t="str">
        <f t="shared" si="2"/>
        <v>NO</v>
      </c>
      <c r="I691" s="7" t="str">
        <f t="shared" si="3"/>
        <v>NO</v>
      </c>
    </row>
    <row r="692">
      <c r="A692" s="4">
        <f>IFERROR(__xludf.DUMMYFUNCTION("""COMPUTED_VALUE"""),1163892.0)</f>
        <v>1163892</v>
      </c>
      <c r="B692" s="4" t="str">
        <f>IFERROR(__xludf.DUMMYFUNCTION("""COMPUTED_VALUE"""),"P5 - None")</f>
        <v>P5 - None</v>
      </c>
      <c r="C692" s="5">
        <f>IFERROR(__xludf.DUMMYFUNCTION("""COMPUTED_VALUE"""),43878.5228125)</f>
        <v>43878.52281</v>
      </c>
      <c r="D692" s="4" t="str">
        <f>IFERROR(__xludf.DUMMYFUNCTION("""COMPUTED_VALUE"""),"RESOLVED")</f>
        <v>RESOLVED</v>
      </c>
      <c r="E692" s="6">
        <f>IFERROR(__xludf.DUMMYFUNCTION("""COMPUTED_VALUE"""),44384.80479166667)</f>
        <v>44384.80479</v>
      </c>
      <c r="F692" s="4" t="str">
        <f>IFERROR(__xludf.DUMMYFUNCTION("""COMPUTED_VALUE""")," ---")</f>
        <v> ---</v>
      </c>
      <c r="G692" s="4" t="str">
        <f>IFERROR(__xludf.DUMMYFUNCTION("""COMPUTED_VALUE"""),"SUSE Linux Enterprise Server 15 SP2")</f>
        <v>SUSE Linux Enterprise Server 15 SP2</v>
      </c>
      <c r="H692" s="7" t="str">
        <f t="shared" si="2"/>
        <v>NO</v>
      </c>
      <c r="I692" s="7" t="str">
        <f t="shared" si="3"/>
        <v>NO</v>
      </c>
    </row>
    <row r="693">
      <c r="A693" s="4">
        <f>IFERROR(__xludf.DUMMYFUNCTION("""COMPUTED_VALUE"""),1163893.0)</f>
        <v>1163893</v>
      </c>
      <c r="B693" s="4" t="str">
        <f>IFERROR(__xludf.DUMMYFUNCTION("""COMPUTED_VALUE"""),"P5 - None")</f>
        <v>P5 - None</v>
      </c>
      <c r="C693" s="5">
        <f>IFERROR(__xludf.DUMMYFUNCTION("""COMPUTED_VALUE"""),43878.52315972222)</f>
        <v>43878.52316</v>
      </c>
      <c r="D693" s="4" t="str">
        <f>IFERROR(__xludf.DUMMYFUNCTION("""COMPUTED_VALUE"""),"RESOLVED")</f>
        <v>RESOLVED</v>
      </c>
      <c r="E693" s="6">
        <f>IFERROR(__xludf.DUMMYFUNCTION("""COMPUTED_VALUE"""),44384.80486111111)</f>
        <v>44384.80486</v>
      </c>
      <c r="F693" s="4" t="str">
        <f>IFERROR(__xludf.DUMMYFUNCTION("""COMPUTED_VALUE""")," ---")</f>
        <v> ---</v>
      </c>
      <c r="G693" s="4" t="str">
        <f>IFERROR(__xludf.DUMMYFUNCTION("""COMPUTED_VALUE"""),"SUSE Linux Enterprise Server 15 SP2")</f>
        <v>SUSE Linux Enterprise Server 15 SP2</v>
      </c>
      <c r="H693" s="7" t="str">
        <f t="shared" si="2"/>
        <v>NO</v>
      </c>
      <c r="I693" s="7" t="str">
        <f t="shared" si="3"/>
        <v>NO</v>
      </c>
    </row>
    <row r="694">
      <c r="A694" s="4">
        <f>IFERROR(__xludf.DUMMYFUNCTION("""COMPUTED_VALUE"""),1163894.0)</f>
        <v>1163894</v>
      </c>
      <c r="B694" s="4" t="str">
        <f>IFERROR(__xludf.DUMMYFUNCTION("""COMPUTED_VALUE"""),"P5 - None")</f>
        <v>P5 - None</v>
      </c>
      <c r="C694" s="5">
        <f>IFERROR(__xludf.DUMMYFUNCTION("""COMPUTED_VALUE"""),43878.524143518516)</f>
        <v>43878.52414</v>
      </c>
      <c r="D694" s="4" t="str">
        <f>IFERROR(__xludf.DUMMYFUNCTION("""COMPUTED_VALUE"""),"RESOLVED")</f>
        <v>RESOLVED</v>
      </c>
      <c r="E694" s="6">
        <f>IFERROR(__xludf.DUMMYFUNCTION("""COMPUTED_VALUE"""),44384.804930555554)</f>
        <v>44384.80493</v>
      </c>
      <c r="F694" s="4" t="str">
        <f>IFERROR(__xludf.DUMMYFUNCTION("""COMPUTED_VALUE""")," ---")</f>
        <v> ---</v>
      </c>
      <c r="G694" s="4" t="str">
        <f>IFERROR(__xludf.DUMMYFUNCTION("""COMPUTED_VALUE"""),"SUSE Linux Enterprise Server 15 SP2")</f>
        <v>SUSE Linux Enterprise Server 15 SP2</v>
      </c>
      <c r="H694" s="7" t="str">
        <f t="shared" si="2"/>
        <v>NO</v>
      </c>
      <c r="I694" s="7" t="str">
        <f t="shared" si="3"/>
        <v>NO</v>
      </c>
    </row>
    <row r="695">
      <c r="A695" s="4">
        <f>IFERROR(__xludf.DUMMYFUNCTION("""COMPUTED_VALUE"""),1163896.0)</f>
        <v>1163896</v>
      </c>
      <c r="B695" s="4" t="str">
        <f>IFERROR(__xludf.DUMMYFUNCTION("""COMPUTED_VALUE"""),"P5 - None")</f>
        <v>P5 - None</v>
      </c>
      <c r="C695" s="5">
        <f>IFERROR(__xludf.DUMMYFUNCTION("""COMPUTED_VALUE"""),43878.527141203704)</f>
        <v>43878.52714</v>
      </c>
      <c r="D695" s="4" t="str">
        <f>IFERROR(__xludf.DUMMYFUNCTION("""COMPUTED_VALUE"""),"RESOLVED")</f>
        <v>RESOLVED</v>
      </c>
      <c r="E695" s="6">
        <f>IFERROR(__xludf.DUMMYFUNCTION("""COMPUTED_VALUE"""),44384.805)</f>
        <v>44384.805</v>
      </c>
      <c r="F695" s="4" t="str">
        <f>IFERROR(__xludf.DUMMYFUNCTION("""COMPUTED_VALUE""")," ---")</f>
        <v> ---</v>
      </c>
      <c r="G695" s="4" t="str">
        <f>IFERROR(__xludf.DUMMYFUNCTION("""COMPUTED_VALUE"""),"SUSE Linux Enterprise Server 15 SP2")</f>
        <v>SUSE Linux Enterprise Server 15 SP2</v>
      </c>
      <c r="H695" s="7" t="str">
        <f t="shared" si="2"/>
        <v>NO</v>
      </c>
      <c r="I695" s="7" t="str">
        <f t="shared" si="3"/>
        <v>NO</v>
      </c>
    </row>
    <row r="696">
      <c r="A696" s="4">
        <f>IFERROR(__xludf.DUMMYFUNCTION("""COMPUTED_VALUE"""),1163897.0)</f>
        <v>1163897</v>
      </c>
      <c r="B696" s="4" t="str">
        <f>IFERROR(__xludf.DUMMYFUNCTION("""COMPUTED_VALUE"""),"P5 - None")</f>
        <v>P5 - None</v>
      </c>
      <c r="C696" s="5">
        <f>IFERROR(__xludf.DUMMYFUNCTION("""COMPUTED_VALUE"""),43878.527604166666)</f>
        <v>43878.5276</v>
      </c>
      <c r="D696" s="4" t="str">
        <f>IFERROR(__xludf.DUMMYFUNCTION("""COMPUTED_VALUE"""),"RESOLVED")</f>
        <v>RESOLVED</v>
      </c>
      <c r="E696" s="6">
        <f>IFERROR(__xludf.DUMMYFUNCTION("""COMPUTED_VALUE"""),44624.91855324074)</f>
        <v>44624.91855</v>
      </c>
      <c r="F696" s="4" t="str">
        <f>IFERROR(__xludf.DUMMYFUNCTION("""COMPUTED_VALUE""")," ---")</f>
        <v> ---</v>
      </c>
      <c r="G696" s="4" t="str">
        <f>IFERROR(__xludf.DUMMYFUNCTION("""COMPUTED_VALUE"""),"SUSE Linux Enterprise Server 15 SP2")</f>
        <v>SUSE Linux Enterprise Server 15 SP2</v>
      </c>
      <c r="H696" s="7" t="str">
        <f t="shared" si="2"/>
        <v>NO</v>
      </c>
      <c r="I696" s="7" t="str">
        <f t="shared" si="3"/>
        <v>NO</v>
      </c>
    </row>
    <row r="697">
      <c r="A697" s="4">
        <f>IFERROR(__xludf.DUMMYFUNCTION("""COMPUTED_VALUE"""),1163898.0)</f>
        <v>1163898</v>
      </c>
      <c r="B697" s="4" t="str">
        <f>IFERROR(__xludf.DUMMYFUNCTION("""COMPUTED_VALUE"""),"P5 - None")</f>
        <v>P5 - None</v>
      </c>
      <c r="C697" s="5">
        <f>IFERROR(__xludf.DUMMYFUNCTION("""COMPUTED_VALUE"""),43878.5278587963)</f>
        <v>43878.52786</v>
      </c>
      <c r="D697" s="4" t="str">
        <f>IFERROR(__xludf.DUMMYFUNCTION("""COMPUTED_VALUE"""),"RESOLVED")</f>
        <v>RESOLVED</v>
      </c>
      <c r="E697" s="6">
        <f>IFERROR(__xludf.DUMMYFUNCTION("""COMPUTED_VALUE"""),44384.80506944445)</f>
        <v>44384.80507</v>
      </c>
      <c r="F697" s="4" t="str">
        <f>IFERROR(__xludf.DUMMYFUNCTION("""COMPUTED_VALUE""")," ---")</f>
        <v> ---</v>
      </c>
      <c r="G697" s="4" t="str">
        <f>IFERROR(__xludf.DUMMYFUNCTION("""COMPUTED_VALUE"""),"SUSE Linux Enterprise Server 15 SP2")</f>
        <v>SUSE Linux Enterprise Server 15 SP2</v>
      </c>
      <c r="H697" s="7" t="str">
        <f t="shared" si="2"/>
        <v>NO</v>
      </c>
      <c r="I697" s="7" t="str">
        <f t="shared" si="3"/>
        <v>NO</v>
      </c>
    </row>
    <row r="698">
      <c r="A698" s="4">
        <f>IFERROR(__xludf.DUMMYFUNCTION("""COMPUTED_VALUE"""),1163899.0)</f>
        <v>1163899</v>
      </c>
      <c r="B698" s="4" t="str">
        <f>IFERROR(__xludf.DUMMYFUNCTION("""COMPUTED_VALUE"""),"P5 - None")</f>
        <v>P5 - None</v>
      </c>
      <c r="C698" s="5">
        <f>IFERROR(__xludf.DUMMYFUNCTION("""COMPUTED_VALUE"""),43878.5284837963)</f>
        <v>43878.52848</v>
      </c>
      <c r="D698" s="4" t="str">
        <f>IFERROR(__xludf.DUMMYFUNCTION("""COMPUTED_VALUE"""),"RESOLVED")</f>
        <v>RESOLVED</v>
      </c>
      <c r="E698" s="6">
        <f>IFERROR(__xludf.DUMMYFUNCTION("""COMPUTED_VALUE"""),44384.805138888885)</f>
        <v>44384.80514</v>
      </c>
      <c r="F698" s="4" t="str">
        <f>IFERROR(__xludf.DUMMYFUNCTION("""COMPUTED_VALUE""")," ---")</f>
        <v> ---</v>
      </c>
      <c r="G698" s="4" t="str">
        <f>IFERROR(__xludf.DUMMYFUNCTION("""COMPUTED_VALUE"""),"SUSE Linux Enterprise Server 15 SP2")</f>
        <v>SUSE Linux Enterprise Server 15 SP2</v>
      </c>
      <c r="H698" s="7" t="str">
        <f t="shared" si="2"/>
        <v>NO</v>
      </c>
      <c r="I698" s="7" t="str">
        <f t="shared" si="3"/>
        <v>NO</v>
      </c>
    </row>
    <row r="699">
      <c r="A699" s="4">
        <f>IFERROR(__xludf.DUMMYFUNCTION("""COMPUTED_VALUE"""),1163900.0)</f>
        <v>1163900</v>
      </c>
      <c r="B699" s="4" t="str">
        <f>IFERROR(__xludf.DUMMYFUNCTION("""COMPUTED_VALUE"""),"P5 - None")</f>
        <v>P5 - None</v>
      </c>
      <c r="C699" s="5">
        <f>IFERROR(__xludf.DUMMYFUNCTION("""COMPUTED_VALUE"""),43878.530185185184)</f>
        <v>43878.53019</v>
      </c>
      <c r="D699" s="4" t="str">
        <f>IFERROR(__xludf.DUMMYFUNCTION("""COMPUTED_VALUE"""),"RESOLVED")</f>
        <v>RESOLVED</v>
      </c>
      <c r="E699" s="6">
        <f>IFERROR(__xludf.DUMMYFUNCTION("""COMPUTED_VALUE"""),43878.70097222222)</f>
        <v>43878.70097</v>
      </c>
      <c r="F699" s="4" t="str">
        <f>IFERROR(__xludf.DUMMYFUNCTION("""COMPUTED_VALUE""")," ---")</f>
        <v> ---</v>
      </c>
      <c r="G699" s="4" t="str">
        <f>IFERROR(__xludf.DUMMYFUNCTION("""COMPUTED_VALUE"""),"SUSE Linux Enterprise Server 15 SP2")</f>
        <v>SUSE Linux Enterprise Server 15 SP2</v>
      </c>
      <c r="H699" s="7" t="str">
        <f t="shared" si="2"/>
        <v>NO</v>
      </c>
      <c r="I699" s="7" t="str">
        <f t="shared" si="3"/>
        <v>NO</v>
      </c>
    </row>
    <row r="700">
      <c r="A700" s="4">
        <f>IFERROR(__xludf.DUMMYFUNCTION("""COMPUTED_VALUE"""),1163901.0)</f>
        <v>1163901</v>
      </c>
      <c r="B700" s="4" t="str">
        <f>IFERROR(__xludf.DUMMYFUNCTION("""COMPUTED_VALUE"""),"P5 - None")</f>
        <v>P5 - None</v>
      </c>
      <c r="C700" s="5">
        <f>IFERROR(__xludf.DUMMYFUNCTION("""COMPUTED_VALUE"""),43878.53045138889)</f>
        <v>43878.53045</v>
      </c>
      <c r="D700" s="4" t="str">
        <f>IFERROR(__xludf.DUMMYFUNCTION("""COMPUTED_VALUE"""),"RESOLVED")</f>
        <v>RESOLVED</v>
      </c>
      <c r="E700" s="6">
        <f>IFERROR(__xludf.DUMMYFUNCTION("""COMPUTED_VALUE"""),44384.80520833333)</f>
        <v>44384.80521</v>
      </c>
      <c r="F700" s="4" t="str">
        <f>IFERROR(__xludf.DUMMYFUNCTION("""COMPUTED_VALUE""")," ---")</f>
        <v> ---</v>
      </c>
      <c r="G700" s="4" t="str">
        <f>IFERROR(__xludf.DUMMYFUNCTION("""COMPUTED_VALUE"""),"SUSE Linux Enterprise Server 15 SP2")</f>
        <v>SUSE Linux Enterprise Server 15 SP2</v>
      </c>
      <c r="H700" s="7" t="str">
        <f t="shared" si="2"/>
        <v>NO</v>
      </c>
      <c r="I700" s="7" t="str">
        <f t="shared" si="3"/>
        <v>NO</v>
      </c>
    </row>
    <row r="701">
      <c r="A701" s="4">
        <f>IFERROR(__xludf.DUMMYFUNCTION("""COMPUTED_VALUE"""),1163902.0)</f>
        <v>1163902</v>
      </c>
      <c r="B701" s="4" t="str">
        <f>IFERROR(__xludf.DUMMYFUNCTION("""COMPUTED_VALUE"""),"P5 - None")</f>
        <v>P5 - None</v>
      </c>
      <c r="C701" s="5">
        <f>IFERROR(__xludf.DUMMYFUNCTION("""COMPUTED_VALUE"""),43878.530798611115)</f>
        <v>43878.5308</v>
      </c>
      <c r="D701" s="4" t="str">
        <f>IFERROR(__xludf.DUMMYFUNCTION("""COMPUTED_VALUE"""),"RESOLVED")</f>
        <v>RESOLVED</v>
      </c>
      <c r="E701" s="6">
        <f>IFERROR(__xludf.DUMMYFUNCTION("""COMPUTED_VALUE"""),44384.80527777778)</f>
        <v>44384.80528</v>
      </c>
      <c r="F701" s="4" t="str">
        <f>IFERROR(__xludf.DUMMYFUNCTION("""COMPUTED_VALUE""")," ---")</f>
        <v> ---</v>
      </c>
      <c r="G701" s="4" t="str">
        <f>IFERROR(__xludf.DUMMYFUNCTION("""COMPUTED_VALUE"""),"SUSE Linux Enterprise Server 15 SP2")</f>
        <v>SUSE Linux Enterprise Server 15 SP2</v>
      </c>
      <c r="H701" s="7" t="str">
        <f t="shared" si="2"/>
        <v>NO</v>
      </c>
      <c r="I701" s="7" t="str">
        <f t="shared" si="3"/>
        <v>NO</v>
      </c>
    </row>
    <row r="702">
      <c r="A702" s="4">
        <f>IFERROR(__xludf.DUMMYFUNCTION("""COMPUTED_VALUE"""),1163904.0)</f>
        <v>1163904</v>
      </c>
      <c r="B702" s="4" t="str">
        <f>IFERROR(__xludf.DUMMYFUNCTION("""COMPUTED_VALUE"""),"P5 - None")</f>
        <v>P5 - None</v>
      </c>
      <c r="C702" s="5">
        <f>IFERROR(__xludf.DUMMYFUNCTION("""COMPUTED_VALUE"""),43878.53155092592)</f>
        <v>43878.53155</v>
      </c>
      <c r="D702" s="4" t="str">
        <f>IFERROR(__xludf.DUMMYFUNCTION("""COMPUTED_VALUE"""),"RESOLVED")</f>
        <v>RESOLVED</v>
      </c>
      <c r="E702" s="6">
        <f>IFERROR(__xludf.DUMMYFUNCTION("""COMPUTED_VALUE"""),44384.805347222224)</f>
        <v>44384.80535</v>
      </c>
      <c r="F702" s="4" t="str">
        <f>IFERROR(__xludf.DUMMYFUNCTION("""COMPUTED_VALUE""")," ---")</f>
        <v> ---</v>
      </c>
      <c r="G702" s="4" t="str">
        <f>IFERROR(__xludf.DUMMYFUNCTION("""COMPUTED_VALUE"""),"SUSE Linux Enterprise Server 15 SP2")</f>
        <v>SUSE Linux Enterprise Server 15 SP2</v>
      </c>
      <c r="H702" s="7" t="str">
        <f t="shared" si="2"/>
        <v>NO</v>
      </c>
      <c r="I702" s="7" t="str">
        <f t="shared" si="3"/>
        <v>NO</v>
      </c>
    </row>
    <row r="703">
      <c r="A703" s="4">
        <f>IFERROR(__xludf.DUMMYFUNCTION("""COMPUTED_VALUE"""),1163905.0)</f>
        <v>1163905</v>
      </c>
      <c r="B703" s="4" t="str">
        <f>IFERROR(__xludf.DUMMYFUNCTION("""COMPUTED_VALUE"""),"P5 - None")</f>
        <v>P5 - None</v>
      </c>
      <c r="C703" s="5">
        <f>IFERROR(__xludf.DUMMYFUNCTION("""COMPUTED_VALUE"""),43878.532314814816)</f>
        <v>43878.53231</v>
      </c>
      <c r="D703" s="4" t="str">
        <f>IFERROR(__xludf.DUMMYFUNCTION("""COMPUTED_VALUE"""),"RESOLVED")</f>
        <v>RESOLVED</v>
      </c>
      <c r="E703" s="6">
        <f>IFERROR(__xludf.DUMMYFUNCTION("""COMPUTED_VALUE"""),44384.80541666667)</f>
        <v>44384.80542</v>
      </c>
      <c r="F703" s="4" t="str">
        <f>IFERROR(__xludf.DUMMYFUNCTION("""COMPUTED_VALUE""")," ---")</f>
        <v> ---</v>
      </c>
      <c r="G703" s="4" t="str">
        <f>IFERROR(__xludf.DUMMYFUNCTION("""COMPUTED_VALUE"""),"SUSE Linux Enterprise Server 15 SP2")</f>
        <v>SUSE Linux Enterprise Server 15 SP2</v>
      </c>
      <c r="H703" s="7" t="str">
        <f t="shared" si="2"/>
        <v>NO</v>
      </c>
      <c r="I703" s="7" t="str">
        <f t="shared" si="3"/>
        <v>NO</v>
      </c>
    </row>
    <row r="704">
      <c r="A704" s="4">
        <f>IFERROR(__xludf.DUMMYFUNCTION("""COMPUTED_VALUE"""),1163906.0)</f>
        <v>1163906</v>
      </c>
      <c r="B704" s="4" t="str">
        <f>IFERROR(__xludf.DUMMYFUNCTION("""COMPUTED_VALUE"""),"P5 - None")</f>
        <v>P5 - None</v>
      </c>
      <c r="C704" s="5">
        <f>IFERROR(__xludf.DUMMYFUNCTION("""COMPUTED_VALUE"""),43878.53267361111)</f>
        <v>43878.53267</v>
      </c>
      <c r="D704" s="4" t="str">
        <f>IFERROR(__xludf.DUMMYFUNCTION("""COMPUTED_VALUE"""),"RESOLVED")</f>
        <v>RESOLVED</v>
      </c>
      <c r="E704" s="6">
        <f>IFERROR(__xludf.DUMMYFUNCTION("""COMPUTED_VALUE"""),43878.71462962963)</f>
        <v>43878.71463</v>
      </c>
      <c r="F704" s="4" t="str">
        <f>IFERROR(__xludf.DUMMYFUNCTION("""COMPUTED_VALUE""")," ---")</f>
        <v> ---</v>
      </c>
      <c r="G704" s="4" t="str">
        <f>IFERROR(__xludf.DUMMYFUNCTION("""COMPUTED_VALUE"""),"SUSE Linux Enterprise Server 15 SP2")</f>
        <v>SUSE Linux Enterprise Server 15 SP2</v>
      </c>
      <c r="H704" s="7" t="str">
        <f t="shared" si="2"/>
        <v>NO</v>
      </c>
      <c r="I704" s="7" t="str">
        <f t="shared" si="3"/>
        <v>NO</v>
      </c>
    </row>
    <row r="705">
      <c r="A705" s="4">
        <f>IFERROR(__xludf.DUMMYFUNCTION("""COMPUTED_VALUE"""),1163907.0)</f>
        <v>1163907</v>
      </c>
      <c r="B705" s="4" t="str">
        <f>IFERROR(__xludf.DUMMYFUNCTION("""COMPUTED_VALUE"""),"P5 - None")</f>
        <v>P5 - None</v>
      </c>
      <c r="C705" s="5">
        <f>IFERROR(__xludf.DUMMYFUNCTION("""COMPUTED_VALUE"""),43878.53351851852)</f>
        <v>43878.53352</v>
      </c>
      <c r="D705" s="4" t="str">
        <f>IFERROR(__xludf.DUMMYFUNCTION("""COMPUTED_VALUE"""),"RESOLVED")</f>
        <v>RESOLVED</v>
      </c>
      <c r="E705" s="6">
        <f>IFERROR(__xludf.DUMMYFUNCTION("""COMPUTED_VALUE"""),44384.80547453704)</f>
        <v>44384.80547</v>
      </c>
      <c r="F705" s="4" t="str">
        <f>IFERROR(__xludf.DUMMYFUNCTION("""COMPUTED_VALUE""")," ---")</f>
        <v> ---</v>
      </c>
      <c r="G705" s="4" t="str">
        <f>IFERROR(__xludf.DUMMYFUNCTION("""COMPUTED_VALUE"""),"SUSE Linux Enterprise Server 15 SP2")</f>
        <v>SUSE Linux Enterprise Server 15 SP2</v>
      </c>
      <c r="H705" s="7" t="str">
        <f t="shared" si="2"/>
        <v>NO</v>
      </c>
      <c r="I705" s="7" t="str">
        <f t="shared" si="3"/>
        <v>NO</v>
      </c>
    </row>
    <row r="706">
      <c r="A706" s="4">
        <f>IFERROR(__xludf.DUMMYFUNCTION("""COMPUTED_VALUE"""),1163909.0)</f>
        <v>1163909</v>
      </c>
      <c r="B706" s="4" t="str">
        <f>IFERROR(__xludf.DUMMYFUNCTION("""COMPUTED_VALUE"""),"P5 - None")</f>
        <v>P5 - None</v>
      </c>
      <c r="C706" s="5">
        <f>IFERROR(__xludf.DUMMYFUNCTION("""COMPUTED_VALUE"""),43878.53443287037)</f>
        <v>43878.53443</v>
      </c>
      <c r="D706" s="4" t="str">
        <f>IFERROR(__xludf.DUMMYFUNCTION("""COMPUTED_VALUE"""),"RESOLVED")</f>
        <v>RESOLVED</v>
      </c>
      <c r="E706" s="6">
        <f>IFERROR(__xludf.DUMMYFUNCTION("""COMPUTED_VALUE"""),44384.80554398148)</f>
        <v>44384.80554</v>
      </c>
      <c r="F706" s="4" t="str">
        <f>IFERROR(__xludf.DUMMYFUNCTION("""COMPUTED_VALUE""")," ---")</f>
        <v> ---</v>
      </c>
      <c r="G706" s="4" t="str">
        <f>IFERROR(__xludf.DUMMYFUNCTION("""COMPUTED_VALUE"""),"SUSE Linux Enterprise Server 15 SP2")</f>
        <v>SUSE Linux Enterprise Server 15 SP2</v>
      </c>
      <c r="H706" s="7" t="str">
        <f t="shared" si="2"/>
        <v>NO</v>
      </c>
      <c r="I706" s="7" t="str">
        <f t="shared" si="3"/>
        <v>NO</v>
      </c>
    </row>
    <row r="707">
      <c r="A707" s="4">
        <f>IFERROR(__xludf.DUMMYFUNCTION("""COMPUTED_VALUE"""),1163910.0)</f>
        <v>1163910</v>
      </c>
      <c r="B707" s="4" t="str">
        <f>IFERROR(__xludf.DUMMYFUNCTION("""COMPUTED_VALUE"""),"P5 - None")</f>
        <v>P5 - None</v>
      </c>
      <c r="C707" s="5">
        <f>IFERROR(__xludf.DUMMYFUNCTION("""COMPUTED_VALUE"""),43878.534837962965)</f>
        <v>43878.53484</v>
      </c>
      <c r="D707" s="4" t="str">
        <f>IFERROR(__xludf.DUMMYFUNCTION("""COMPUTED_VALUE"""),"RESOLVED")</f>
        <v>RESOLVED</v>
      </c>
      <c r="E707" s="6">
        <f>IFERROR(__xludf.DUMMYFUNCTION("""COMPUTED_VALUE"""),44384.805613425924)</f>
        <v>44384.80561</v>
      </c>
      <c r="F707" s="4" t="str">
        <f>IFERROR(__xludf.DUMMYFUNCTION("""COMPUTED_VALUE""")," ---")</f>
        <v> ---</v>
      </c>
      <c r="G707" s="4" t="str">
        <f>IFERROR(__xludf.DUMMYFUNCTION("""COMPUTED_VALUE"""),"SUSE Linux Enterprise Server 15 SP2")</f>
        <v>SUSE Linux Enterprise Server 15 SP2</v>
      </c>
      <c r="H707" s="7" t="str">
        <f t="shared" si="2"/>
        <v>NO</v>
      </c>
      <c r="I707" s="7" t="str">
        <f t="shared" si="3"/>
        <v>NO</v>
      </c>
    </row>
    <row r="708">
      <c r="A708" s="4">
        <f>IFERROR(__xludf.DUMMYFUNCTION("""COMPUTED_VALUE"""),1163911.0)</f>
        <v>1163911</v>
      </c>
      <c r="B708" s="4" t="str">
        <f>IFERROR(__xludf.DUMMYFUNCTION("""COMPUTED_VALUE"""),"P5 - None")</f>
        <v>P5 - None</v>
      </c>
      <c r="C708" s="5">
        <f>IFERROR(__xludf.DUMMYFUNCTION("""COMPUTED_VALUE"""),43878.53508101852)</f>
        <v>43878.53508</v>
      </c>
      <c r="D708" s="4" t="str">
        <f>IFERROR(__xludf.DUMMYFUNCTION("""COMPUTED_VALUE"""),"RESOLVED")</f>
        <v>RESOLVED</v>
      </c>
      <c r="E708" s="6">
        <f>IFERROR(__xludf.DUMMYFUNCTION("""COMPUTED_VALUE"""),44384.80568287037)</f>
        <v>44384.80568</v>
      </c>
      <c r="F708" s="4" t="str">
        <f>IFERROR(__xludf.DUMMYFUNCTION("""COMPUTED_VALUE""")," ---")</f>
        <v> ---</v>
      </c>
      <c r="G708" s="4" t="str">
        <f>IFERROR(__xludf.DUMMYFUNCTION("""COMPUTED_VALUE"""),"SUSE Linux Enterprise Server 15 SP2")</f>
        <v>SUSE Linux Enterprise Server 15 SP2</v>
      </c>
      <c r="H708" s="7" t="str">
        <f t="shared" si="2"/>
        <v>NO</v>
      </c>
      <c r="I708" s="7" t="str">
        <f t="shared" si="3"/>
        <v>NO</v>
      </c>
    </row>
    <row r="709">
      <c r="A709" s="4">
        <f>IFERROR(__xludf.DUMMYFUNCTION("""COMPUTED_VALUE"""),1163912.0)</f>
        <v>1163912</v>
      </c>
      <c r="B709" s="4" t="str">
        <f>IFERROR(__xludf.DUMMYFUNCTION("""COMPUTED_VALUE"""),"P5 - None")</f>
        <v>P5 - None</v>
      </c>
      <c r="C709" s="5">
        <f>IFERROR(__xludf.DUMMYFUNCTION("""COMPUTED_VALUE"""),43878.535833333335)</f>
        <v>43878.53583</v>
      </c>
      <c r="D709" s="4" t="str">
        <f>IFERROR(__xludf.DUMMYFUNCTION("""COMPUTED_VALUE"""),"RESOLVED")</f>
        <v>RESOLVED</v>
      </c>
      <c r="E709" s="6">
        <f>IFERROR(__xludf.DUMMYFUNCTION("""COMPUTED_VALUE"""),44384.805752314816)</f>
        <v>44384.80575</v>
      </c>
      <c r="F709" s="4" t="str">
        <f>IFERROR(__xludf.DUMMYFUNCTION("""COMPUTED_VALUE""")," ---")</f>
        <v> ---</v>
      </c>
      <c r="G709" s="4" t="str">
        <f>IFERROR(__xludf.DUMMYFUNCTION("""COMPUTED_VALUE"""),"SUSE Linux Enterprise Server 15 SP2")</f>
        <v>SUSE Linux Enterprise Server 15 SP2</v>
      </c>
      <c r="H709" s="7" t="str">
        <f t="shared" si="2"/>
        <v>NO</v>
      </c>
      <c r="I709" s="7" t="str">
        <f t="shared" si="3"/>
        <v>NO</v>
      </c>
    </row>
    <row r="710">
      <c r="A710" s="4">
        <f>IFERROR(__xludf.DUMMYFUNCTION("""COMPUTED_VALUE"""),1163913.0)</f>
        <v>1163913</v>
      </c>
      <c r="B710" s="4" t="str">
        <f>IFERROR(__xludf.DUMMYFUNCTION("""COMPUTED_VALUE"""),"P5 - None")</f>
        <v>P5 - None</v>
      </c>
      <c r="C710" s="5">
        <f>IFERROR(__xludf.DUMMYFUNCTION("""COMPUTED_VALUE"""),43878.536631944444)</f>
        <v>43878.53663</v>
      </c>
      <c r="D710" s="4" t="str">
        <f>IFERROR(__xludf.DUMMYFUNCTION("""COMPUTED_VALUE"""),"RESOLVED")</f>
        <v>RESOLVED</v>
      </c>
      <c r="E710" s="6">
        <f>IFERROR(__xludf.DUMMYFUNCTION("""COMPUTED_VALUE"""),44384.80582175926)</f>
        <v>44384.80582</v>
      </c>
      <c r="F710" s="4" t="str">
        <f>IFERROR(__xludf.DUMMYFUNCTION("""COMPUTED_VALUE""")," ---")</f>
        <v> ---</v>
      </c>
      <c r="G710" s="4" t="str">
        <f>IFERROR(__xludf.DUMMYFUNCTION("""COMPUTED_VALUE"""),"SUSE Linux Enterprise Server 15 SP2")</f>
        <v>SUSE Linux Enterprise Server 15 SP2</v>
      </c>
      <c r="H710" s="7" t="str">
        <f t="shared" si="2"/>
        <v>NO</v>
      </c>
      <c r="I710" s="7" t="str">
        <f t="shared" si="3"/>
        <v>NO</v>
      </c>
    </row>
    <row r="711">
      <c r="A711" s="4">
        <f>IFERROR(__xludf.DUMMYFUNCTION("""COMPUTED_VALUE"""),1163915.0)</f>
        <v>1163915</v>
      </c>
      <c r="B711" s="4" t="str">
        <f>IFERROR(__xludf.DUMMYFUNCTION("""COMPUTED_VALUE"""),"P5 - None")</f>
        <v>P5 - None</v>
      </c>
      <c r="C711" s="5">
        <f>IFERROR(__xludf.DUMMYFUNCTION("""COMPUTED_VALUE"""),43878.53759259259)</f>
        <v>43878.53759</v>
      </c>
      <c r="D711" s="4" t="str">
        <f>IFERROR(__xludf.DUMMYFUNCTION("""COMPUTED_VALUE"""),"RESOLVED")</f>
        <v>RESOLVED</v>
      </c>
      <c r="E711" s="6">
        <f>IFERROR(__xludf.DUMMYFUNCTION("""COMPUTED_VALUE"""),44384.8058912037)</f>
        <v>44384.80589</v>
      </c>
      <c r="F711" s="4" t="str">
        <f>IFERROR(__xludf.DUMMYFUNCTION("""COMPUTED_VALUE""")," ---")</f>
        <v> ---</v>
      </c>
      <c r="G711" s="4" t="str">
        <f>IFERROR(__xludf.DUMMYFUNCTION("""COMPUTED_VALUE"""),"SUSE Linux Enterprise Server 15 SP2")</f>
        <v>SUSE Linux Enterprise Server 15 SP2</v>
      </c>
      <c r="H711" s="7" t="str">
        <f t="shared" si="2"/>
        <v>NO</v>
      </c>
      <c r="I711" s="7" t="str">
        <f t="shared" si="3"/>
        <v>NO</v>
      </c>
    </row>
    <row r="712">
      <c r="A712" s="4">
        <f>IFERROR(__xludf.DUMMYFUNCTION("""COMPUTED_VALUE"""),1163916.0)</f>
        <v>1163916</v>
      </c>
      <c r="B712" s="4" t="str">
        <f>IFERROR(__xludf.DUMMYFUNCTION("""COMPUTED_VALUE"""),"P5 - None")</f>
        <v>P5 - None</v>
      </c>
      <c r="C712" s="5">
        <f>IFERROR(__xludf.DUMMYFUNCTION("""COMPUTED_VALUE"""),43878.5378587963)</f>
        <v>43878.53786</v>
      </c>
      <c r="D712" s="4" t="str">
        <f>IFERROR(__xludf.DUMMYFUNCTION("""COMPUTED_VALUE"""),"RESOLVED")</f>
        <v>RESOLVED</v>
      </c>
      <c r="E712" s="6">
        <f>IFERROR(__xludf.DUMMYFUNCTION("""COMPUTED_VALUE"""),44384.80596064815)</f>
        <v>44384.80596</v>
      </c>
      <c r="F712" s="4" t="str">
        <f>IFERROR(__xludf.DUMMYFUNCTION("""COMPUTED_VALUE""")," ---")</f>
        <v> ---</v>
      </c>
      <c r="G712" s="4" t="str">
        <f>IFERROR(__xludf.DUMMYFUNCTION("""COMPUTED_VALUE"""),"SUSE Linux Enterprise Server 15 SP2")</f>
        <v>SUSE Linux Enterprise Server 15 SP2</v>
      </c>
      <c r="H712" s="7" t="str">
        <f t="shared" si="2"/>
        <v>NO</v>
      </c>
      <c r="I712" s="7" t="str">
        <f t="shared" si="3"/>
        <v>NO</v>
      </c>
    </row>
    <row r="713">
      <c r="A713" s="4">
        <f>IFERROR(__xludf.DUMMYFUNCTION("""COMPUTED_VALUE"""),1163917.0)</f>
        <v>1163917</v>
      </c>
      <c r="B713" s="4" t="str">
        <f>IFERROR(__xludf.DUMMYFUNCTION("""COMPUTED_VALUE"""),"P5 - None")</f>
        <v>P5 - None</v>
      </c>
      <c r="C713" s="5">
        <f>IFERROR(__xludf.DUMMYFUNCTION("""COMPUTED_VALUE"""),43878.53928240741)</f>
        <v>43878.53928</v>
      </c>
      <c r="D713" s="4" t="str">
        <f>IFERROR(__xludf.DUMMYFUNCTION("""COMPUTED_VALUE"""),"RESOLVED")</f>
        <v>RESOLVED</v>
      </c>
      <c r="E713" s="6">
        <f>IFERROR(__xludf.DUMMYFUNCTION("""COMPUTED_VALUE"""),44384.80603009259)</f>
        <v>44384.80603</v>
      </c>
      <c r="F713" s="4" t="str">
        <f>IFERROR(__xludf.DUMMYFUNCTION("""COMPUTED_VALUE""")," ---")</f>
        <v> ---</v>
      </c>
      <c r="G713" s="4" t="str">
        <f>IFERROR(__xludf.DUMMYFUNCTION("""COMPUTED_VALUE"""),"SUSE Linux Enterprise Server 15 SP2")</f>
        <v>SUSE Linux Enterprise Server 15 SP2</v>
      </c>
      <c r="H713" s="7" t="str">
        <f t="shared" si="2"/>
        <v>NO</v>
      </c>
      <c r="I713" s="7" t="str">
        <f t="shared" si="3"/>
        <v>NO</v>
      </c>
    </row>
    <row r="714">
      <c r="A714" s="4">
        <f>IFERROR(__xludf.DUMMYFUNCTION("""COMPUTED_VALUE"""),1163918.0)</f>
        <v>1163918</v>
      </c>
      <c r="B714" s="4" t="str">
        <f>IFERROR(__xludf.DUMMYFUNCTION("""COMPUTED_VALUE"""),"P5 - None")</f>
        <v>P5 - None</v>
      </c>
      <c r="C714" s="5">
        <f>IFERROR(__xludf.DUMMYFUNCTION("""COMPUTED_VALUE"""),43878.53958333333)</f>
        <v>43878.53958</v>
      </c>
      <c r="D714" s="4" t="str">
        <f>IFERROR(__xludf.DUMMYFUNCTION("""COMPUTED_VALUE"""),"RESOLVED")</f>
        <v>RESOLVED</v>
      </c>
      <c r="E714" s="6">
        <f>IFERROR(__xludf.DUMMYFUNCTION("""COMPUTED_VALUE"""),44384.80609953704)</f>
        <v>44384.8061</v>
      </c>
      <c r="F714" s="4" t="str">
        <f>IFERROR(__xludf.DUMMYFUNCTION("""COMPUTED_VALUE""")," ---")</f>
        <v> ---</v>
      </c>
      <c r="G714" s="4" t="str">
        <f>IFERROR(__xludf.DUMMYFUNCTION("""COMPUTED_VALUE"""),"SUSE Linux Enterprise Server 15 SP2")</f>
        <v>SUSE Linux Enterprise Server 15 SP2</v>
      </c>
      <c r="H714" s="7" t="str">
        <f t="shared" si="2"/>
        <v>NO</v>
      </c>
      <c r="I714" s="7" t="str">
        <f t="shared" si="3"/>
        <v>NO</v>
      </c>
    </row>
    <row r="715">
      <c r="A715" s="4">
        <f>IFERROR(__xludf.DUMMYFUNCTION("""COMPUTED_VALUE"""),1163919.0)</f>
        <v>1163919</v>
      </c>
      <c r="B715" s="4" t="str">
        <f>IFERROR(__xludf.DUMMYFUNCTION("""COMPUTED_VALUE"""),"P5 - None")</f>
        <v>P5 - None</v>
      </c>
      <c r="C715" s="5">
        <f>IFERROR(__xludf.DUMMYFUNCTION("""COMPUTED_VALUE"""),43878.54111111111)</f>
        <v>43878.54111</v>
      </c>
      <c r="D715" s="4" t="str">
        <f>IFERROR(__xludf.DUMMYFUNCTION("""COMPUTED_VALUE"""),"RESOLVED")</f>
        <v>RESOLVED</v>
      </c>
      <c r="E715" s="6">
        <f>IFERROR(__xludf.DUMMYFUNCTION("""COMPUTED_VALUE"""),44384.80616898148)</f>
        <v>44384.80617</v>
      </c>
      <c r="F715" s="4" t="str">
        <f>IFERROR(__xludf.DUMMYFUNCTION("""COMPUTED_VALUE""")," ---")</f>
        <v> ---</v>
      </c>
      <c r="G715" s="4" t="str">
        <f>IFERROR(__xludf.DUMMYFUNCTION("""COMPUTED_VALUE"""),"SUSE Linux Enterprise Server 15 SP2")</f>
        <v>SUSE Linux Enterprise Server 15 SP2</v>
      </c>
      <c r="H715" s="7" t="str">
        <f t="shared" si="2"/>
        <v>NO</v>
      </c>
      <c r="I715" s="7" t="str">
        <f t="shared" si="3"/>
        <v>NO</v>
      </c>
    </row>
    <row r="716">
      <c r="A716" s="4">
        <f>IFERROR(__xludf.DUMMYFUNCTION("""COMPUTED_VALUE"""),1163920.0)</f>
        <v>1163920</v>
      </c>
      <c r="B716" s="4" t="str">
        <f>IFERROR(__xludf.DUMMYFUNCTION("""COMPUTED_VALUE"""),"P5 - None")</f>
        <v>P5 - None</v>
      </c>
      <c r="C716" s="5">
        <f>IFERROR(__xludf.DUMMYFUNCTION("""COMPUTED_VALUE"""),43878.54152777778)</f>
        <v>43878.54153</v>
      </c>
      <c r="D716" s="4" t="str">
        <f>IFERROR(__xludf.DUMMYFUNCTION("""COMPUTED_VALUE"""),"RESOLVED")</f>
        <v>RESOLVED</v>
      </c>
      <c r="E716" s="6">
        <f>IFERROR(__xludf.DUMMYFUNCTION("""COMPUTED_VALUE"""),44384.806238425925)</f>
        <v>44384.80624</v>
      </c>
      <c r="F716" s="4" t="str">
        <f>IFERROR(__xludf.DUMMYFUNCTION("""COMPUTED_VALUE""")," ---")</f>
        <v> ---</v>
      </c>
      <c r="G716" s="4" t="str">
        <f>IFERROR(__xludf.DUMMYFUNCTION("""COMPUTED_VALUE"""),"SUSE Linux Enterprise Server 15 SP2")</f>
        <v>SUSE Linux Enterprise Server 15 SP2</v>
      </c>
      <c r="H716" s="7" t="str">
        <f t="shared" si="2"/>
        <v>NO</v>
      </c>
      <c r="I716" s="7" t="str">
        <f t="shared" si="3"/>
        <v>NO</v>
      </c>
    </row>
    <row r="717">
      <c r="A717" s="4">
        <f>IFERROR(__xludf.DUMMYFUNCTION("""COMPUTED_VALUE"""),1163921.0)</f>
        <v>1163921</v>
      </c>
      <c r="B717" s="4" t="str">
        <f>IFERROR(__xludf.DUMMYFUNCTION("""COMPUTED_VALUE"""),"P5 - None")</f>
        <v>P5 - None</v>
      </c>
      <c r="C717" s="5">
        <f>IFERROR(__xludf.DUMMYFUNCTION("""COMPUTED_VALUE"""),43878.54175925926)</f>
        <v>43878.54176</v>
      </c>
      <c r="D717" s="4" t="str">
        <f>IFERROR(__xludf.DUMMYFUNCTION("""COMPUTED_VALUE"""),"RESOLVED")</f>
        <v>RESOLVED</v>
      </c>
      <c r="E717" s="6">
        <f>IFERROR(__xludf.DUMMYFUNCTION("""COMPUTED_VALUE"""),44384.80630787037)</f>
        <v>44384.80631</v>
      </c>
      <c r="F717" s="4" t="str">
        <f>IFERROR(__xludf.DUMMYFUNCTION("""COMPUTED_VALUE""")," ---")</f>
        <v> ---</v>
      </c>
      <c r="G717" s="4" t="str">
        <f>IFERROR(__xludf.DUMMYFUNCTION("""COMPUTED_VALUE"""),"SUSE Linux Enterprise Server 15 SP2")</f>
        <v>SUSE Linux Enterprise Server 15 SP2</v>
      </c>
      <c r="H717" s="7" t="str">
        <f t="shared" si="2"/>
        <v>NO</v>
      </c>
      <c r="I717" s="7" t="str">
        <f t="shared" si="3"/>
        <v>NO</v>
      </c>
    </row>
    <row r="718">
      <c r="A718" s="4">
        <f>IFERROR(__xludf.DUMMYFUNCTION("""COMPUTED_VALUE"""),1163984.0)</f>
        <v>1163984</v>
      </c>
      <c r="B718" s="4" t="str">
        <f>IFERROR(__xludf.DUMMYFUNCTION("""COMPUTED_VALUE"""),"P5 - None")</f>
        <v>P5 - None</v>
      </c>
      <c r="C718" s="5">
        <f>IFERROR(__xludf.DUMMYFUNCTION("""COMPUTED_VALUE"""),43878.71996527778)</f>
        <v>43878.71997</v>
      </c>
      <c r="D718" s="4" t="str">
        <f>IFERROR(__xludf.DUMMYFUNCTION("""COMPUTED_VALUE"""),"RESOLVED")</f>
        <v>RESOLVED</v>
      </c>
      <c r="E718" s="6">
        <f>IFERROR(__xludf.DUMMYFUNCTION("""COMPUTED_VALUE"""),44384.80645833333)</f>
        <v>44384.80646</v>
      </c>
      <c r="F718" s="4" t="str">
        <f>IFERROR(__xludf.DUMMYFUNCTION("""COMPUTED_VALUE""")," ---")</f>
        <v> ---</v>
      </c>
      <c r="G718" s="4" t="str">
        <f>IFERROR(__xludf.DUMMYFUNCTION("""COMPUTED_VALUE"""),"SUSE Linux Enterprise Server 15 SP2")</f>
        <v>SUSE Linux Enterprise Server 15 SP2</v>
      </c>
      <c r="H718" s="7" t="str">
        <f t="shared" si="2"/>
        <v>NO</v>
      </c>
      <c r="I718" s="7" t="str">
        <f t="shared" si="3"/>
        <v>NO</v>
      </c>
    </row>
    <row r="719">
      <c r="A719" s="4">
        <f>IFERROR(__xludf.DUMMYFUNCTION("""COMPUTED_VALUE"""),1164276.0)</f>
        <v>1164276</v>
      </c>
      <c r="B719" s="4" t="str">
        <f>IFERROR(__xludf.DUMMYFUNCTION("""COMPUTED_VALUE"""),"P5 - None")</f>
        <v>P5 - None</v>
      </c>
      <c r="C719" s="5">
        <f>IFERROR(__xludf.DUMMYFUNCTION("""COMPUTED_VALUE"""),43880.39957175926)</f>
        <v>43880.39957</v>
      </c>
      <c r="D719" s="4" t="str">
        <f>IFERROR(__xludf.DUMMYFUNCTION("""COMPUTED_VALUE"""),"RESOLVED")</f>
        <v>RESOLVED</v>
      </c>
      <c r="E719" s="6">
        <f>IFERROR(__xludf.DUMMYFUNCTION("""COMPUTED_VALUE"""),44384.811631944445)</f>
        <v>44384.81163</v>
      </c>
      <c r="F719" s="4" t="str">
        <f>IFERROR(__xludf.DUMMYFUNCTION("""COMPUTED_VALUE""")," ---")</f>
        <v> ---</v>
      </c>
      <c r="G719" s="4" t="str">
        <f>IFERROR(__xludf.DUMMYFUNCTION("""COMPUTED_VALUE"""),"SUSE Linux Enterprise Server 15 SP2")</f>
        <v>SUSE Linux Enterprise Server 15 SP2</v>
      </c>
      <c r="H719" s="7" t="str">
        <f t="shared" si="2"/>
        <v>NO</v>
      </c>
      <c r="I719" s="7" t="str">
        <f t="shared" si="3"/>
        <v>NO</v>
      </c>
    </row>
    <row r="720">
      <c r="A720" s="4">
        <f>IFERROR(__xludf.DUMMYFUNCTION("""COMPUTED_VALUE"""),1164284.0)</f>
        <v>1164284</v>
      </c>
      <c r="B720" s="4" t="str">
        <f>IFERROR(__xludf.DUMMYFUNCTION("""COMPUTED_VALUE"""),"P5 - None")</f>
        <v>P5 - None</v>
      </c>
      <c r="C720" s="5">
        <f>IFERROR(__xludf.DUMMYFUNCTION("""COMPUTED_VALUE"""),43880.43398148148)</f>
        <v>43880.43398</v>
      </c>
      <c r="D720" s="4" t="str">
        <f>IFERROR(__xludf.DUMMYFUNCTION("""COMPUTED_VALUE"""),"RESOLVED")</f>
        <v>RESOLVED</v>
      </c>
      <c r="E720" s="6">
        <f>IFERROR(__xludf.DUMMYFUNCTION("""COMPUTED_VALUE"""),44624.91868055556)</f>
        <v>44624.91868</v>
      </c>
      <c r="F720" s="4" t="str">
        <f>IFERROR(__xludf.DUMMYFUNCTION("""COMPUTED_VALUE""")," ---")</f>
        <v> ---</v>
      </c>
      <c r="G720" s="4" t="str">
        <f>IFERROR(__xludf.DUMMYFUNCTION("""COMPUTED_VALUE"""),"SUSE Linux Enterprise Server 15 SP2")</f>
        <v>SUSE Linux Enterprise Server 15 SP2</v>
      </c>
      <c r="H720" s="7" t="str">
        <f t="shared" si="2"/>
        <v>NO</v>
      </c>
      <c r="I720" s="7" t="str">
        <f t="shared" si="3"/>
        <v>NO</v>
      </c>
    </row>
    <row r="721">
      <c r="A721" s="4">
        <f>IFERROR(__xludf.DUMMYFUNCTION("""COMPUTED_VALUE"""),1164285.0)</f>
        <v>1164285</v>
      </c>
      <c r="B721" s="4" t="str">
        <f>IFERROR(__xludf.DUMMYFUNCTION("""COMPUTED_VALUE"""),"P5 - None")</f>
        <v>P5 - None</v>
      </c>
      <c r="C721" s="5">
        <f>IFERROR(__xludf.DUMMYFUNCTION("""COMPUTED_VALUE"""),43880.4350462963)</f>
        <v>43880.43505</v>
      </c>
      <c r="D721" s="4" t="str">
        <f>IFERROR(__xludf.DUMMYFUNCTION("""COMPUTED_VALUE"""),"RESOLVED")</f>
        <v>RESOLVED</v>
      </c>
      <c r="E721" s="6">
        <f>IFERROR(__xludf.DUMMYFUNCTION("""COMPUTED_VALUE"""),44384.81170138889)</f>
        <v>44384.8117</v>
      </c>
      <c r="F721" s="4" t="str">
        <f>IFERROR(__xludf.DUMMYFUNCTION("""COMPUTED_VALUE""")," ---")</f>
        <v> ---</v>
      </c>
      <c r="G721" s="4" t="str">
        <f>IFERROR(__xludf.DUMMYFUNCTION("""COMPUTED_VALUE"""),"SUSE Linux Enterprise Server 15 SP2")</f>
        <v>SUSE Linux Enterprise Server 15 SP2</v>
      </c>
      <c r="H721" s="7" t="str">
        <f t="shared" si="2"/>
        <v>NO</v>
      </c>
      <c r="I721" s="7" t="str">
        <f t="shared" si="3"/>
        <v>NO</v>
      </c>
    </row>
    <row r="722">
      <c r="A722" s="4">
        <f>IFERROR(__xludf.DUMMYFUNCTION("""COMPUTED_VALUE"""),1166859.0)</f>
        <v>1166859</v>
      </c>
      <c r="B722" s="4" t="str">
        <f>IFERROR(__xludf.DUMMYFUNCTION("""COMPUTED_VALUE"""),"P5 - None")</f>
        <v>P5 - None</v>
      </c>
      <c r="C722" s="5">
        <f>IFERROR(__xludf.DUMMYFUNCTION("""COMPUTED_VALUE"""),43907.67171296296)</f>
        <v>43907.67171</v>
      </c>
      <c r="D722" s="4" t="str">
        <f>IFERROR(__xludf.DUMMYFUNCTION("""COMPUTED_VALUE"""),"RESOLVED")</f>
        <v>RESOLVED</v>
      </c>
      <c r="E722" s="6">
        <f>IFERROR(__xludf.DUMMYFUNCTION("""COMPUTED_VALUE"""),44384.82105324074)</f>
        <v>44384.82105</v>
      </c>
      <c r="F722" s="4" t="str">
        <f>IFERROR(__xludf.DUMMYFUNCTION("""COMPUTED_VALUE""")," ---")</f>
        <v> ---</v>
      </c>
      <c r="G722" s="4" t="str">
        <f>IFERROR(__xludf.DUMMYFUNCTION("""COMPUTED_VALUE"""),"SUSE Linux Enterprise Server 15 SP2")</f>
        <v>SUSE Linux Enterprise Server 15 SP2</v>
      </c>
      <c r="H722" s="7" t="str">
        <f t="shared" si="2"/>
        <v>NO</v>
      </c>
      <c r="I722" s="7" t="str">
        <f t="shared" si="3"/>
        <v>NO</v>
      </c>
    </row>
    <row r="723">
      <c r="A723" s="4">
        <f>IFERROR(__xludf.DUMMYFUNCTION("""COMPUTED_VALUE"""),1166860.0)</f>
        <v>1166860</v>
      </c>
      <c r="B723" s="4" t="str">
        <f>IFERROR(__xludf.DUMMYFUNCTION("""COMPUTED_VALUE"""),"P5 - None")</f>
        <v>P5 - None</v>
      </c>
      <c r="C723" s="5">
        <f>IFERROR(__xludf.DUMMYFUNCTION("""COMPUTED_VALUE"""),43907.67351851852)</f>
        <v>43907.67352</v>
      </c>
      <c r="D723" s="4" t="str">
        <f>IFERROR(__xludf.DUMMYFUNCTION("""COMPUTED_VALUE"""),"RESOLVED")</f>
        <v>RESOLVED</v>
      </c>
      <c r="E723" s="6">
        <f>IFERROR(__xludf.DUMMYFUNCTION("""COMPUTED_VALUE"""),44624.920381944445)</f>
        <v>44624.92038</v>
      </c>
      <c r="F723" s="4" t="str">
        <f>IFERROR(__xludf.DUMMYFUNCTION("""COMPUTED_VALUE""")," ---")</f>
        <v> ---</v>
      </c>
      <c r="G723" s="4" t="str">
        <f>IFERROR(__xludf.DUMMYFUNCTION("""COMPUTED_VALUE"""),"SUSE Linux Enterprise Server 15 SP2")</f>
        <v>SUSE Linux Enterprise Server 15 SP2</v>
      </c>
      <c r="H723" s="7" t="str">
        <f t="shared" si="2"/>
        <v>NO</v>
      </c>
      <c r="I723" s="7" t="str">
        <f t="shared" si="3"/>
        <v>NO</v>
      </c>
    </row>
    <row r="724">
      <c r="A724" s="4">
        <f>IFERROR(__xludf.DUMMYFUNCTION("""COMPUTED_VALUE"""),1166861.0)</f>
        <v>1166861</v>
      </c>
      <c r="B724" s="4" t="str">
        <f>IFERROR(__xludf.DUMMYFUNCTION("""COMPUTED_VALUE"""),"P5 - None")</f>
        <v>P5 - None</v>
      </c>
      <c r="C724" s="5">
        <f>IFERROR(__xludf.DUMMYFUNCTION("""COMPUTED_VALUE"""),43907.67390046296)</f>
        <v>43907.6739</v>
      </c>
      <c r="D724" s="4" t="str">
        <f>IFERROR(__xludf.DUMMYFUNCTION("""COMPUTED_VALUE"""),"RESOLVED")</f>
        <v>RESOLVED</v>
      </c>
      <c r="E724" s="6">
        <f>IFERROR(__xludf.DUMMYFUNCTION("""COMPUTED_VALUE"""),44624.92041666667)</f>
        <v>44624.92042</v>
      </c>
      <c r="F724" s="4" t="str">
        <f>IFERROR(__xludf.DUMMYFUNCTION("""COMPUTED_VALUE""")," ---")</f>
        <v> ---</v>
      </c>
      <c r="G724" s="4" t="str">
        <f>IFERROR(__xludf.DUMMYFUNCTION("""COMPUTED_VALUE"""),"SUSE Linux Enterprise Server 15 SP2")</f>
        <v>SUSE Linux Enterprise Server 15 SP2</v>
      </c>
      <c r="H724" s="7" t="str">
        <f t="shared" si="2"/>
        <v>NO</v>
      </c>
      <c r="I724" s="7" t="str">
        <f t="shared" si="3"/>
        <v>NO</v>
      </c>
    </row>
    <row r="725">
      <c r="A725" s="4">
        <f>IFERROR(__xludf.DUMMYFUNCTION("""COMPUTED_VALUE"""),1166862.0)</f>
        <v>1166862</v>
      </c>
      <c r="B725" s="4" t="str">
        <f>IFERROR(__xludf.DUMMYFUNCTION("""COMPUTED_VALUE"""),"P5 - None")</f>
        <v>P5 - None</v>
      </c>
      <c r="C725" s="5">
        <f>IFERROR(__xludf.DUMMYFUNCTION("""COMPUTED_VALUE"""),43907.67420138889)</f>
        <v>43907.6742</v>
      </c>
      <c r="D725" s="4" t="str">
        <f>IFERROR(__xludf.DUMMYFUNCTION("""COMPUTED_VALUE"""),"RESOLVED")</f>
        <v>RESOLVED</v>
      </c>
      <c r="E725" s="6">
        <f>IFERROR(__xludf.DUMMYFUNCTION("""COMPUTED_VALUE"""),44624.92046296296)</f>
        <v>44624.92046</v>
      </c>
      <c r="F725" s="4" t="str">
        <f>IFERROR(__xludf.DUMMYFUNCTION("""COMPUTED_VALUE""")," ---")</f>
        <v> ---</v>
      </c>
      <c r="G725" s="4" t="str">
        <f>IFERROR(__xludf.DUMMYFUNCTION("""COMPUTED_VALUE"""),"SUSE Linux Enterprise Server 15 SP2")</f>
        <v>SUSE Linux Enterprise Server 15 SP2</v>
      </c>
      <c r="H725" s="7" t="str">
        <f t="shared" si="2"/>
        <v>NO</v>
      </c>
      <c r="I725" s="7" t="str">
        <f t="shared" si="3"/>
        <v>NO</v>
      </c>
    </row>
    <row r="726">
      <c r="A726" s="4">
        <f>IFERROR(__xludf.DUMMYFUNCTION("""COMPUTED_VALUE"""),1166864.0)</f>
        <v>1166864</v>
      </c>
      <c r="B726" s="4" t="str">
        <f>IFERROR(__xludf.DUMMYFUNCTION("""COMPUTED_VALUE"""),"P5 - None")</f>
        <v>P5 - None</v>
      </c>
      <c r="C726" s="5">
        <f>IFERROR(__xludf.DUMMYFUNCTION("""COMPUTED_VALUE"""),43907.67450231482)</f>
        <v>43907.6745</v>
      </c>
      <c r="D726" s="4" t="str">
        <f>IFERROR(__xludf.DUMMYFUNCTION("""COMPUTED_VALUE"""),"RESOLVED")</f>
        <v>RESOLVED</v>
      </c>
      <c r="E726" s="6">
        <f>IFERROR(__xludf.DUMMYFUNCTION("""COMPUTED_VALUE"""),44624.92049768518)</f>
        <v>44624.9205</v>
      </c>
      <c r="F726" s="4" t="str">
        <f>IFERROR(__xludf.DUMMYFUNCTION("""COMPUTED_VALUE""")," ---")</f>
        <v> ---</v>
      </c>
      <c r="G726" s="4" t="str">
        <f>IFERROR(__xludf.DUMMYFUNCTION("""COMPUTED_VALUE"""),"SUSE Linux Enterprise Server 15 SP2")</f>
        <v>SUSE Linux Enterprise Server 15 SP2</v>
      </c>
      <c r="H726" s="7" t="str">
        <f t="shared" si="2"/>
        <v>NO</v>
      </c>
      <c r="I726" s="7" t="str">
        <f t="shared" si="3"/>
        <v>NO</v>
      </c>
    </row>
    <row r="727">
      <c r="A727" s="4">
        <f>IFERROR(__xludf.DUMMYFUNCTION("""COMPUTED_VALUE"""),1166866.0)</f>
        <v>1166866</v>
      </c>
      <c r="B727" s="4" t="str">
        <f>IFERROR(__xludf.DUMMYFUNCTION("""COMPUTED_VALUE"""),"P5 - None")</f>
        <v>P5 - None</v>
      </c>
      <c r="C727" s="5">
        <f>IFERROR(__xludf.DUMMYFUNCTION("""COMPUTED_VALUE"""),43907.67545138889)</f>
        <v>43907.67545</v>
      </c>
      <c r="D727" s="4" t="str">
        <f>IFERROR(__xludf.DUMMYFUNCTION("""COMPUTED_VALUE"""),"RESOLVED")</f>
        <v>RESOLVED</v>
      </c>
      <c r="E727" s="6">
        <f>IFERROR(__xludf.DUMMYFUNCTION("""COMPUTED_VALUE"""),44624.92053240741)</f>
        <v>44624.92053</v>
      </c>
      <c r="F727" s="4" t="str">
        <f>IFERROR(__xludf.DUMMYFUNCTION("""COMPUTED_VALUE""")," ---")</f>
        <v> ---</v>
      </c>
      <c r="G727" s="4" t="str">
        <f>IFERROR(__xludf.DUMMYFUNCTION("""COMPUTED_VALUE"""),"SUSE Linux Enterprise Server 15 SP2")</f>
        <v>SUSE Linux Enterprise Server 15 SP2</v>
      </c>
      <c r="H727" s="7" t="str">
        <f t="shared" si="2"/>
        <v>NO</v>
      </c>
      <c r="I727" s="7" t="str">
        <f t="shared" si="3"/>
        <v>NO</v>
      </c>
    </row>
    <row r="728">
      <c r="A728" s="4">
        <f>IFERROR(__xludf.DUMMYFUNCTION("""COMPUTED_VALUE"""),1166867.0)</f>
        <v>1166867</v>
      </c>
      <c r="B728" s="4" t="str">
        <f>IFERROR(__xludf.DUMMYFUNCTION("""COMPUTED_VALUE"""),"P5 - None")</f>
        <v>P5 - None</v>
      </c>
      <c r="C728" s="5">
        <f>IFERROR(__xludf.DUMMYFUNCTION("""COMPUTED_VALUE"""),43907.67613425926)</f>
        <v>43907.67613</v>
      </c>
      <c r="D728" s="4" t="str">
        <f>IFERROR(__xludf.DUMMYFUNCTION("""COMPUTED_VALUE"""),"RESOLVED")</f>
        <v>RESOLVED</v>
      </c>
      <c r="E728" s="6">
        <f>IFERROR(__xludf.DUMMYFUNCTION("""COMPUTED_VALUE"""),44624.920578703706)</f>
        <v>44624.92058</v>
      </c>
      <c r="F728" s="4" t="str">
        <f>IFERROR(__xludf.DUMMYFUNCTION("""COMPUTED_VALUE""")," ---")</f>
        <v> ---</v>
      </c>
      <c r="G728" s="4" t="str">
        <f>IFERROR(__xludf.DUMMYFUNCTION("""COMPUTED_VALUE"""),"SUSE Linux Enterprise Server 15 SP2")</f>
        <v>SUSE Linux Enterprise Server 15 SP2</v>
      </c>
      <c r="H728" s="7" t="str">
        <f t="shared" si="2"/>
        <v>NO</v>
      </c>
      <c r="I728" s="7" t="str">
        <f t="shared" si="3"/>
        <v>NO</v>
      </c>
    </row>
    <row r="729">
      <c r="A729" s="4">
        <f>IFERROR(__xludf.DUMMYFUNCTION("""COMPUTED_VALUE"""),1166868.0)</f>
        <v>1166868</v>
      </c>
      <c r="B729" s="4" t="str">
        <f>IFERROR(__xludf.DUMMYFUNCTION("""COMPUTED_VALUE"""),"P5 - None")</f>
        <v>P5 - None</v>
      </c>
      <c r="C729" s="5">
        <f>IFERROR(__xludf.DUMMYFUNCTION("""COMPUTED_VALUE"""),43907.6771875)</f>
        <v>43907.67719</v>
      </c>
      <c r="D729" s="4" t="str">
        <f>IFERROR(__xludf.DUMMYFUNCTION("""COMPUTED_VALUE"""),"RESOLVED")</f>
        <v>RESOLVED</v>
      </c>
      <c r="E729" s="6">
        <f>IFERROR(__xludf.DUMMYFUNCTION("""COMPUTED_VALUE"""),44624.92061342593)</f>
        <v>44624.92061</v>
      </c>
      <c r="F729" s="4" t="str">
        <f>IFERROR(__xludf.DUMMYFUNCTION("""COMPUTED_VALUE""")," ---")</f>
        <v> ---</v>
      </c>
      <c r="G729" s="4" t="str">
        <f>IFERROR(__xludf.DUMMYFUNCTION("""COMPUTED_VALUE"""),"SUSE Linux Enterprise Server 15 SP2")</f>
        <v>SUSE Linux Enterprise Server 15 SP2</v>
      </c>
      <c r="H729" s="7" t="str">
        <f t="shared" si="2"/>
        <v>NO</v>
      </c>
      <c r="I729" s="7" t="str">
        <f t="shared" si="3"/>
        <v>NO</v>
      </c>
    </row>
    <row r="730">
      <c r="A730" s="4">
        <f>IFERROR(__xludf.DUMMYFUNCTION("""COMPUTED_VALUE"""),1166870.0)</f>
        <v>1166870</v>
      </c>
      <c r="B730" s="4" t="str">
        <f>IFERROR(__xludf.DUMMYFUNCTION("""COMPUTED_VALUE"""),"P5 - None")</f>
        <v>P5 - None</v>
      </c>
      <c r="C730" s="5">
        <f>IFERROR(__xludf.DUMMYFUNCTION("""COMPUTED_VALUE"""),43907.67747685185)</f>
        <v>43907.67748</v>
      </c>
      <c r="D730" s="4" t="str">
        <f>IFERROR(__xludf.DUMMYFUNCTION("""COMPUTED_VALUE"""),"RESOLVED")</f>
        <v>RESOLVED</v>
      </c>
      <c r="E730" s="6">
        <f>IFERROR(__xludf.DUMMYFUNCTION("""COMPUTED_VALUE"""),44624.920648148145)</f>
        <v>44624.92065</v>
      </c>
      <c r="F730" s="4" t="str">
        <f>IFERROR(__xludf.DUMMYFUNCTION("""COMPUTED_VALUE""")," ---")</f>
        <v> ---</v>
      </c>
      <c r="G730" s="4" t="str">
        <f>IFERROR(__xludf.DUMMYFUNCTION("""COMPUTED_VALUE"""),"SUSE Linux Enterprise Server 15 SP2")</f>
        <v>SUSE Linux Enterprise Server 15 SP2</v>
      </c>
      <c r="H730" s="7" t="str">
        <f t="shared" si="2"/>
        <v>NO</v>
      </c>
      <c r="I730" s="7" t="str">
        <f t="shared" si="3"/>
        <v>NO</v>
      </c>
    </row>
    <row r="731">
      <c r="A731" s="4">
        <f>IFERROR(__xludf.DUMMYFUNCTION("""COMPUTED_VALUE"""),1166871.0)</f>
        <v>1166871</v>
      </c>
      <c r="B731" s="4" t="str">
        <f>IFERROR(__xludf.DUMMYFUNCTION("""COMPUTED_VALUE"""),"P5 - None")</f>
        <v>P5 - None</v>
      </c>
      <c r="C731" s="5">
        <f>IFERROR(__xludf.DUMMYFUNCTION("""COMPUTED_VALUE"""),43907.68237268519)</f>
        <v>43907.68237</v>
      </c>
      <c r="D731" s="4" t="str">
        <f>IFERROR(__xludf.DUMMYFUNCTION("""COMPUTED_VALUE"""),"RESOLVED")</f>
        <v>RESOLVED</v>
      </c>
      <c r="E731" s="6">
        <f>IFERROR(__xludf.DUMMYFUNCTION("""COMPUTED_VALUE"""),44384.821122685185)</f>
        <v>44384.82112</v>
      </c>
      <c r="F731" s="4" t="str">
        <f>IFERROR(__xludf.DUMMYFUNCTION("""COMPUTED_VALUE""")," ---")</f>
        <v> ---</v>
      </c>
      <c r="G731" s="4" t="str">
        <f>IFERROR(__xludf.DUMMYFUNCTION("""COMPUTED_VALUE"""),"SUSE Linux Enterprise Server 15 SP2")</f>
        <v>SUSE Linux Enterprise Server 15 SP2</v>
      </c>
      <c r="H731" s="7" t="str">
        <f t="shared" si="2"/>
        <v>NO</v>
      </c>
      <c r="I731" s="7" t="str">
        <f t="shared" si="3"/>
        <v>NO</v>
      </c>
    </row>
    <row r="732">
      <c r="A732" s="4">
        <f>IFERROR(__xludf.DUMMYFUNCTION("""COMPUTED_VALUE"""),1166872.0)</f>
        <v>1166872</v>
      </c>
      <c r="B732" s="4" t="str">
        <f>IFERROR(__xludf.DUMMYFUNCTION("""COMPUTED_VALUE"""),"P5 - None")</f>
        <v>P5 - None</v>
      </c>
      <c r="C732" s="5">
        <f>IFERROR(__xludf.DUMMYFUNCTION("""COMPUTED_VALUE"""),43907.68282407407)</f>
        <v>43907.68282</v>
      </c>
      <c r="D732" s="4" t="str">
        <f>IFERROR(__xludf.DUMMYFUNCTION("""COMPUTED_VALUE"""),"RESOLVED")</f>
        <v>RESOLVED</v>
      </c>
      <c r="E732" s="6">
        <f>IFERROR(__xludf.DUMMYFUNCTION("""COMPUTED_VALUE"""),44384.82119212963)</f>
        <v>44384.82119</v>
      </c>
      <c r="F732" s="4" t="str">
        <f>IFERROR(__xludf.DUMMYFUNCTION("""COMPUTED_VALUE""")," ---")</f>
        <v> ---</v>
      </c>
      <c r="G732" s="4" t="str">
        <f>IFERROR(__xludf.DUMMYFUNCTION("""COMPUTED_VALUE"""),"SUSE Linux Enterprise Server 15 SP2")</f>
        <v>SUSE Linux Enterprise Server 15 SP2</v>
      </c>
      <c r="H732" s="7" t="str">
        <f t="shared" si="2"/>
        <v>NO</v>
      </c>
      <c r="I732" s="7" t="str">
        <f t="shared" si="3"/>
        <v>NO</v>
      </c>
    </row>
    <row r="733">
      <c r="A733" s="4">
        <f>IFERROR(__xludf.DUMMYFUNCTION("""COMPUTED_VALUE"""),1166874.0)</f>
        <v>1166874</v>
      </c>
      <c r="B733" s="4" t="str">
        <f>IFERROR(__xludf.DUMMYFUNCTION("""COMPUTED_VALUE"""),"P5 - None")</f>
        <v>P5 - None</v>
      </c>
      <c r="C733" s="5">
        <f>IFERROR(__xludf.DUMMYFUNCTION("""COMPUTED_VALUE"""),43907.68314814815)</f>
        <v>43907.68315</v>
      </c>
      <c r="D733" s="4" t="str">
        <f>IFERROR(__xludf.DUMMYFUNCTION("""COMPUTED_VALUE"""),"RESOLVED")</f>
        <v>RESOLVED</v>
      </c>
      <c r="E733" s="6">
        <f>IFERROR(__xludf.DUMMYFUNCTION("""COMPUTED_VALUE"""),44384.82127314815)</f>
        <v>44384.82127</v>
      </c>
      <c r="F733" s="4" t="str">
        <f>IFERROR(__xludf.DUMMYFUNCTION("""COMPUTED_VALUE""")," ---")</f>
        <v> ---</v>
      </c>
      <c r="G733" s="4" t="str">
        <f>IFERROR(__xludf.DUMMYFUNCTION("""COMPUTED_VALUE"""),"SUSE Linux Enterprise Server 15 SP2")</f>
        <v>SUSE Linux Enterprise Server 15 SP2</v>
      </c>
      <c r="H733" s="7" t="str">
        <f t="shared" si="2"/>
        <v>NO</v>
      </c>
      <c r="I733" s="7" t="str">
        <f t="shared" si="3"/>
        <v>NO</v>
      </c>
    </row>
    <row r="734">
      <c r="A734" s="4">
        <f>IFERROR(__xludf.DUMMYFUNCTION("""COMPUTED_VALUE"""),1166875.0)</f>
        <v>1166875</v>
      </c>
      <c r="B734" s="4" t="str">
        <f>IFERROR(__xludf.DUMMYFUNCTION("""COMPUTED_VALUE"""),"P5 - None")</f>
        <v>P5 - None</v>
      </c>
      <c r="C734" s="5">
        <f>IFERROR(__xludf.DUMMYFUNCTION("""COMPUTED_VALUE"""),43907.683657407404)</f>
        <v>43907.68366</v>
      </c>
      <c r="D734" s="4" t="str">
        <f>IFERROR(__xludf.DUMMYFUNCTION("""COMPUTED_VALUE"""),"RESOLVED")</f>
        <v>RESOLVED</v>
      </c>
      <c r="E734" s="6">
        <f>IFERROR(__xludf.DUMMYFUNCTION("""COMPUTED_VALUE"""),44384.82134259259)</f>
        <v>44384.82134</v>
      </c>
      <c r="F734" s="4" t="str">
        <f>IFERROR(__xludf.DUMMYFUNCTION("""COMPUTED_VALUE""")," ---")</f>
        <v> ---</v>
      </c>
      <c r="G734" s="4" t="str">
        <f>IFERROR(__xludf.DUMMYFUNCTION("""COMPUTED_VALUE"""),"SUSE Linux Enterprise Server 15 SP2")</f>
        <v>SUSE Linux Enterprise Server 15 SP2</v>
      </c>
      <c r="H734" s="7" t="str">
        <f t="shared" si="2"/>
        <v>NO</v>
      </c>
      <c r="I734" s="7" t="str">
        <f t="shared" si="3"/>
        <v>NO</v>
      </c>
    </row>
    <row r="735">
      <c r="A735" s="4">
        <f>IFERROR(__xludf.DUMMYFUNCTION("""COMPUTED_VALUE"""),1166876.0)</f>
        <v>1166876</v>
      </c>
      <c r="B735" s="4" t="str">
        <f>IFERROR(__xludf.DUMMYFUNCTION("""COMPUTED_VALUE"""),"P5 - None")</f>
        <v>P5 - None</v>
      </c>
      <c r="C735" s="5">
        <f>IFERROR(__xludf.DUMMYFUNCTION("""COMPUTED_VALUE"""),43907.684745370374)</f>
        <v>43907.68475</v>
      </c>
      <c r="D735" s="4" t="str">
        <f>IFERROR(__xludf.DUMMYFUNCTION("""COMPUTED_VALUE"""),"RESOLVED")</f>
        <v>RESOLVED</v>
      </c>
      <c r="E735" s="6">
        <f>IFERROR(__xludf.DUMMYFUNCTION("""COMPUTED_VALUE"""),44384.82141203704)</f>
        <v>44384.82141</v>
      </c>
      <c r="F735" s="4" t="str">
        <f>IFERROR(__xludf.DUMMYFUNCTION("""COMPUTED_VALUE""")," ---")</f>
        <v> ---</v>
      </c>
      <c r="G735" s="4" t="str">
        <f>IFERROR(__xludf.DUMMYFUNCTION("""COMPUTED_VALUE"""),"SUSE Linux Enterprise Server 15 SP2")</f>
        <v>SUSE Linux Enterprise Server 15 SP2</v>
      </c>
      <c r="H735" s="7" t="str">
        <f t="shared" si="2"/>
        <v>NO</v>
      </c>
      <c r="I735" s="7" t="str">
        <f t="shared" si="3"/>
        <v>NO</v>
      </c>
    </row>
    <row r="736">
      <c r="A736" s="4">
        <f>IFERROR(__xludf.DUMMYFUNCTION("""COMPUTED_VALUE"""),1166877.0)</f>
        <v>1166877</v>
      </c>
      <c r="B736" s="4" t="str">
        <f>IFERROR(__xludf.DUMMYFUNCTION("""COMPUTED_VALUE"""),"P5 - None")</f>
        <v>P5 - None</v>
      </c>
      <c r="C736" s="5">
        <f>IFERROR(__xludf.DUMMYFUNCTION("""COMPUTED_VALUE"""),43907.68591435185)</f>
        <v>43907.68591</v>
      </c>
      <c r="D736" s="4" t="str">
        <f>IFERROR(__xludf.DUMMYFUNCTION("""COMPUTED_VALUE"""),"RESOLVED")</f>
        <v>RESOLVED</v>
      </c>
      <c r="E736" s="6">
        <f>IFERROR(__xludf.DUMMYFUNCTION("""COMPUTED_VALUE"""),43907.6859837963)</f>
        <v>43907.68598</v>
      </c>
      <c r="F736" s="4" t="str">
        <f>IFERROR(__xludf.DUMMYFUNCTION("""COMPUTED_VALUE""")," ---")</f>
        <v> ---</v>
      </c>
      <c r="G736" s="4" t="str">
        <f>IFERROR(__xludf.DUMMYFUNCTION("""COMPUTED_VALUE"""),"SUSE Linux Enterprise Server 15 SP2")</f>
        <v>SUSE Linux Enterprise Server 15 SP2</v>
      </c>
      <c r="H736" s="7" t="str">
        <f t="shared" si="2"/>
        <v>NO</v>
      </c>
      <c r="I736" s="7" t="str">
        <f t="shared" si="3"/>
        <v>NO</v>
      </c>
    </row>
    <row r="737">
      <c r="A737" s="4">
        <f>IFERROR(__xludf.DUMMYFUNCTION("""COMPUTED_VALUE"""),1166878.0)</f>
        <v>1166878</v>
      </c>
      <c r="B737" s="4" t="str">
        <f>IFERROR(__xludf.DUMMYFUNCTION("""COMPUTED_VALUE"""),"P5 - None")</f>
        <v>P5 - None</v>
      </c>
      <c r="C737" s="5">
        <f>IFERROR(__xludf.DUMMYFUNCTION("""COMPUTED_VALUE"""),43907.68662037037)</f>
        <v>43907.68662</v>
      </c>
      <c r="D737" s="4" t="str">
        <f>IFERROR(__xludf.DUMMYFUNCTION("""COMPUTED_VALUE"""),"RESOLVED")</f>
        <v>RESOLVED</v>
      </c>
      <c r="E737" s="6">
        <f>IFERROR(__xludf.DUMMYFUNCTION("""COMPUTED_VALUE"""),44384.82148148148)</f>
        <v>44384.82148</v>
      </c>
      <c r="F737" s="4" t="str">
        <f>IFERROR(__xludf.DUMMYFUNCTION("""COMPUTED_VALUE""")," ---")</f>
        <v> ---</v>
      </c>
      <c r="G737" s="4" t="str">
        <f>IFERROR(__xludf.DUMMYFUNCTION("""COMPUTED_VALUE"""),"SUSE Linux Enterprise Server 15 SP2")</f>
        <v>SUSE Linux Enterprise Server 15 SP2</v>
      </c>
      <c r="H737" s="7" t="str">
        <f t="shared" si="2"/>
        <v>NO</v>
      </c>
      <c r="I737" s="7" t="str">
        <f t="shared" si="3"/>
        <v>NO</v>
      </c>
    </row>
    <row r="738">
      <c r="A738" s="4">
        <f>IFERROR(__xludf.DUMMYFUNCTION("""COMPUTED_VALUE"""),1166940.0)</f>
        <v>1166940</v>
      </c>
      <c r="B738" s="4" t="str">
        <f>IFERROR(__xludf.DUMMYFUNCTION("""COMPUTED_VALUE"""),"P5 - None")</f>
        <v>P5 - None</v>
      </c>
      <c r="C738" s="5">
        <f>IFERROR(__xludf.DUMMYFUNCTION("""COMPUTED_VALUE"""),43908.38693287037)</f>
        <v>43908.38693</v>
      </c>
      <c r="D738" s="4" t="str">
        <f>IFERROR(__xludf.DUMMYFUNCTION("""COMPUTED_VALUE"""),"RESOLVED")</f>
        <v>RESOLVED</v>
      </c>
      <c r="E738" s="6">
        <f>IFERROR(__xludf.DUMMYFUNCTION("""COMPUTED_VALUE"""),44624.920694444445)</f>
        <v>44624.92069</v>
      </c>
      <c r="F738" s="4" t="str">
        <f>IFERROR(__xludf.DUMMYFUNCTION("""COMPUTED_VALUE""")," ---")</f>
        <v> ---</v>
      </c>
      <c r="G738" s="4" t="str">
        <f>IFERROR(__xludf.DUMMYFUNCTION("""COMPUTED_VALUE"""),"SUSE Linux Enterprise Server 15 SP2")</f>
        <v>SUSE Linux Enterprise Server 15 SP2</v>
      </c>
      <c r="H738" s="7" t="str">
        <f t="shared" si="2"/>
        <v>NO</v>
      </c>
      <c r="I738" s="7" t="str">
        <f t="shared" si="3"/>
        <v>NO</v>
      </c>
    </row>
    <row r="739">
      <c r="A739" s="4">
        <f>IFERROR(__xludf.DUMMYFUNCTION("""COMPUTED_VALUE"""),1168760.0)</f>
        <v>1168760</v>
      </c>
      <c r="B739" s="4" t="str">
        <f>IFERROR(__xludf.DUMMYFUNCTION("""COMPUTED_VALUE"""),"P5 - None")</f>
        <v>P5 - None</v>
      </c>
      <c r="C739" s="5">
        <f>IFERROR(__xludf.DUMMYFUNCTION("""COMPUTED_VALUE"""),43927.71564814815)</f>
        <v>43927.71565</v>
      </c>
      <c r="D739" s="4" t="str">
        <f>IFERROR(__xludf.DUMMYFUNCTION("""COMPUTED_VALUE"""),"RESOLVED")</f>
        <v>RESOLVED</v>
      </c>
      <c r="E739" s="6">
        <f>IFERROR(__xludf.DUMMYFUNCTION("""COMPUTED_VALUE"""),44624.92145833333)</f>
        <v>44624.92146</v>
      </c>
      <c r="F739" s="4" t="str">
        <f>IFERROR(__xludf.DUMMYFUNCTION("""COMPUTED_VALUE""")," ---")</f>
        <v> ---</v>
      </c>
      <c r="G739" s="4" t="str">
        <f>IFERROR(__xludf.DUMMYFUNCTION("""COMPUTED_VALUE"""),"SUSE Linux Enterprise Server 15 SP2")</f>
        <v>SUSE Linux Enterprise Server 15 SP2</v>
      </c>
      <c r="H739" s="7" t="str">
        <f t="shared" si="2"/>
        <v>NO</v>
      </c>
      <c r="I739" s="7" t="str">
        <f t="shared" si="3"/>
        <v>NO</v>
      </c>
    </row>
    <row r="740">
      <c r="A740" s="4">
        <f>IFERROR(__xludf.DUMMYFUNCTION("""COMPUTED_VALUE"""),1168761.0)</f>
        <v>1168761</v>
      </c>
      <c r="B740" s="4" t="str">
        <f>IFERROR(__xludf.DUMMYFUNCTION("""COMPUTED_VALUE"""),"P5 - None")</f>
        <v>P5 - None</v>
      </c>
      <c r="C740" s="5">
        <f>IFERROR(__xludf.DUMMYFUNCTION("""COMPUTED_VALUE"""),43927.71704861111)</f>
        <v>43927.71705</v>
      </c>
      <c r="D740" s="4" t="str">
        <f>IFERROR(__xludf.DUMMYFUNCTION("""COMPUTED_VALUE"""),"RESOLVED")</f>
        <v>RESOLVED</v>
      </c>
      <c r="E740" s="6">
        <f>IFERROR(__xludf.DUMMYFUNCTION("""COMPUTED_VALUE"""),44384.823912037034)</f>
        <v>44384.82391</v>
      </c>
      <c r="F740" s="4" t="str">
        <f>IFERROR(__xludf.DUMMYFUNCTION("""COMPUTED_VALUE""")," ---")</f>
        <v> ---</v>
      </c>
      <c r="G740" s="4" t="str">
        <f>IFERROR(__xludf.DUMMYFUNCTION("""COMPUTED_VALUE"""),"SUSE Linux Enterprise Server 15 SP2")</f>
        <v>SUSE Linux Enterprise Server 15 SP2</v>
      </c>
      <c r="H740" s="7" t="str">
        <f t="shared" si="2"/>
        <v>NO</v>
      </c>
      <c r="I740" s="7" t="str">
        <f t="shared" si="3"/>
        <v>NO</v>
      </c>
    </row>
    <row r="741">
      <c r="A741" s="4">
        <f>IFERROR(__xludf.DUMMYFUNCTION("""COMPUTED_VALUE"""),1168762.0)</f>
        <v>1168762</v>
      </c>
      <c r="B741" s="4" t="str">
        <f>IFERROR(__xludf.DUMMYFUNCTION("""COMPUTED_VALUE"""),"P5 - None")</f>
        <v>P5 - None</v>
      </c>
      <c r="C741" s="5">
        <f>IFERROR(__xludf.DUMMYFUNCTION("""COMPUTED_VALUE"""),43927.7187962963)</f>
        <v>43927.7188</v>
      </c>
      <c r="D741" s="4" t="str">
        <f>IFERROR(__xludf.DUMMYFUNCTION("""COMPUTED_VALUE"""),"RESOLVED")</f>
        <v>RESOLVED</v>
      </c>
      <c r="E741" s="6">
        <f>IFERROR(__xludf.DUMMYFUNCTION("""COMPUTED_VALUE"""),44624.92149305555)</f>
        <v>44624.92149</v>
      </c>
      <c r="F741" s="4" t="str">
        <f>IFERROR(__xludf.DUMMYFUNCTION("""COMPUTED_VALUE""")," ---")</f>
        <v> ---</v>
      </c>
      <c r="G741" s="4" t="str">
        <f>IFERROR(__xludf.DUMMYFUNCTION("""COMPUTED_VALUE"""),"SUSE Linux Enterprise Server 15 SP2")</f>
        <v>SUSE Linux Enterprise Server 15 SP2</v>
      </c>
      <c r="H741" s="7" t="str">
        <f t="shared" si="2"/>
        <v>NO</v>
      </c>
      <c r="I741" s="7" t="str">
        <f t="shared" si="3"/>
        <v>NO</v>
      </c>
    </row>
    <row r="742">
      <c r="A742" s="4">
        <f>IFERROR(__xludf.DUMMYFUNCTION("""COMPUTED_VALUE"""),1168763.0)</f>
        <v>1168763</v>
      </c>
      <c r="B742" s="4" t="str">
        <f>IFERROR(__xludf.DUMMYFUNCTION("""COMPUTED_VALUE"""),"P5 - None")</f>
        <v>P5 - None</v>
      </c>
      <c r="C742" s="5">
        <f>IFERROR(__xludf.DUMMYFUNCTION("""COMPUTED_VALUE"""),43927.71980324074)</f>
        <v>43927.7198</v>
      </c>
      <c r="D742" s="4" t="str">
        <f>IFERROR(__xludf.DUMMYFUNCTION("""COMPUTED_VALUE"""),"RESOLVED")</f>
        <v>RESOLVED</v>
      </c>
      <c r="E742" s="6">
        <f>IFERROR(__xludf.DUMMYFUNCTION("""COMPUTED_VALUE"""),44624.92153935185)</f>
        <v>44624.92154</v>
      </c>
      <c r="F742" s="4" t="str">
        <f>IFERROR(__xludf.DUMMYFUNCTION("""COMPUTED_VALUE""")," ---")</f>
        <v> ---</v>
      </c>
      <c r="G742" s="4" t="str">
        <f>IFERROR(__xludf.DUMMYFUNCTION("""COMPUTED_VALUE"""),"SUSE Linux Enterprise Server 15 SP2")</f>
        <v>SUSE Linux Enterprise Server 15 SP2</v>
      </c>
      <c r="H742" s="7" t="str">
        <f t="shared" si="2"/>
        <v>NO</v>
      </c>
      <c r="I742" s="7" t="str">
        <f t="shared" si="3"/>
        <v>NO</v>
      </c>
    </row>
    <row r="743">
      <c r="A743" s="4">
        <f>IFERROR(__xludf.DUMMYFUNCTION("""COMPUTED_VALUE"""),1168764.0)</f>
        <v>1168764</v>
      </c>
      <c r="B743" s="4" t="str">
        <f>IFERROR(__xludf.DUMMYFUNCTION("""COMPUTED_VALUE"""),"P5 - None")</f>
        <v>P5 - None</v>
      </c>
      <c r="C743" s="5">
        <f>IFERROR(__xludf.DUMMYFUNCTION("""COMPUTED_VALUE"""),43927.72488425926)</f>
        <v>43927.72488</v>
      </c>
      <c r="D743" s="4" t="str">
        <f>IFERROR(__xludf.DUMMYFUNCTION("""COMPUTED_VALUE"""),"RESOLVED")</f>
        <v>RESOLVED</v>
      </c>
      <c r="E743" s="6">
        <f>IFERROR(__xludf.DUMMYFUNCTION("""COMPUTED_VALUE"""),44624.92157407408)</f>
        <v>44624.92157</v>
      </c>
      <c r="F743" s="4" t="str">
        <f>IFERROR(__xludf.DUMMYFUNCTION("""COMPUTED_VALUE""")," ---")</f>
        <v> ---</v>
      </c>
      <c r="G743" s="4" t="str">
        <f>IFERROR(__xludf.DUMMYFUNCTION("""COMPUTED_VALUE"""),"SUSE Linux Enterprise Server 15 SP2")</f>
        <v>SUSE Linux Enterprise Server 15 SP2</v>
      </c>
      <c r="H743" s="7" t="str">
        <f t="shared" si="2"/>
        <v>NO</v>
      </c>
      <c r="I743" s="7" t="str">
        <f t="shared" si="3"/>
        <v>NO</v>
      </c>
    </row>
    <row r="744">
      <c r="A744" s="4">
        <f>IFERROR(__xludf.DUMMYFUNCTION("""COMPUTED_VALUE"""),1168765.0)</f>
        <v>1168765</v>
      </c>
      <c r="B744" s="4" t="str">
        <f>IFERROR(__xludf.DUMMYFUNCTION("""COMPUTED_VALUE"""),"P5 - None")</f>
        <v>P5 - None</v>
      </c>
      <c r="C744" s="5">
        <f>IFERROR(__xludf.DUMMYFUNCTION("""COMPUTED_VALUE"""),43927.725625)</f>
        <v>43927.72563</v>
      </c>
      <c r="D744" s="4" t="str">
        <f>IFERROR(__xludf.DUMMYFUNCTION("""COMPUTED_VALUE"""),"RESOLVED")</f>
        <v>RESOLVED</v>
      </c>
      <c r="E744" s="6">
        <f>IFERROR(__xludf.DUMMYFUNCTION("""COMPUTED_VALUE"""),44624.92162037037)</f>
        <v>44624.92162</v>
      </c>
      <c r="F744" s="4" t="str">
        <f>IFERROR(__xludf.DUMMYFUNCTION("""COMPUTED_VALUE""")," ---")</f>
        <v> ---</v>
      </c>
      <c r="G744" s="4" t="str">
        <f>IFERROR(__xludf.DUMMYFUNCTION("""COMPUTED_VALUE"""),"SUSE Linux Enterprise Server 15 SP2")</f>
        <v>SUSE Linux Enterprise Server 15 SP2</v>
      </c>
      <c r="H744" s="7" t="str">
        <f t="shared" si="2"/>
        <v>NO</v>
      </c>
      <c r="I744" s="7" t="str">
        <f t="shared" si="3"/>
        <v>NO</v>
      </c>
    </row>
    <row r="745">
      <c r="A745" s="4">
        <f>IFERROR(__xludf.DUMMYFUNCTION("""COMPUTED_VALUE"""),1168766.0)</f>
        <v>1168766</v>
      </c>
      <c r="B745" s="4" t="str">
        <f>IFERROR(__xludf.DUMMYFUNCTION("""COMPUTED_VALUE"""),"P5 - None")</f>
        <v>P5 - None</v>
      </c>
      <c r="C745" s="5">
        <f>IFERROR(__xludf.DUMMYFUNCTION("""COMPUTED_VALUE"""),43927.727164351854)</f>
        <v>43927.72716</v>
      </c>
      <c r="D745" s="4" t="str">
        <f>IFERROR(__xludf.DUMMYFUNCTION("""COMPUTED_VALUE"""),"RESOLVED")</f>
        <v>RESOLVED</v>
      </c>
      <c r="E745" s="6">
        <f>IFERROR(__xludf.DUMMYFUNCTION("""COMPUTED_VALUE"""),43927.727222222224)</f>
        <v>43927.72722</v>
      </c>
      <c r="F745" s="4" t="str">
        <f>IFERROR(__xludf.DUMMYFUNCTION("""COMPUTED_VALUE""")," ---")</f>
        <v> ---</v>
      </c>
      <c r="G745" s="4" t="str">
        <f>IFERROR(__xludf.DUMMYFUNCTION("""COMPUTED_VALUE"""),"SUSE Linux Enterprise Server 15 SP2")</f>
        <v>SUSE Linux Enterprise Server 15 SP2</v>
      </c>
      <c r="H745" s="7" t="str">
        <f t="shared" si="2"/>
        <v>NO</v>
      </c>
      <c r="I745" s="7" t="str">
        <f t="shared" si="3"/>
        <v>NO</v>
      </c>
    </row>
    <row r="746">
      <c r="A746" s="4">
        <f>IFERROR(__xludf.DUMMYFUNCTION("""COMPUTED_VALUE"""),1168768.0)</f>
        <v>1168768</v>
      </c>
      <c r="B746" s="4" t="str">
        <f>IFERROR(__xludf.DUMMYFUNCTION("""COMPUTED_VALUE"""),"P5 - None")</f>
        <v>P5 - None</v>
      </c>
      <c r="C746" s="5">
        <f>IFERROR(__xludf.DUMMYFUNCTION("""COMPUTED_VALUE"""),43927.72887731482)</f>
        <v>43927.72888</v>
      </c>
      <c r="D746" s="4" t="str">
        <f>IFERROR(__xludf.DUMMYFUNCTION("""COMPUTED_VALUE"""),"RESOLVED")</f>
        <v>RESOLVED</v>
      </c>
      <c r="E746" s="6">
        <f>IFERROR(__xludf.DUMMYFUNCTION("""COMPUTED_VALUE"""),44384.82398148148)</f>
        <v>44384.82398</v>
      </c>
      <c r="F746" s="4" t="str">
        <f>IFERROR(__xludf.DUMMYFUNCTION("""COMPUTED_VALUE""")," ---")</f>
        <v> ---</v>
      </c>
      <c r="G746" s="4" t="str">
        <f>IFERROR(__xludf.DUMMYFUNCTION("""COMPUTED_VALUE"""),"SUSE Linux Enterprise Server 15 SP2")</f>
        <v>SUSE Linux Enterprise Server 15 SP2</v>
      </c>
      <c r="H746" s="7" t="str">
        <f t="shared" si="2"/>
        <v>NO</v>
      </c>
      <c r="I746" s="7" t="str">
        <f t="shared" si="3"/>
        <v>NO</v>
      </c>
    </row>
    <row r="747">
      <c r="A747" s="4">
        <f>IFERROR(__xludf.DUMMYFUNCTION("""COMPUTED_VALUE"""),1171832.0)</f>
        <v>1171832</v>
      </c>
      <c r="B747" s="4" t="str">
        <f>IFERROR(__xludf.DUMMYFUNCTION("""COMPUTED_VALUE"""),"P5 - None")</f>
        <v>P5 - None</v>
      </c>
      <c r="C747" s="5">
        <f>IFERROR(__xludf.DUMMYFUNCTION("""COMPUTED_VALUE"""),43969.49565972222)</f>
        <v>43969.49566</v>
      </c>
      <c r="D747" s="4" t="str">
        <f>IFERROR(__xludf.DUMMYFUNCTION("""COMPUTED_VALUE"""),"RESOLVED")</f>
        <v>RESOLVED</v>
      </c>
      <c r="E747" s="6">
        <f>IFERROR(__xludf.DUMMYFUNCTION("""COMPUTED_VALUE"""),44384.831354166665)</f>
        <v>44384.83135</v>
      </c>
      <c r="F747" s="4" t="str">
        <f>IFERROR(__xludf.DUMMYFUNCTION("""COMPUTED_VALUE""")," ---")</f>
        <v> ---</v>
      </c>
      <c r="G747" s="4" t="str">
        <f>IFERROR(__xludf.DUMMYFUNCTION("""COMPUTED_VALUE"""),"SUSE Linux Enterprise Server 15 SP2")</f>
        <v>SUSE Linux Enterprise Server 15 SP2</v>
      </c>
      <c r="H747" s="7" t="str">
        <f t="shared" si="2"/>
        <v>NO</v>
      </c>
      <c r="I747" s="7" t="str">
        <f t="shared" si="3"/>
        <v>NO</v>
      </c>
    </row>
    <row r="748">
      <c r="A748" s="4">
        <f>IFERROR(__xludf.DUMMYFUNCTION("""COMPUTED_VALUE"""),1171833.0)</f>
        <v>1171833</v>
      </c>
      <c r="B748" s="4" t="str">
        <f>IFERROR(__xludf.DUMMYFUNCTION("""COMPUTED_VALUE"""),"P5 - None")</f>
        <v>P5 - None</v>
      </c>
      <c r="C748" s="5">
        <f>IFERROR(__xludf.DUMMYFUNCTION("""COMPUTED_VALUE"""),43969.49711805556)</f>
        <v>43969.49712</v>
      </c>
      <c r="D748" s="4" t="str">
        <f>IFERROR(__xludf.DUMMYFUNCTION("""COMPUTED_VALUE"""),"RESOLVED")</f>
        <v>RESOLVED</v>
      </c>
      <c r="E748" s="6">
        <f>IFERROR(__xludf.DUMMYFUNCTION("""COMPUTED_VALUE"""),44384.83142361111)</f>
        <v>44384.83142</v>
      </c>
      <c r="F748" s="4" t="str">
        <f>IFERROR(__xludf.DUMMYFUNCTION("""COMPUTED_VALUE""")," ---")</f>
        <v> ---</v>
      </c>
      <c r="G748" s="4" t="str">
        <f>IFERROR(__xludf.DUMMYFUNCTION("""COMPUTED_VALUE"""),"SUSE Linux Enterprise Server 15 SP2")</f>
        <v>SUSE Linux Enterprise Server 15 SP2</v>
      </c>
      <c r="H748" s="7" t="str">
        <f t="shared" si="2"/>
        <v>NO</v>
      </c>
      <c r="I748" s="7" t="str">
        <f t="shared" si="3"/>
        <v>NO</v>
      </c>
    </row>
    <row r="749">
      <c r="A749" s="4">
        <f>IFERROR(__xludf.DUMMYFUNCTION("""COMPUTED_VALUE"""),1171834.0)</f>
        <v>1171834</v>
      </c>
      <c r="B749" s="4" t="str">
        <f>IFERROR(__xludf.DUMMYFUNCTION("""COMPUTED_VALUE"""),"P5 - None")</f>
        <v>P5 - None</v>
      </c>
      <c r="C749" s="5">
        <f>IFERROR(__xludf.DUMMYFUNCTION("""COMPUTED_VALUE"""),43969.49759259259)</f>
        <v>43969.49759</v>
      </c>
      <c r="D749" s="4" t="str">
        <f>IFERROR(__xludf.DUMMYFUNCTION("""COMPUTED_VALUE"""),"RESOLVED")</f>
        <v>RESOLVED</v>
      </c>
      <c r="E749" s="6">
        <f>IFERROR(__xludf.DUMMYFUNCTION("""COMPUTED_VALUE"""),44384.83149305556)</f>
        <v>44384.83149</v>
      </c>
      <c r="F749" s="4" t="str">
        <f>IFERROR(__xludf.DUMMYFUNCTION("""COMPUTED_VALUE""")," ---")</f>
        <v> ---</v>
      </c>
      <c r="G749" s="4" t="str">
        <f>IFERROR(__xludf.DUMMYFUNCTION("""COMPUTED_VALUE"""),"SUSE Linux Enterprise Server 15 SP2")</f>
        <v>SUSE Linux Enterprise Server 15 SP2</v>
      </c>
      <c r="H749" s="7" t="str">
        <f t="shared" si="2"/>
        <v>NO</v>
      </c>
      <c r="I749" s="7" t="str">
        <f t="shared" si="3"/>
        <v>NO</v>
      </c>
    </row>
    <row r="750">
      <c r="A750" s="4">
        <f>IFERROR(__xludf.DUMMYFUNCTION("""COMPUTED_VALUE"""),1171835.0)</f>
        <v>1171835</v>
      </c>
      <c r="B750" s="4" t="str">
        <f>IFERROR(__xludf.DUMMYFUNCTION("""COMPUTED_VALUE"""),"P5 - None")</f>
        <v>P5 - None</v>
      </c>
      <c r="C750" s="5">
        <f>IFERROR(__xludf.DUMMYFUNCTION("""COMPUTED_VALUE"""),43969.49858796296)</f>
        <v>43969.49859</v>
      </c>
      <c r="D750" s="4" t="str">
        <f>IFERROR(__xludf.DUMMYFUNCTION("""COMPUTED_VALUE"""),"RESOLVED")</f>
        <v>RESOLVED</v>
      </c>
      <c r="E750" s="6">
        <f>IFERROR(__xludf.DUMMYFUNCTION("""COMPUTED_VALUE"""),44362.580034722225)</f>
        <v>44362.58003</v>
      </c>
      <c r="F750" s="4" t="str">
        <f>IFERROR(__xludf.DUMMYFUNCTION("""COMPUTED_VALUE""")," ---")</f>
        <v> ---</v>
      </c>
      <c r="G750" s="4" t="str">
        <f>IFERROR(__xludf.DUMMYFUNCTION("""COMPUTED_VALUE"""),"SUSE Linux Enterprise Server 15 SP2")</f>
        <v>SUSE Linux Enterprise Server 15 SP2</v>
      </c>
      <c r="H750" s="7" t="str">
        <f t="shared" si="2"/>
        <v>NO</v>
      </c>
      <c r="I750" s="7" t="str">
        <f t="shared" si="3"/>
        <v>NO</v>
      </c>
    </row>
    <row r="751">
      <c r="A751" s="4">
        <f>IFERROR(__xludf.DUMMYFUNCTION("""COMPUTED_VALUE"""),1171839.0)</f>
        <v>1171839</v>
      </c>
      <c r="B751" s="4" t="str">
        <f>IFERROR(__xludf.DUMMYFUNCTION("""COMPUTED_VALUE"""),"P5 - None")</f>
        <v>P5 - None</v>
      </c>
      <c r="C751" s="5">
        <f>IFERROR(__xludf.DUMMYFUNCTION("""COMPUTED_VALUE"""),43969.534583333334)</f>
        <v>43969.53458</v>
      </c>
      <c r="D751" s="4" t="str">
        <f>IFERROR(__xludf.DUMMYFUNCTION("""COMPUTED_VALUE"""),"RESOLVED")</f>
        <v>RESOLVED</v>
      </c>
      <c r="E751" s="6">
        <f>IFERROR(__xludf.DUMMYFUNCTION("""COMPUTED_VALUE"""),44384.8315625)</f>
        <v>44384.83156</v>
      </c>
      <c r="F751" s="4" t="str">
        <f>IFERROR(__xludf.DUMMYFUNCTION("""COMPUTED_VALUE""")," ---")</f>
        <v> ---</v>
      </c>
      <c r="G751" s="4" t="str">
        <f>IFERROR(__xludf.DUMMYFUNCTION("""COMPUTED_VALUE"""),"SUSE Linux Enterprise Server 15 SP2")</f>
        <v>SUSE Linux Enterprise Server 15 SP2</v>
      </c>
      <c r="H751" s="7" t="str">
        <f t="shared" si="2"/>
        <v>NO</v>
      </c>
      <c r="I751" s="7" t="str">
        <f t="shared" si="3"/>
        <v>NO</v>
      </c>
    </row>
    <row r="752">
      <c r="A752" s="4">
        <f>IFERROR(__xludf.DUMMYFUNCTION("""COMPUTED_VALUE"""),1171840.0)</f>
        <v>1171840</v>
      </c>
      <c r="B752" s="4" t="str">
        <f>IFERROR(__xludf.DUMMYFUNCTION("""COMPUTED_VALUE"""),"P5 - None")</f>
        <v>P5 - None</v>
      </c>
      <c r="C752" s="5">
        <f>IFERROR(__xludf.DUMMYFUNCTION("""COMPUTED_VALUE"""),43969.53508101852)</f>
        <v>43969.53508</v>
      </c>
      <c r="D752" s="4" t="str">
        <f>IFERROR(__xludf.DUMMYFUNCTION("""COMPUTED_VALUE"""),"RESOLVED")</f>
        <v>RESOLVED</v>
      </c>
      <c r="E752" s="6">
        <f>IFERROR(__xludf.DUMMYFUNCTION("""COMPUTED_VALUE"""),44384.83163194444)</f>
        <v>44384.83163</v>
      </c>
      <c r="F752" s="4" t="str">
        <f>IFERROR(__xludf.DUMMYFUNCTION("""COMPUTED_VALUE""")," ---")</f>
        <v> ---</v>
      </c>
      <c r="G752" s="4" t="str">
        <f>IFERROR(__xludf.DUMMYFUNCTION("""COMPUTED_VALUE"""),"SUSE Linux Enterprise Server 15 SP2")</f>
        <v>SUSE Linux Enterprise Server 15 SP2</v>
      </c>
      <c r="H752" s="7" t="str">
        <f t="shared" si="2"/>
        <v>NO</v>
      </c>
      <c r="I752" s="7" t="str">
        <f t="shared" si="3"/>
        <v>NO</v>
      </c>
    </row>
    <row r="753">
      <c r="A753" s="4">
        <f>IFERROR(__xludf.DUMMYFUNCTION("""COMPUTED_VALUE"""),1171841.0)</f>
        <v>1171841</v>
      </c>
      <c r="B753" s="4" t="str">
        <f>IFERROR(__xludf.DUMMYFUNCTION("""COMPUTED_VALUE"""),"P5 - None")</f>
        <v>P5 - None</v>
      </c>
      <c r="C753" s="5">
        <f>IFERROR(__xludf.DUMMYFUNCTION("""COMPUTED_VALUE"""),43969.5359837963)</f>
        <v>43969.53598</v>
      </c>
      <c r="D753" s="4" t="str">
        <f>IFERROR(__xludf.DUMMYFUNCTION("""COMPUTED_VALUE"""),"RESOLVED")</f>
        <v>RESOLVED</v>
      </c>
      <c r="E753" s="6">
        <f>IFERROR(__xludf.DUMMYFUNCTION("""COMPUTED_VALUE"""),44362.5802662037)</f>
        <v>44362.58027</v>
      </c>
      <c r="F753" s="4" t="str">
        <f>IFERROR(__xludf.DUMMYFUNCTION("""COMPUTED_VALUE""")," ---")</f>
        <v> ---</v>
      </c>
      <c r="G753" s="4" t="str">
        <f>IFERROR(__xludf.DUMMYFUNCTION("""COMPUTED_VALUE"""),"SUSE Linux Enterprise Server 15 SP2")</f>
        <v>SUSE Linux Enterprise Server 15 SP2</v>
      </c>
      <c r="H753" s="7" t="str">
        <f t="shared" si="2"/>
        <v>NO</v>
      </c>
      <c r="I753" s="7" t="str">
        <f t="shared" si="3"/>
        <v>NO</v>
      </c>
    </row>
    <row r="754">
      <c r="A754" s="4">
        <f>IFERROR(__xludf.DUMMYFUNCTION("""COMPUTED_VALUE"""),1171842.0)</f>
        <v>1171842</v>
      </c>
      <c r="B754" s="4" t="str">
        <f>IFERROR(__xludf.DUMMYFUNCTION("""COMPUTED_VALUE"""),"P5 - None")</f>
        <v>P5 - None</v>
      </c>
      <c r="C754" s="5">
        <f>IFERROR(__xludf.DUMMYFUNCTION("""COMPUTED_VALUE"""),43969.53665509259)</f>
        <v>43969.53666</v>
      </c>
      <c r="D754" s="4" t="str">
        <f>IFERROR(__xludf.DUMMYFUNCTION("""COMPUTED_VALUE"""),"RESOLVED")</f>
        <v>RESOLVED</v>
      </c>
      <c r="E754" s="6">
        <f>IFERROR(__xludf.DUMMYFUNCTION("""COMPUTED_VALUE"""),44384.83170138889)</f>
        <v>44384.8317</v>
      </c>
      <c r="F754" s="4" t="str">
        <f>IFERROR(__xludf.DUMMYFUNCTION("""COMPUTED_VALUE""")," ---")</f>
        <v> ---</v>
      </c>
      <c r="G754" s="4" t="str">
        <f>IFERROR(__xludf.DUMMYFUNCTION("""COMPUTED_VALUE"""),"SUSE Linux Enterprise Server 15 SP2")</f>
        <v>SUSE Linux Enterprise Server 15 SP2</v>
      </c>
      <c r="H754" s="7" t="str">
        <f t="shared" si="2"/>
        <v>NO</v>
      </c>
      <c r="I754" s="7" t="str">
        <f t="shared" si="3"/>
        <v>NO</v>
      </c>
    </row>
    <row r="755">
      <c r="A755" s="4">
        <f>IFERROR(__xludf.DUMMYFUNCTION("""COMPUTED_VALUE"""),1171843.0)</f>
        <v>1171843</v>
      </c>
      <c r="B755" s="4" t="str">
        <f>IFERROR(__xludf.DUMMYFUNCTION("""COMPUTED_VALUE"""),"P5 - None")</f>
        <v>P5 - None</v>
      </c>
      <c r="C755" s="5">
        <f>IFERROR(__xludf.DUMMYFUNCTION("""COMPUTED_VALUE"""),43969.54518518518)</f>
        <v>43969.54519</v>
      </c>
      <c r="D755" s="4" t="str">
        <f>IFERROR(__xludf.DUMMYFUNCTION("""COMPUTED_VALUE"""),"RESOLVED")</f>
        <v>RESOLVED</v>
      </c>
      <c r="E755" s="6">
        <f>IFERROR(__xludf.DUMMYFUNCTION("""COMPUTED_VALUE"""),44384.831770833334)</f>
        <v>44384.83177</v>
      </c>
      <c r="F755" s="4" t="str">
        <f>IFERROR(__xludf.DUMMYFUNCTION("""COMPUTED_VALUE""")," ---")</f>
        <v> ---</v>
      </c>
      <c r="G755" s="4" t="str">
        <f>IFERROR(__xludf.DUMMYFUNCTION("""COMPUTED_VALUE"""),"SUSE Linux Enterprise Server 15 SP2")</f>
        <v>SUSE Linux Enterprise Server 15 SP2</v>
      </c>
      <c r="H755" s="7" t="str">
        <f t="shared" si="2"/>
        <v>NO</v>
      </c>
      <c r="I755" s="7" t="str">
        <f t="shared" si="3"/>
        <v>NO</v>
      </c>
    </row>
    <row r="756">
      <c r="A756" s="4">
        <f>IFERROR(__xludf.DUMMYFUNCTION("""COMPUTED_VALUE"""),1171844.0)</f>
        <v>1171844</v>
      </c>
      <c r="B756" s="4" t="str">
        <f>IFERROR(__xludf.DUMMYFUNCTION("""COMPUTED_VALUE"""),"P5 - None")</f>
        <v>P5 - None</v>
      </c>
      <c r="C756" s="5">
        <f>IFERROR(__xludf.DUMMYFUNCTION("""COMPUTED_VALUE"""),43969.548171296294)</f>
        <v>43969.54817</v>
      </c>
      <c r="D756" s="4" t="str">
        <f>IFERROR(__xludf.DUMMYFUNCTION("""COMPUTED_VALUE"""),"RESOLVED")</f>
        <v>RESOLVED</v>
      </c>
      <c r="E756" s="6">
        <f>IFERROR(__xludf.DUMMYFUNCTION("""COMPUTED_VALUE"""),44384.83184027778)</f>
        <v>44384.83184</v>
      </c>
      <c r="F756" s="4" t="str">
        <f>IFERROR(__xludf.DUMMYFUNCTION("""COMPUTED_VALUE""")," ---")</f>
        <v> ---</v>
      </c>
      <c r="G756" s="4" t="str">
        <f>IFERROR(__xludf.DUMMYFUNCTION("""COMPUTED_VALUE"""),"SUSE Linux Enterprise Server 15 SP2")</f>
        <v>SUSE Linux Enterprise Server 15 SP2</v>
      </c>
      <c r="H756" s="7" t="str">
        <f t="shared" si="2"/>
        <v>NO</v>
      </c>
      <c r="I756" s="7" t="str">
        <f t="shared" si="3"/>
        <v>NO</v>
      </c>
    </row>
    <row r="757">
      <c r="A757" s="4">
        <f>IFERROR(__xludf.DUMMYFUNCTION("""COMPUTED_VALUE"""),1160135.0)</f>
        <v>1160135</v>
      </c>
      <c r="B757" s="4" t="str">
        <f>IFERROR(__xludf.DUMMYFUNCTION("""COMPUTED_VALUE"""),"P5 - None")</f>
        <v>P5 - None</v>
      </c>
      <c r="C757" s="5">
        <f>IFERROR(__xludf.DUMMYFUNCTION("""COMPUTED_VALUE"""),43836.54854166666)</f>
        <v>43836.54854</v>
      </c>
      <c r="D757" s="4" t="str">
        <f>IFERROR(__xludf.DUMMYFUNCTION("""COMPUTED_VALUE"""),"RESOLVED")</f>
        <v>RESOLVED</v>
      </c>
      <c r="E757" s="6">
        <f>IFERROR(__xludf.DUMMYFUNCTION("""COMPUTED_VALUE"""),44384.7990162037)</f>
        <v>44384.79902</v>
      </c>
      <c r="F757" s="4" t="str">
        <f>IFERROR(__xludf.DUMMYFUNCTION("""COMPUTED_VALUE""")," ---")</f>
        <v> ---</v>
      </c>
      <c r="G757" s="4" t="str">
        <f>IFERROR(__xludf.DUMMYFUNCTION("""COMPUTED_VALUE"""),"SUSE Linux Enterprise Server 15 SP2")</f>
        <v>SUSE Linux Enterprise Server 15 SP2</v>
      </c>
      <c r="H757" s="7" t="str">
        <f t="shared" si="2"/>
        <v>NO</v>
      </c>
      <c r="I757" s="7" t="str">
        <f t="shared" si="3"/>
        <v>NO</v>
      </c>
    </row>
    <row r="758">
      <c r="A758" s="4">
        <f>IFERROR(__xludf.DUMMYFUNCTION("""COMPUTED_VALUE"""),1160136.0)</f>
        <v>1160136</v>
      </c>
      <c r="B758" s="4" t="str">
        <f>IFERROR(__xludf.DUMMYFUNCTION("""COMPUTED_VALUE"""),"P5 - None")</f>
        <v>P5 - None</v>
      </c>
      <c r="C758" s="5">
        <f>IFERROR(__xludf.DUMMYFUNCTION("""COMPUTED_VALUE"""),43836.54861111111)</f>
        <v>43836.54861</v>
      </c>
      <c r="D758" s="4" t="str">
        <f>IFERROR(__xludf.DUMMYFUNCTION("""COMPUTED_VALUE"""),"RESOLVED")</f>
        <v>RESOLVED</v>
      </c>
      <c r="E758" s="6">
        <f>IFERROR(__xludf.DUMMYFUNCTION("""COMPUTED_VALUE"""),44384.79908564815)</f>
        <v>44384.79909</v>
      </c>
      <c r="F758" s="4" t="str">
        <f>IFERROR(__xludf.DUMMYFUNCTION("""COMPUTED_VALUE""")," ---")</f>
        <v> ---</v>
      </c>
      <c r="G758" s="4" t="str">
        <f>IFERROR(__xludf.DUMMYFUNCTION("""COMPUTED_VALUE"""),"SUSE Linux Enterprise Server 15 SP2")</f>
        <v>SUSE Linux Enterprise Server 15 SP2</v>
      </c>
      <c r="H758" s="7" t="str">
        <f t="shared" si="2"/>
        <v>NO</v>
      </c>
      <c r="I758" s="7" t="str">
        <f t="shared" si="3"/>
        <v>NO</v>
      </c>
    </row>
    <row r="759">
      <c r="A759" s="4">
        <f>IFERROR(__xludf.DUMMYFUNCTION("""COMPUTED_VALUE"""),1160137.0)</f>
        <v>1160137</v>
      </c>
      <c r="B759" s="4" t="str">
        <f>IFERROR(__xludf.DUMMYFUNCTION("""COMPUTED_VALUE"""),"P5 - None")</f>
        <v>P5 - None</v>
      </c>
      <c r="C759" s="5">
        <f>IFERROR(__xludf.DUMMYFUNCTION("""COMPUTED_VALUE"""),43836.548726851855)</f>
        <v>43836.54873</v>
      </c>
      <c r="D759" s="4" t="str">
        <f>IFERROR(__xludf.DUMMYFUNCTION("""COMPUTED_VALUE"""),"RESOLVED")</f>
        <v>RESOLVED</v>
      </c>
      <c r="E759" s="6">
        <f>IFERROR(__xludf.DUMMYFUNCTION("""COMPUTED_VALUE"""),44384.799155092594)</f>
        <v>44384.79916</v>
      </c>
      <c r="F759" s="4" t="str">
        <f>IFERROR(__xludf.DUMMYFUNCTION("""COMPUTED_VALUE""")," ---")</f>
        <v> ---</v>
      </c>
      <c r="G759" s="4" t="str">
        <f>IFERROR(__xludf.DUMMYFUNCTION("""COMPUTED_VALUE"""),"SUSE Linux Enterprise Server 15 SP2")</f>
        <v>SUSE Linux Enterprise Server 15 SP2</v>
      </c>
      <c r="H759" s="7" t="str">
        <f t="shared" si="2"/>
        <v>NO</v>
      </c>
      <c r="I759" s="7" t="str">
        <f t="shared" si="3"/>
        <v>NO</v>
      </c>
    </row>
    <row r="760">
      <c r="A760" s="4">
        <f>IFERROR(__xludf.DUMMYFUNCTION("""COMPUTED_VALUE"""),1160138.0)</f>
        <v>1160138</v>
      </c>
      <c r="B760" s="4" t="str">
        <f>IFERROR(__xludf.DUMMYFUNCTION("""COMPUTED_VALUE"""),"P5 - None")</f>
        <v>P5 - None</v>
      </c>
      <c r="C760" s="5">
        <f>IFERROR(__xludf.DUMMYFUNCTION("""COMPUTED_VALUE"""),43836.548796296294)</f>
        <v>43836.5488</v>
      </c>
      <c r="D760" s="4" t="str">
        <f>IFERROR(__xludf.DUMMYFUNCTION("""COMPUTED_VALUE"""),"RESOLVED")</f>
        <v>RESOLVED</v>
      </c>
      <c r="E760" s="6">
        <f>IFERROR(__xludf.DUMMYFUNCTION("""COMPUTED_VALUE"""),44384.79922453704)</f>
        <v>44384.79922</v>
      </c>
      <c r="F760" s="4" t="str">
        <f>IFERROR(__xludf.DUMMYFUNCTION("""COMPUTED_VALUE""")," ---")</f>
        <v> ---</v>
      </c>
      <c r="G760" s="4" t="str">
        <f>IFERROR(__xludf.DUMMYFUNCTION("""COMPUTED_VALUE"""),"SUSE Linux Enterprise Server 15 SP2")</f>
        <v>SUSE Linux Enterprise Server 15 SP2</v>
      </c>
      <c r="H760" s="7" t="str">
        <f t="shared" si="2"/>
        <v>NO</v>
      </c>
      <c r="I760" s="7" t="str">
        <f t="shared" si="3"/>
        <v>NO</v>
      </c>
    </row>
    <row r="761">
      <c r="A761" s="4">
        <f>IFERROR(__xludf.DUMMYFUNCTION("""COMPUTED_VALUE"""),1160139.0)</f>
        <v>1160139</v>
      </c>
      <c r="B761" s="4" t="str">
        <f>IFERROR(__xludf.DUMMYFUNCTION("""COMPUTED_VALUE"""),"P5 - None")</f>
        <v>P5 - None</v>
      </c>
      <c r="C761" s="5">
        <f>IFERROR(__xludf.DUMMYFUNCTION("""COMPUTED_VALUE"""),43836.54890046296)</f>
        <v>43836.5489</v>
      </c>
      <c r="D761" s="4" t="str">
        <f>IFERROR(__xludf.DUMMYFUNCTION("""COMPUTED_VALUE"""),"RESOLVED")</f>
        <v>RESOLVED</v>
      </c>
      <c r="E761" s="6">
        <f>IFERROR(__xludf.DUMMYFUNCTION("""COMPUTED_VALUE"""),44384.79929398148)</f>
        <v>44384.79929</v>
      </c>
      <c r="F761" s="4" t="str">
        <f>IFERROR(__xludf.DUMMYFUNCTION("""COMPUTED_VALUE""")," ---")</f>
        <v> ---</v>
      </c>
      <c r="G761" s="4" t="str">
        <f>IFERROR(__xludf.DUMMYFUNCTION("""COMPUTED_VALUE"""),"SUSE Linux Enterprise Server 15 SP2")</f>
        <v>SUSE Linux Enterprise Server 15 SP2</v>
      </c>
      <c r="H761" s="7" t="str">
        <f t="shared" si="2"/>
        <v>NO</v>
      </c>
      <c r="I761" s="7" t="str">
        <f t="shared" si="3"/>
        <v>NO</v>
      </c>
    </row>
    <row r="762">
      <c r="A762" s="4">
        <f>IFERROR(__xludf.DUMMYFUNCTION("""COMPUTED_VALUE"""),1160140.0)</f>
        <v>1160140</v>
      </c>
      <c r="B762" s="4" t="str">
        <f>IFERROR(__xludf.DUMMYFUNCTION("""COMPUTED_VALUE"""),"P5 - None")</f>
        <v>P5 - None</v>
      </c>
      <c r="C762" s="5">
        <f>IFERROR(__xludf.DUMMYFUNCTION("""COMPUTED_VALUE"""),43836.54898148148)</f>
        <v>43836.54898</v>
      </c>
      <c r="D762" s="4" t="str">
        <f>IFERROR(__xludf.DUMMYFUNCTION("""COMPUTED_VALUE"""),"RESOLVED")</f>
        <v>RESOLVED</v>
      </c>
      <c r="E762" s="6">
        <f>IFERROR(__xludf.DUMMYFUNCTION("""COMPUTED_VALUE"""),44384.799363425926)</f>
        <v>44384.79936</v>
      </c>
      <c r="F762" s="4" t="str">
        <f>IFERROR(__xludf.DUMMYFUNCTION("""COMPUTED_VALUE""")," ---")</f>
        <v> ---</v>
      </c>
      <c r="G762" s="4" t="str">
        <f>IFERROR(__xludf.DUMMYFUNCTION("""COMPUTED_VALUE"""),"SUSE Linux Enterprise Server 15 SP2")</f>
        <v>SUSE Linux Enterprise Server 15 SP2</v>
      </c>
      <c r="H762" s="7" t="str">
        <f t="shared" si="2"/>
        <v>NO</v>
      </c>
      <c r="I762" s="7" t="str">
        <f t="shared" si="3"/>
        <v>NO</v>
      </c>
    </row>
    <row r="763">
      <c r="A763" s="4">
        <f>IFERROR(__xludf.DUMMYFUNCTION("""COMPUTED_VALUE"""),1160141.0)</f>
        <v>1160141</v>
      </c>
      <c r="B763" s="4" t="str">
        <f>IFERROR(__xludf.DUMMYFUNCTION("""COMPUTED_VALUE"""),"P5 - None")</f>
        <v>P5 - None</v>
      </c>
      <c r="C763" s="5">
        <f>IFERROR(__xludf.DUMMYFUNCTION("""COMPUTED_VALUE"""),43836.54908564815)</f>
        <v>43836.54909</v>
      </c>
      <c r="D763" s="4" t="str">
        <f>IFERROR(__xludf.DUMMYFUNCTION("""COMPUTED_VALUE"""),"RESOLVED")</f>
        <v>RESOLVED</v>
      </c>
      <c r="E763" s="6">
        <f>IFERROR(__xludf.DUMMYFUNCTION("""COMPUTED_VALUE"""),44384.79943287037)</f>
        <v>44384.79943</v>
      </c>
      <c r="F763" s="4" t="str">
        <f>IFERROR(__xludf.DUMMYFUNCTION("""COMPUTED_VALUE""")," ---")</f>
        <v> ---</v>
      </c>
      <c r="G763" s="4" t="str">
        <f>IFERROR(__xludf.DUMMYFUNCTION("""COMPUTED_VALUE"""),"SUSE Linux Enterprise Server 15 SP2")</f>
        <v>SUSE Linux Enterprise Server 15 SP2</v>
      </c>
      <c r="H763" s="7" t="str">
        <f t="shared" si="2"/>
        <v>NO</v>
      </c>
      <c r="I763" s="7" t="str">
        <f t="shared" si="3"/>
        <v>NO</v>
      </c>
    </row>
    <row r="764">
      <c r="A764" s="4">
        <f>IFERROR(__xludf.DUMMYFUNCTION("""COMPUTED_VALUE"""),1160142.0)</f>
        <v>1160142</v>
      </c>
      <c r="B764" s="4" t="str">
        <f>IFERROR(__xludf.DUMMYFUNCTION("""COMPUTED_VALUE"""),"P5 - None")</f>
        <v>P5 - None</v>
      </c>
      <c r="C764" s="5">
        <f>IFERROR(__xludf.DUMMYFUNCTION("""COMPUTED_VALUE"""),43836.549155092594)</f>
        <v>43836.54916</v>
      </c>
      <c r="D764" s="4" t="str">
        <f>IFERROR(__xludf.DUMMYFUNCTION("""COMPUTED_VALUE"""),"RESOLVED")</f>
        <v>RESOLVED</v>
      </c>
      <c r="E764" s="6">
        <f>IFERROR(__xludf.DUMMYFUNCTION("""COMPUTED_VALUE"""),44384.79950231482)</f>
        <v>44384.7995</v>
      </c>
      <c r="F764" s="4" t="str">
        <f>IFERROR(__xludf.DUMMYFUNCTION("""COMPUTED_VALUE""")," ---")</f>
        <v> ---</v>
      </c>
      <c r="G764" s="4" t="str">
        <f>IFERROR(__xludf.DUMMYFUNCTION("""COMPUTED_VALUE"""),"SUSE Linux Enterprise Server 15 SP2")</f>
        <v>SUSE Linux Enterprise Server 15 SP2</v>
      </c>
      <c r="H764" s="7" t="str">
        <f t="shared" si="2"/>
        <v>NO</v>
      </c>
      <c r="I764" s="7" t="str">
        <f t="shared" si="3"/>
        <v>NO</v>
      </c>
    </row>
    <row r="765">
      <c r="A765" s="4">
        <f>IFERROR(__xludf.DUMMYFUNCTION("""COMPUTED_VALUE"""),1160143.0)</f>
        <v>1160143</v>
      </c>
      <c r="B765" s="4" t="str">
        <f>IFERROR(__xludf.DUMMYFUNCTION("""COMPUTED_VALUE"""),"P5 - None")</f>
        <v>P5 - None</v>
      </c>
      <c r="C765" s="5">
        <f>IFERROR(__xludf.DUMMYFUNCTION("""COMPUTED_VALUE"""),43836.549259259256)</f>
        <v>43836.54926</v>
      </c>
      <c r="D765" s="4" t="str">
        <f>IFERROR(__xludf.DUMMYFUNCTION("""COMPUTED_VALUE"""),"RESOLVED")</f>
        <v>RESOLVED</v>
      </c>
      <c r="E765" s="6">
        <f>IFERROR(__xludf.DUMMYFUNCTION("""COMPUTED_VALUE"""),44384.79957175926)</f>
        <v>44384.79957</v>
      </c>
      <c r="F765" s="4" t="str">
        <f>IFERROR(__xludf.DUMMYFUNCTION("""COMPUTED_VALUE""")," ---")</f>
        <v> ---</v>
      </c>
      <c r="G765" s="4" t="str">
        <f>IFERROR(__xludf.DUMMYFUNCTION("""COMPUTED_VALUE"""),"SUSE Linux Enterprise Server 15 SP2")</f>
        <v>SUSE Linux Enterprise Server 15 SP2</v>
      </c>
      <c r="H765" s="7" t="str">
        <f t="shared" si="2"/>
        <v>NO</v>
      </c>
      <c r="I765" s="7" t="str">
        <f t="shared" si="3"/>
        <v>NO</v>
      </c>
    </row>
    <row r="766">
      <c r="A766" s="4">
        <f>IFERROR(__xludf.DUMMYFUNCTION("""COMPUTED_VALUE"""),1160320.0)</f>
        <v>1160320</v>
      </c>
      <c r="B766" s="4" t="str">
        <f>IFERROR(__xludf.DUMMYFUNCTION("""COMPUTED_VALUE"""),"P5 - None")</f>
        <v>P5 - None</v>
      </c>
      <c r="C766" s="5">
        <f>IFERROR(__xludf.DUMMYFUNCTION("""COMPUTED_VALUE"""),43837.66923611111)</f>
        <v>43837.66924</v>
      </c>
      <c r="D766" s="4" t="str">
        <f>IFERROR(__xludf.DUMMYFUNCTION("""COMPUTED_VALUE"""),"RESOLVED")</f>
        <v>RESOLVED</v>
      </c>
      <c r="E766" s="6">
        <f>IFERROR(__xludf.DUMMYFUNCTION("""COMPUTED_VALUE"""),44384.80023148148)</f>
        <v>44384.80023</v>
      </c>
      <c r="F766" s="4" t="str">
        <f>IFERROR(__xludf.DUMMYFUNCTION("""COMPUTED_VALUE""")," ---")</f>
        <v> ---</v>
      </c>
      <c r="G766" s="4" t="str">
        <f>IFERROR(__xludf.DUMMYFUNCTION("""COMPUTED_VALUE"""),"SUSE Linux Enterprise Server 15 SP2")</f>
        <v>SUSE Linux Enterprise Server 15 SP2</v>
      </c>
      <c r="H766" s="7" t="str">
        <f t="shared" si="2"/>
        <v>NO</v>
      </c>
      <c r="I766" s="7" t="str">
        <f t="shared" si="3"/>
        <v>NO</v>
      </c>
    </row>
    <row r="767">
      <c r="A767" s="4">
        <f>IFERROR(__xludf.DUMMYFUNCTION("""COMPUTED_VALUE"""),1172393.0)</f>
        <v>1172393</v>
      </c>
      <c r="B767" s="4" t="str">
        <f>IFERROR(__xludf.DUMMYFUNCTION("""COMPUTED_VALUE"""),"P5 - None")</f>
        <v>P5 - None</v>
      </c>
      <c r="C767" s="5">
        <f>IFERROR(__xludf.DUMMYFUNCTION("""COMPUTED_VALUE"""),43984.51283564815)</f>
        <v>43984.51284</v>
      </c>
      <c r="D767" s="4" t="str">
        <f>IFERROR(__xludf.DUMMYFUNCTION("""COMPUTED_VALUE"""),"RESOLVED")</f>
        <v>RESOLVED</v>
      </c>
      <c r="E767" s="6">
        <f>IFERROR(__xludf.DUMMYFUNCTION("""COMPUTED_VALUE"""),44384.83368055556)</f>
        <v>44384.83368</v>
      </c>
      <c r="F767" s="4" t="str">
        <f>IFERROR(__xludf.DUMMYFUNCTION("""COMPUTED_VALUE""")," ---")</f>
        <v> ---</v>
      </c>
      <c r="G767" s="4" t="str">
        <f>IFERROR(__xludf.DUMMYFUNCTION("""COMPUTED_VALUE"""),"SUSE Linux Enterprise Server 15 SP2")</f>
        <v>SUSE Linux Enterprise Server 15 SP2</v>
      </c>
      <c r="H767" s="7" t="str">
        <f t="shared" si="2"/>
        <v>NO</v>
      </c>
      <c r="I767" s="7" t="str">
        <f t="shared" si="3"/>
        <v>NO</v>
      </c>
    </row>
    <row r="768">
      <c r="A768" s="4">
        <f>IFERROR(__xludf.DUMMYFUNCTION("""COMPUTED_VALUE"""),1172394.0)</f>
        <v>1172394</v>
      </c>
      <c r="B768" s="4" t="str">
        <f>IFERROR(__xludf.DUMMYFUNCTION("""COMPUTED_VALUE"""),"P5 - None")</f>
        <v>P5 - None</v>
      </c>
      <c r="C768" s="5">
        <f>IFERROR(__xludf.DUMMYFUNCTION("""COMPUTED_VALUE"""),43984.513032407405)</f>
        <v>43984.51303</v>
      </c>
      <c r="D768" s="4" t="str">
        <f>IFERROR(__xludf.DUMMYFUNCTION("""COMPUTED_VALUE"""),"RESOLVED")</f>
        <v>RESOLVED</v>
      </c>
      <c r="E768" s="6">
        <f>IFERROR(__xludf.DUMMYFUNCTION("""COMPUTED_VALUE"""),44384.83375)</f>
        <v>44384.83375</v>
      </c>
      <c r="F768" s="4" t="str">
        <f>IFERROR(__xludf.DUMMYFUNCTION("""COMPUTED_VALUE""")," ---")</f>
        <v> ---</v>
      </c>
      <c r="G768" s="4" t="str">
        <f>IFERROR(__xludf.DUMMYFUNCTION("""COMPUTED_VALUE"""),"SUSE Linux Enterprise Server 15 SP2")</f>
        <v>SUSE Linux Enterprise Server 15 SP2</v>
      </c>
      <c r="H768" s="7" t="str">
        <f t="shared" si="2"/>
        <v>NO</v>
      </c>
      <c r="I768" s="7" t="str">
        <f t="shared" si="3"/>
        <v>NO</v>
      </c>
    </row>
    <row r="769">
      <c r="A769" s="4">
        <f>IFERROR(__xludf.DUMMYFUNCTION("""COMPUTED_VALUE"""),1144752.0)</f>
        <v>1144752</v>
      </c>
      <c r="B769" s="4" t="str">
        <f>IFERROR(__xludf.DUMMYFUNCTION("""COMPUTED_VALUE"""),"P5 - None")</f>
        <v>P5 - None</v>
      </c>
      <c r="C769" s="5">
        <f>IFERROR(__xludf.DUMMYFUNCTION("""COMPUTED_VALUE"""),43684.86525462963)</f>
        <v>43684.86525</v>
      </c>
      <c r="D769" s="4" t="str">
        <f>IFERROR(__xludf.DUMMYFUNCTION("""COMPUTED_VALUE"""),"RESOLVED")</f>
        <v>RESOLVED</v>
      </c>
      <c r="E769" s="6">
        <f>IFERROR(__xludf.DUMMYFUNCTION("""COMPUTED_VALUE"""),43686.64325231482)</f>
        <v>43686.64325</v>
      </c>
      <c r="F769" s="4" t="str">
        <f>IFERROR(__xludf.DUMMYFUNCTION("""COMPUTED_VALUE""")," ---")</f>
        <v> ---</v>
      </c>
      <c r="G769" s="4" t="str">
        <f>IFERROR(__xludf.DUMMYFUNCTION("""COMPUTED_VALUE"""),"SUSE Linux Enterprise Server 15 SP2")</f>
        <v>SUSE Linux Enterprise Server 15 SP2</v>
      </c>
      <c r="H769" s="7" t="str">
        <f t="shared" si="2"/>
        <v>NO</v>
      </c>
      <c r="I769" s="7" t="str">
        <f t="shared" si="3"/>
        <v>NO</v>
      </c>
    </row>
    <row r="770">
      <c r="A770" s="4">
        <f>IFERROR(__xludf.DUMMYFUNCTION("""COMPUTED_VALUE"""),1151927.0)</f>
        <v>1151927</v>
      </c>
      <c r="B770" s="4" t="str">
        <f>IFERROR(__xludf.DUMMYFUNCTION("""COMPUTED_VALUE"""),"P5 - None")</f>
        <v>P5 - None</v>
      </c>
      <c r="C770" s="5">
        <f>IFERROR(__xludf.DUMMYFUNCTION("""COMPUTED_VALUE"""),43733.26936342593)</f>
        <v>43733.26936</v>
      </c>
      <c r="D770" s="4" t="str">
        <f>IFERROR(__xludf.DUMMYFUNCTION("""COMPUTED_VALUE"""),"RESOLVED")</f>
        <v>RESOLVED</v>
      </c>
      <c r="E770" s="6">
        <f>IFERROR(__xludf.DUMMYFUNCTION("""COMPUTED_VALUE"""),44688.67821759259)</f>
        <v>44688.67822</v>
      </c>
      <c r="F770" s="4" t="str">
        <f>IFERROR(__xludf.DUMMYFUNCTION("""COMPUTED_VALUE""")," ---")</f>
        <v> ---</v>
      </c>
      <c r="G770" s="4" t="str">
        <f>IFERROR(__xludf.DUMMYFUNCTION("""COMPUTED_VALUE"""),"SUSE Linux Enterprise Server 15 SP2")</f>
        <v>SUSE Linux Enterprise Server 15 SP2</v>
      </c>
      <c r="H770" s="7" t="str">
        <f t="shared" si="2"/>
        <v>NO</v>
      </c>
      <c r="I770" s="7" t="str">
        <f t="shared" si="3"/>
        <v>NO</v>
      </c>
    </row>
    <row r="771">
      <c r="A771" s="4">
        <f>IFERROR(__xludf.DUMMYFUNCTION("""COMPUTED_VALUE"""),1152879.0)</f>
        <v>1152879</v>
      </c>
      <c r="B771" s="4" t="str">
        <f>IFERROR(__xludf.DUMMYFUNCTION("""COMPUTED_VALUE"""),"P5 - None")</f>
        <v>P5 - None</v>
      </c>
      <c r="C771" s="5">
        <f>IFERROR(__xludf.DUMMYFUNCTION("""COMPUTED_VALUE"""),43741.37469907408)</f>
        <v>43741.3747</v>
      </c>
      <c r="D771" s="4" t="str">
        <f>IFERROR(__xludf.DUMMYFUNCTION("""COMPUTED_VALUE"""),"RESOLVED")</f>
        <v>RESOLVED</v>
      </c>
      <c r="E771" s="6">
        <f>IFERROR(__xludf.DUMMYFUNCTION("""COMPUTED_VALUE"""),44384.78815972222)</f>
        <v>44384.78816</v>
      </c>
      <c r="F771" s="4" t="str">
        <f>IFERROR(__xludf.DUMMYFUNCTION("""COMPUTED_VALUE""")," ---")</f>
        <v> ---</v>
      </c>
      <c r="G771" s="4" t="str">
        <f>IFERROR(__xludf.DUMMYFUNCTION("""COMPUTED_VALUE"""),"SUSE Linux Enterprise Server 15 SP2")</f>
        <v>SUSE Linux Enterprise Server 15 SP2</v>
      </c>
      <c r="H771" s="7" t="str">
        <f t="shared" si="2"/>
        <v>NO</v>
      </c>
      <c r="I771" s="7" t="str">
        <f t="shared" si="3"/>
        <v>NO</v>
      </c>
    </row>
    <row r="772">
      <c r="A772" s="4">
        <f>IFERROR(__xludf.DUMMYFUNCTION("""COMPUTED_VALUE"""),1152885.0)</f>
        <v>1152885</v>
      </c>
      <c r="B772" s="4" t="str">
        <f>IFERROR(__xludf.DUMMYFUNCTION("""COMPUTED_VALUE"""),"P5 - None")</f>
        <v>P5 - None</v>
      </c>
      <c r="C772" s="5">
        <f>IFERROR(__xludf.DUMMYFUNCTION("""COMPUTED_VALUE"""),43741.384097222224)</f>
        <v>43741.3841</v>
      </c>
      <c r="D772" s="4" t="str">
        <f>IFERROR(__xludf.DUMMYFUNCTION("""COMPUTED_VALUE"""),"RESOLVED")</f>
        <v>RESOLVED</v>
      </c>
      <c r="E772" s="6">
        <f>IFERROR(__xludf.DUMMYFUNCTION("""COMPUTED_VALUE"""),44384.78821759259)</f>
        <v>44384.78822</v>
      </c>
      <c r="F772" s="4" t="str">
        <f>IFERROR(__xludf.DUMMYFUNCTION("""COMPUTED_VALUE""")," ---")</f>
        <v> ---</v>
      </c>
      <c r="G772" s="4" t="str">
        <f>IFERROR(__xludf.DUMMYFUNCTION("""COMPUTED_VALUE"""),"SUSE Linux Enterprise Server 15 SP2")</f>
        <v>SUSE Linux Enterprise Server 15 SP2</v>
      </c>
      <c r="H772" s="7" t="str">
        <f t="shared" si="2"/>
        <v>NO</v>
      </c>
      <c r="I772" s="7" t="str">
        <f t="shared" si="3"/>
        <v>NO</v>
      </c>
    </row>
    <row r="773">
      <c r="A773" s="4">
        <f>IFERROR(__xludf.DUMMYFUNCTION("""COMPUTED_VALUE"""),1156773.0)</f>
        <v>1156773</v>
      </c>
      <c r="B773" s="4" t="str">
        <f>IFERROR(__xludf.DUMMYFUNCTION("""COMPUTED_VALUE"""),"P5 - None")</f>
        <v>P5 - None</v>
      </c>
      <c r="C773" s="5">
        <f>IFERROR(__xludf.DUMMYFUNCTION("""COMPUTED_VALUE"""),43783.54887731482)</f>
        <v>43783.54888</v>
      </c>
      <c r="D773" s="4" t="str">
        <f>IFERROR(__xludf.DUMMYFUNCTION("""COMPUTED_VALUE"""),"RESOLVED")</f>
        <v>RESOLVED</v>
      </c>
      <c r="E773" s="6">
        <f>IFERROR(__xludf.DUMMYFUNCTION("""COMPUTED_VALUE"""),44384.79267361111)</f>
        <v>44384.79267</v>
      </c>
      <c r="F773" s="4" t="str">
        <f>IFERROR(__xludf.DUMMYFUNCTION("""COMPUTED_VALUE""")," ---")</f>
        <v> ---</v>
      </c>
      <c r="G773" s="4" t="str">
        <f>IFERROR(__xludf.DUMMYFUNCTION("""COMPUTED_VALUE"""),"SUSE Linux Enterprise Server 15 SP2")</f>
        <v>SUSE Linux Enterprise Server 15 SP2</v>
      </c>
      <c r="H773" s="7" t="str">
        <f t="shared" si="2"/>
        <v>NO</v>
      </c>
      <c r="I773" s="7" t="str">
        <f t="shared" si="3"/>
        <v>NO</v>
      </c>
    </row>
    <row r="774">
      <c r="A774" s="4">
        <f>IFERROR(__xludf.DUMMYFUNCTION("""COMPUTED_VALUE"""),1158757.0)</f>
        <v>1158757</v>
      </c>
      <c r="B774" s="4" t="str">
        <f>IFERROR(__xludf.DUMMYFUNCTION("""COMPUTED_VALUE"""),"P5 - None")</f>
        <v>P5 - None</v>
      </c>
      <c r="C774" s="5">
        <f>IFERROR(__xludf.DUMMYFUNCTION("""COMPUTED_VALUE"""),43808.38484953704)</f>
        <v>43808.38485</v>
      </c>
      <c r="D774" s="4" t="str">
        <f>IFERROR(__xludf.DUMMYFUNCTION("""COMPUTED_VALUE"""),"RESOLVED")</f>
        <v>RESOLVED</v>
      </c>
      <c r="E774" s="6">
        <f>IFERROR(__xludf.DUMMYFUNCTION("""COMPUTED_VALUE"""),43810.19372685185)</f>
        <v>43810.19373</v>
      </c>
      <c r="F774" s="4" t="str">
        <f>IFERROR(__xludf.DUMMYFUNCTION("""COMPUTED_VALUE""")," ---")</f>
        <v> ---</v>
      </c>
      <c r="G774" s="4" t="str">
        <f>IFERROR(__xludf.DUMMYFUNCTION("""COMPUTED_VALUE"""),"SUSE Linux Enterprise Server 15 SP2")</f>
        <v>SUSE Linux Enterprise Server 15 SP2</v>
      </c>
      <c r="H774" s="7" t="str">
        <f t="shared" si="2"/>
        <v>NO</v>
      </c>
      <c r="I774" s="7" t="str">
        <f t="shared" si="3"/>
        <v>NO</v>
      </c>
    </row>
    <row r="775">
      <c r="A775" s="4">
        <f>IFERROR(__xludf.DUMMYFUNCTION("""COMPUTED_VALUE"""),1160486.0)</f>
        <v>1160486</v>
      </c>
      <c r="B775" s="4" t="str">
        <f>IFERROR(__xludf.DUMMYFUNCTION("""COMPUTED_VALUE"""),"P5 - None")</f>
        <v>P5 - None</v>
      </c>
      <c r="C775" s="5">
        <f>IFERROR(__xludf.DUMMYFUNCTION("""COMPUTED_VALUE"""),43838.81599537037)</f>
        <v>43838.816</v>
      </c>
      <c r="D775" s="4" t="str">
        <f>IFERROR(__xludf.DUMMYFUNCTION("""COMPUTED_VALUE"""),"RESOLVED")</f>
        <v>RESOLVED</v>
      </c>
      <c r="E775" s="6">
        <f>IFERROR(__xludf.DUMMYFUNCTION("""COMPUTED_VALUE"""),43839.46616898148)</f>
        <v>43839.46617</v>
      </c>
      <c r="F775" s="4" t="str">
        <f>IFERROR(__xludf.DUMMYFUNCTION("""COMPUTED_VALUE""")," ---")</f>
        <v> ---</v>
      </c>
      <c r="G775" s="4" t="str">
        <f>IFERROR(__xludf.DUMMYFUNCTION("""COMPUTED_VALUE"""),"SUSE Linux Enterprise Server 15 SP2")</f>
        <v>SUSE Linux Enterprise Server 15 SP2</v>
      </c>
      <c r="H775" s="7" t="str">
        <f t="shared" si="2"/>
        <v>NO</v>
      </c>
      <c r="I775" s="7" t="str">
        <f t="shared" si="3"/>
        <v>NO</v>
      </c>
    </row>
    <row r="776">
      <c r="A776" s="4">
        <f>IFERROR(__xludf.DUMMYFUNCTION("""COMPUTED_VALUE"""),1160848.0)</f>
        <v>1160848</v>
      </c>
      <c r="B776" s="4" t="str">
        <f>IFERROR(__xludf.DUMMYFUNCTION("""COMPUTED_VALUE"""),"P5 - None")</f>
        <v>P5 - None</v>
      </c>
      <c r="C776" s="5">
        <f>IFERROR(__xludf.DUMMYFUNCTION("""COMPUTED_VALUE"""),43844.35298611111)</f>
        <v>43844.35299</v>
      </c>
      <c r="D776" s="4" t="str">
        <f>IFERROR(__xludf.DUMMYFUNCTION("""COMPUTED_VALUE"""),"RESOLVED")</f>
        <v>RESOLVED</v>
      </c>
      <c r="E776" s="6">
        <f>IFERROR(__xludf.DUMMYFUNCTION("""COMPUTED_VALUE"""),43844.35811342593)</f>
        <v>43844.35811</v>
      </c>
      <c r="F776" s="4" t="str">
        <f>IFERROR(__xludf.DUMMYFUNCTION("""COMPUTED_VALUE""")," ---")</f>
        <v> ---</v>
      </c>
      <c r="G776" s="4" t="str">
        <f>IFERROR(__xludf.DUMMYFUNCTION("""COMPUTED_VALUE"""),"SUSE Linux Enterprise Server 15 SP2")</f>
        <v>SUSE Linux Enterprise Server 15 SP2</v>
      </c>
      <c r="H776" s="7" t="str">
        <f t="shared" si="2"/>
        <v>NO</v>
      </c>
      <c r="I776" s="7" t="str">
        <f t="shared" si="3"/>
        <v>NO</v>
      </c>
    </row>
    <row r="777">
      <c r="A777" s="4">
        <f>IFERROR(__xludf.DUMMYFUNCTION("""COMPUTED_VALUE"""),1160855.0)</f>
        <v>1160855</v>
      </c>
      <c r="B777" s="4" t="str">
        <f>IFERROR(__xludf.DUMMYFUNCTION("""COMPUTED_VALUE"""),"P5 - None")</f>
        <v>P5 - None</v>
      </c>
      <c r="C777" s="5">
        <f>IFERROR(__xludf.DUMMYFUNCTION("""COMPUTED_VALUE"""),43844.382627314815)</f>
        <v>43844.38263</v>
      </c>
      <c r="D777" s="4" t="str">
        <f>IFERROR(__xludf.DUMMYFUNCTION("""COMPUTED_VALUE"""),"RESOLVED")</f>
        <v>RESOLVED</v>
      </c>
      <c r="E777" s="6">
        <f>IFERROR(__xludf.DUMMYFUNCTION("""COMPUTED_VALUE"""),43844.387777777774)</f>
        <v>43844.38778</v>
      </c>
      <c r="F777" s="4" t="str">
        <f>IFERROR(__xludf.DUMMYFUNCTION("""COMPUTED_VALUE""")," ---")</f>
        <v> ---</v>
      </c>
      <c r="G777" s="4" t="str">
        <f>IFERROR(__xludf.DUMMYFUNCTION("""COMPUTED_VALUE"""),"SUSE Linux Enterprise Server 15 SP2")</f>
        <v>SUSE Linux Enterprise Server 15 SP2</v>
      </c>
      <c r="H777" s="7" t="str">
        <f t="shared" si="2"/>
        <v>NO</v>
      </c>
      <c r="I777" s="7" t="str">
        <f t="shared" si="3"/>
        <v>NO</v>
      </c>
    </row>
    <row r="778">
      <c r="A778" s="4">
        <f>IFERROR(__xludf.DUMMYFUNCTION("""COMPUTED_VALUE"""),1161424.0)</f>
        <v>1161424</v>
      </c>
      <c r="B778" s="4" t="str">
        <f>IFERROR(__xludf.DUMMYFUNCTION("""COMPUTED_VALUE"""),"P5 - None")</f>
        <v>P5 - None</v>
      </c>
      <c r="C778" s="5">
        <f>IFERROR(__xludf.DUMMYFUNCTION("""COMPUTED_VALUE"""),43851.54981481482)</f>
        <v>43851.54981</v>
      </c>
      <c r="D778" s="4" t="str">
        <f>IFERROR(__xludf.DUMMYFUNCTION("""COMPUTED_VALUE"""),"RESOLVED")</f>
        <v>RESOLVED</v>
      </c>
      <c r="E778" s="6">
        <f>IFERROR(__xludf.DUMMYFUNCTION("""COMPUTED_VALUE"""),43851.58190972222)</f>
        <v>43851.58191</v>
      </c>
      <c r="F778" s="4" t="str">
        <f>IFERROR(__xludf.DUMMYFUNCTION("""COMPUTED_VALUE"""),"Yes")</f>
        <v>Yes</v>
      </c>
      <c r="G778" s="4" t="str">
        <f>IFERROR(__xludf.DUMMYFUNCTION("""COMPUTED_VALUE"""),"SUSE Linux Enterprise Server 15 SP2")</f>
        <v>SUSE Linux Enterprise Server 15 SP2</v>
      </c>
      <c r="H778" s="7" t="str">
        <f t="shared" si="2"/>
        <v>NO</v>
      </c>
      <c r="I778" s="7" t="str">
        <f t="shared" si="3"/>
        <v>NO</v>
      </c>
    </row>
    <row r="779">
      <c r="A779" s="4">
        <f>IFERROR(__xludf.DUMMYFUNCTION("""COMPUTED_VALUE"""),1161426.0)</f>
        <v>1161426</v>
      </c>
      <c r="B779" s="4" t="str">
        <f>IFERROR(__xludf.DUMMYFUNCTION("""COMPUTED_VALUE"""),"P5 - None")</f>
        <v>P5 - None</v>
      </c>
      <c r="C779" s="5">
        <f>IFERROR(__xludf.DUMMYFUNCTION("""COMPUTED_VALUE"""),43851.56297453704)</f>
        <v>43851.56297</v>
      </c>
      <c r="D779" s="4" t="str">
        <f>IFERROR(__xludf.DUMMYFUNCTION("""COMPUTED_VALUE"""),"RESOLVED")</f>
        <v>RESOLVED</v>
      </c>
      <c r="E779" s="6">
        <f>IFERROR(__xludf.DUMMYFUNCTION("""COMPUTED_VALUE"""),43851.582291666666)</f>
        <v>43851.58229</v>
      </c>
      <c r="F779" s="4" t="str">
        <f>IFERROR(__xludf.DUMMYFUNCTION("""COMPUTED_VALUE"""),"Yes")</f>
        <v>Yes</v>
      </c>
      <c r="G779" s="4" t="str">
        <f>IFERROR(__xludf.DUMMYFUNCTION("""COMPUTED_VALUE"""),"SUSE Linux Enterprise Server 15 SP2")</f>
        <v>SUSE Linux Enterprise Server 15 SP2</v>
      </c>
      <c r="H779" s="7" t="str">
        <f t="shared" si="2"/>
        <v>NO</v>
      </c>
      <c r="I779" s="7" t="str">
        <f t="shared" si="3"/>
        <v>NO</v>
      </c>
    </row>
    <row r="780">
      <c r="A780" s="4">
        <f>IFERROR(__xludf.DUMMYFUNCTION("""COMPUTED_VALUE"""),1161731.0)</f>
        <v>1161731</v>
      </c>
      <c r="B780" s="4" t="str">
        <f>IFERROR(__xludf.DUMMYFUNCTION("""COMPUTED_VALUE"""),"P5 - None")</f>
        <v>P5 - None</v>
      </c>
      <c r="C780" s="5">
        <f>IFERROR(__xludf.DUMMYFUNCTION("""COMPUTED_VALUE"""),43853.872083333335)</f>
        <v>43853.87208</v>
      </c>
      <c r="D780" s="4" t="str">
        <f>IFERROR(__xludf.DUMMYFUNCTION("""COMPUTED_VALUE"""),"RESOLVED")</f>
        <v>RESOLVED</v>
      </c>
      <c r="E780" s="6">
        <f>IFERROR(__xludf.DUMMYFUNCTION("""COMPUTED_VALUE"""),44384.802407407406)</f>
        <v>44384.80241</v>
      </c>
      <c r="F780" s="4" t="str">
        <f>IFERROR(__xludf.DUMMYFUNCTION("""COMPUTED_VALUE""")," ---")</f>
        <v> ---</v>
      </c>
      <c r="G780" s="4" t="str">
        <f>IFERROR(__xludf.DUMMYFUNCTION("""COMPUTED_VALUE"""),"SUSE Linux Enterprise Server 15 SP2")</f>
        <v>SUSE Linux Enterprise Server 15 SP2</v>
      </c>
      <c r="H780" s="7" t="str">
        <f t="shared" si="2"/>
        <v>NO</v>
      </c>
      <c r="I780" s="7" t="str">
        <f t="shared" si="3"/>
        <v>NO</v>
      </c>
    </row>
    <row r="781">
      <c r="A781" s="4">
        <f>IFERROR(__xludf.DUMMYFUNCTION("""COMPUTED_VALUE"""),1166400.0)</f>
        <v>1166400</v>
      </c>
      <c r="B781" s="4" t="str">
        <f>IFERROR(__xludf.DUMMYFUNCTION("""COMPUTED_VALUE"""),"P5 - None")</f>
        <v>P5 - None</v>
      </c>
      <c r="C781" s="5">
        <f>IFERROR(__xludf.DUMMYFUNCTION("""COMPUTED_VALUE"""),43901.63835648148)</f>
        <v>43901.63836</v>
      </c>
      <c r="D781" s="4" t="str">
        <f>IFERROR(__xludf.DUMMYFUNCTION("""COMPUTED_VALUE"""),"RESOLVED")</f>
        <v>RESOLVED</v>
      </c>
      <c r="E781" s="6">
        <f>IFERROR(__xludf.DUMMYFUNCTION("""COMPUTED_VALUE"""),43909.49787037037)</f>
        <v>43909.49787</v>
      </c>
      <c r="F781" s="4" t="str">
        <f>IFERROR(__xludf.DUMMYFUNCTION("""COMPUTED_VALUE""")," ---")</f>
        <v> ---</v>
      </c>
      <c r="G781" s="4" t="str">
        <f>IFERROR(__xludf.DUMMYFUNCTION("""COMPUTED_VALUE"""),"SUSE Linux Enterprise Server 15 SP2")</f>
        <v>SUSE Linux Enterprise Server 15 SP2</v>
      </c>
      <c r="H781" s="7" t="str">
        <f t="shared" si="2"/>
        <v>NO</v>
      </c>
      <c r="I781" s="7" t="str">
        <f t="shared" si="3"/>
        <v>NO</v>
      </c>
    </row>
    <row r="782">
      <c r="A782" s="4">
        <f>IFERROR(__xludf.DUMMYFUNCTION("""COMPUTED_VALUE"""),1169074.0)</f>
        <v>1169074</v>
      </c>
      <c r="B782" s="4" t="str">
        <f>IFERROR(__xludf.DUMMYFUNCTION("""COMPUTED_VALUE"""),"P5 - None")</f>
        <v>P5 - None</v>
      </c>
      <c r="C782" s="5">
        <f>IFERROR(__xludf.DUMMYFUNCTION("""COMPUTED_VALUE"""),43930.420486111114)</f>
        <v>43930.42049</v>
      </c>
      <c r="D782" s="4" t="str">
        <f>IFERROR(__xludf.DUMMYFUNCTION("""COMPUTED_VALUE"""),"RESOLVED")</f>
        <v>RESOLVED</v>
      </c>
      <c r="E782" s="6">
        <f>IFERROR(__xludf.DUMMYFUNCTION("""COMPUTED_VALUE"""),43934.59918981481)</f>
        <v>43934.59919</v>
      </c>
      <c r="F782" s="4" t="str">
        <f>IFERROR(__xludf.DUMMYFUNCTION("""COMPUTED_VALUE""")," ---")</f>
        <v> ---</v>
      </c>
      <c r="G782" s="4" t="str">
        <f>IFERROR(__xludf.DUMMYFUNCTION("""COMPUTED_VALUE"""),"SUSE Linux Enterprise Server 15 SP2")</f>
        <v>SUSE Linux Enterprise Server 15 SP2</v>
      </c>
      <c r="H782" s="7" t="str">
        <f t="shared" si="2"/>
        <v>NO</v>
      </c>
      <c r="I782" s="7" t="str">
        <f t="shared" si="3"/>
        <v>NO</v>
      </c>
    </row>
    <row r="783">
      <c r="A783" s="4">
        <f>IFERROR(__xludf.DUMMYFUNCTION("""COMPUTED_VALUE"""),1169685.0)</f>
        <v>1169685</v>
      </c>
      <c r="B783" s="4" t="str">
        <f>IFERROR(__xludf.DUMMYFUNCTION("""COMPUTED_VALUE"""),"P5 - None")</f>
        <v>P5 - None</v>
      </c>
      <c r="C783" s="5">
        <f>IFERROR(__xludf.DUMMYFUNCTION("""COMPUTED_VALUE"""),43937.681655092594)</f>
        <v>43937.68166</v>
      </c>
      <c r="D783" s="4" t="str">
        <f>IFERROR(__xludf.DUMMYFUNCTION("""COMPUTED_VALUE"""),"RESOLVED")</f>
        <v>RESOLVED</v>
      </c>
      <c r="E783" s="6">
        <f>IFERROR(__xludf.DUMMYFUNCTION("""COMPUTED_VALUE"""),43937.687685185185)</f>
        <v>43937.68769</v>
      </c>
      <c r="F783" s="4" t="str">
        <f>IFERROR(__xludf.DUMMYFUNCTION("""COMPUTED_VALUE"""),"Yes")</f>
        <v>Yes</v>
      </c>
      <c r="G783" s="4" t="str">
        <f>IFERROR(__xludf.DUMMYFUNCTION("""COMPUTED_VALUE"""),"SUSE Linux Enterprise Server 15 SP2")</f>
        <v>SUSE Linux Enterprise Server 15 SP2</v>
      </c>
      <c r="H783" s="7" t="str">
        <f t="shared" si="2"/>
        <v>NO</v>
      </c>
      <c r="I783" s="7" t="str">
        <f t="shared" si="3"/>
        <v>NO</v>
      </c>
    </row>
    <row r="784">
      <c r="A784" s="4">
        <f>IFERROR(__xludf.DUMMYFUNCTION("""COMPUTED_VALUE"""),1170791.0)</f>
        <v>1170791</v>
      </c>
      <c r="B784" s="4" t="str">
        <f>IFERROR(__xludf.DUMMYFUNCTION("""COMPUTED_VALUE"""),"P5 - None")</f>
        <v>P5 - None</v>
      </c>
      <c r="C784" s="5">
        <f>IFERROR(__xludf.DUMMYFUNCTION("""COMPUTED_VALUE"""),43950.39829861111)</f>
        <v>43950.3983</v>
      </c>
      <c r="D784" s="4" t="str">
        <f>IFERROR(__xludf.DUMMYFUNCTION("""COMPUTED_VALUE"""),"RESOLVED")</f>
        <v>RESOLVED</v>
      </c>
      <c r="E784" s="6">
        <f>IFERROR(__xludf.DUMMYFUNCTION("""COMPUTED_VALUE"""),44624.92240740741)</f>
        <v>44624.92241</v>
      </c>
      <c r="F784" s="4" t="str">
        <f>IFERROR(__xludf.DUMMYFUNCTION("""COMPUTED_VALUE""")," ---")</f>
        <v> ---</v>
      </c>
      <c r="G784" s="4" t="str">
        <f>IFERROR(__xludf.DUMMYFUNCTION("""COMPUTED_VALUE"""),"SUSE Linux Enterprise Server 15 SP2")</f>
        <v>SUSE Linux Enterprise Server 15 SP2</v>
      </c>
      <c r="H784" s="7" t="str">
        <f t="shared" si="2"/>
        <v>NO</v>
      </c>
      <c r="I784" s="7" t="str">
        <f t="shared" si="3"/>
        <v>NO</v>
      </c>
    </row>
    <row r="785">
      <c r="A785" s="4">
        <f>IFERROR(__xludf.DUMMYFUNCTION("""COMPUTED_VALUE"""),1171773.0)</f>
        <v>1171773</v>
      </c>
      <c r="B785" s="4" t="str">
        <f>IFERROR(__xludf.DUMMYFUNCTION("""COMPUTED_VALUE"""),"P5 - None")</f>
        <v>P5 - None</v>
      </c>
      <c r="C785" s="5">
        <f>IFERROR(__xludf.DUMMYFUNCTION("""COMPUTED_VALUE"""),43967.70685185185)</f>
        <v>43967.70685</v>
      </c>
      <c r="D785" s="4" t="str">
        <f>IFERROR(__xludf.DUMMYFUNCTION("""COMPUTED_VALUE"""),"RESOLVED")</f>
        <v>RESOLVED</v>
      </c>
      <c r="E785" s="6">
        <f>IFERROR(__xludf.DUMMYFUNCTION("""COMPUTED_VALUE"""),44384.829189814816)</f>
        <v>44384.82919</v>
      </c>
      <c r="F785" s="4" t="str">
        <f>IFERROR(__xludf.DUMMYFUNCTION("""COMPUTED_VALUE""")," ---")</f>
        <v> ---</v>
      </c>
      <c r="G785" s="4" t="str">
        <f>IFERROR(__xludf.DUMMYFUNCTION("""COMPUTED_VALUE"""),"SUSE Linux Enterprise Server 15 SP2")</f>
        <v>SUSE Linux Enterprise Server 15 SP2</v>
      </c>
      <c r="H785" s="7" t="str">
        <f t="shared" si="2"/>
        <v>NO</v>
      </c>
      <c r="I785" s="7" t="str">
        <f t="shared" si="3"/>
        <v>NO</v>
      </c>
    </row>
    <row r="786">
      <c r="A786" s="4">
        <f>IFERROR(__xludf.DUMMYFUNCTION("""COMPUTED_VALUE"""),1171774.0)</f>
        <v>1171774</v>
      </c>
      <c r="B786" s="4" t="str">
        <f>IFERROR(__xludf.DUMMYFUNCTION("""COMPUTED_VALUE"""),"P5 - None")</f>
        <v>P5 - None</v>
      </c>
      <c r="C786" s="5">
        <f>IFERROR(__xludf.DUMMYFUNCTION("""COMPUTED_VALUE"""),43967.70706018519)</f>
        <v>43967.70706</v>
      </c>
      <c r="D786" s="4" t="str">
        <f>IFERROR(__xludf.DUMMYFUNCTION("""COMPUTED_VALUE"""),"RESOLVED")</f>
        <v>RESOLVED</v>
      </c>
      <c r="E786" s="6">
        <f>IFERROR(__xludf.DUMMYFUNCTION("""COMPUTED_VALUE"""),44384.82925925926)</f>
        <v>44384.82926</v>
      </c>
      <c r="F786" s="4" t="str">
        <f>IFERROR(__xludf.DUMMYFUNCTION("""COMPUTED_VALUE""")," ---")</f>
        <v> ---</v>
      </c>
      <c r="G786" s="4" t="str">
        <f>IFERROR(__xludf.DUMMYFUNCTION("""COMPUTED_VALUE"""),"SUSE Linux Enterprise Server 15 SP2")</f>
        <v>SUSE Linux Enterprise Server 15 SP2</v>
      </c>
      <c r="H786" s="7" t="str">
        <f t="shared" si="2"/>
        <v>NO</v>
      </c>
      <c r="I786" s="7" t="str">
        <f t="shared" si="3"/>
        <v>NO</v>
      </c>
    </row>
    <row r="787">
      <c r="A787" s="4">
        <f>IFERROR(__xludf.DUMMYFUNCTION("""COMPUTED_VALUE"""),1171775.0)</f>
        <v>1171775</v>
      </c>
      <c r="B787" s="4" t="str">
        <f>IFERROR(__xludf.DUMMYFUNCTION("""COMPUTED_VALUE"""),"P5 - None")</f>
        <v>P5 - None</v>
      </c>
      <c r="C787" s="5">
        <f>IFERROR(__xludf.DUMMYFUNCTION("""COMPUTED_VALUE"""),43967.70726851852)</f>
        <v>43967.70727</v>
      </c>
      <c r="D787" s="4" t="str">
        <f>IFERROR(__xludf.DUMMYFUNCTION("""COMPUTED_VALUE"""),"RESOLVED")</f>
        <v>RESOLVED</v>
      </c>
      <c r="E787" s="6">
        <f>IFERROR(__xludf.DUMMYFUNCTION("""COMPUTED_VALUE"""),44384.8293287037)</f>
        <v>44384.82933</v>
      </c>
      <c r="F787" s="4" t="str">
        <f>IFERROR(__xludf.DUMMYFUNCTION("""COMPUTED_VALUE""")," ---")</f>
        <v> ---</v>
      </c>
      <c r="G787" s="4" t="str">
        <f>IFERROR(__xludf.DUMMYFUNCTION("""COMPUTED_VALUE"""),"SUSE Linux Enterprise Server 15 SP2")</f>
        <v>SUSE Linux Enterprise Server 15 SP2</v>
      </c>
      <c r="H787" s="7" t="str">
        <f t="shared" si="2"/>
        <v>NO</v>
      </c>
      <c r="I787" s="7" t="str">
        <f t="shared" si="3"/>
        <v>NO</v>
      </c>
    </row>
    <row r="788">
      <c r="A788" s="4">
        <f>IFERROR(__xludf.DUMMYFUNCTION("""COMPUTED_VALUE"""),1171776.0)</f>
        <v>1171776</v>
      </c>
      <c r="B788" s="4" t="str">
        <f>IFERROR(__xludf.DUMMYFUNCTION("""COMPUTED_VALUE"""),"P5 - None")</f>
        <v>P5 - None</v>
      </c>
      <c r="C788" s="5">
        <f>IFERROR(__xludf.DUMMYFUNCTION("""COMPUTED_VALUE"""),43967.70747685185)</f>
        <v>43967.70748</v>
      </c>
      <c r="D788" s="4" t="str">
        <f>IFERROR(__xludf.DUMMYFUNCTION("""COMPUTED_VALUE"""),"RESOLVED")</f>
        <v>RESOLVED</v>
      </c>
      <c r="E788" s="6">
        <f>IFERROR(__xludf.DUMMYFUNCTION("""COMPUTED_VALUE"""),44384.82939814815)</f>
        <v>44384.8294</v>
      </c>
      <c r="F788" s="4" t="str">
        <f>IFERROR(__xludf.DUMMYFUNCTION("""COMPUTED_VALUE""")," ---")</f>
        <v> ---</v>
      </c>
      <c r="G788" s="4" t="str">
        <f>IFERROR(__xludf.DUMMYFUNCTION("""COMPUTED_VALUE"""),"SUSE Linux Enterprise Server 15 SP2")</f>
        <v>SUSE Linux Enterprise Server 15 SP2</v>
      </c>
      <c r="H788" s="7" t="str">
        <f t="shared" si="2"/>
        <v>NO</v>
      </c>
      <c r="I788" s="7" t="str">
        <f t="shared" si="3"/>
        <v>NO</v>
      </c>
    </row>
    <row r="789">
      <c r="A789" s="4">
        <f>IFERROR(__xludf.DUMMYFUNCTION("""COMPUTED_VALUE"""),1171777.0)</f>
        <v>1171777</v>
      </c>
      <c r="B789" s="4" t="str">
        <f>IFERROR(__xludf.DUMMYFUNCTION("""COMPUTED_VALUE"""),"P5 - None")</f>
        <v>P5 - None</v>
      </c>
      <c r="C789" s="5">
        <f>IFERROR(__xludf.DUMMYFUNCTION("""COMPUTED_VALUE"""),43967.70769675926)</f>
        <v>43967.7077</v>
      </c>
      <c r="D789" s="4" t="str">
        <f>IFERROR(__xludf.DUMMYFUNCTION("""COMPUTED_VALUE"""),"RESOLVED")</f>
        <v>RESOLVED</v>
      </c>
      <c r="E789" s="6">
        <f>IFERROR(__xludf.DUMMYFUNCTION("""COMPUTED_VALUE"""),44384.82946759259)</f>
        <v>44384.82947</v>
      </c>
      <c r="F789" s="4" t="str">
        <f>IFERROR(__xludf.DUMMYFUNCTION("""COMPUTED_VALUE""")," ---")</f>
        <v> ---</v>
      </c>
      <c r="G789" s="4" t="str">
        <f>IFERROR(__xludf.DUMMYFUNCTION("""COMPUTED_VALUE"""),"SUSE Linux Enterprise Server 15 SP2")</f>
        <v>SUSE Linux Enterprise Server 15 SP2</v>
      </c>
      <c r="H789" s="7" t="str">
        <f t="shared" si="2"/>
        <v>NO</v>
      </c>
      <c r="I789" s="7" t="str">
        <f t="shared" si="3"/>
        <v>NO</v>
      </c>
    </row>
    <row r="790">
      <c r="A790" s="4">
        <f>IFERROR(__xludf.DUMMYFUNCTION("""COMPUTED_VALUE"""),1171778.0)</f>
        <v>1171778</v>
      </c>
      <c r="B790" s="4" t="str">
        <f>IFERROR(__xludf.DUMMYFUNCTION("""COMPUTED_VALUE"""),"P5 - None")</f>
        <v>P5 - None</v>
      </c>
      <c r="C790" s="5">
        <f>IFERROR(__xludf.DUMMYFUNCTION("""COMPUTED_VALUE"""),43967.70790509259)</f>
        <v>43967.70791</v>
      </c>
      <c r="D790" s="4" t="str">
        <f>IFERROR(__xludf.DUMMYFUNCTION("""COMPUTED_VALUE"""),"RESOLVED")</f>
        <v>RESOLVED</v>
      </c>
      <c r="E790" s="6">
        <f>IFERROR(__xludf.DUMMYFUNCTION("""COMPUTED_VALUE"""),44384.82954861111)</f>
        <v>44384.82955</v>
      </c>
      <c r="F790" s="4" t="str">
        <f>IFERROR(__xludf.DUMMYFUNCTION("""COMPUTED_VALUE""")," ---")</f>
        <v> ---</v>
      </c>
      <c r="G790" s="4" t="str">
        <f>IFERROR(__xludf.DUMMYFUNCTION("""COMPUTED_VALUE"""),"SUSE Linux Enterprise Server 15 SP2")</f>
        <v>SUSE Linux Enterprise Server 15 SP2</v>
      </c>
      <c r="H790" s="7" t="str">
        <f t="shared" si="2"/>
        <v>NO</v>
      </c>
      <c r="I790" s="7" t="str">
        <f t="shared" si="3"/>
        <v>NO</v>
      </c>
    </row>
    <row r="791">
      <c r="A791" s="4">
        <f>IFERROR(__xludf.DUMMYFUNCTION("""COMPUTED_VALUE"""),1171779.0)</f>
        <v>1171779</v>
      </c>
      <c r="B791" s="4" t="str">
        <f>IFERROR(__xludf.DUMMYFUNCTION("""COMPUTED_VALUE"""),"P5 - None")</f>
        <v>P5 - None</v>
      </c>
      <c r="C791" s="5">
        <f>IFERROR(__xludf.DUMMYFUNCTION("""COMPUTED_VALUE"""),43967.70811342593)</f>
        <v>43967.70811</v>
      </c>
      <c r="D791" s="4" t="str">
        <f>IFERROR(__xludf.DUMMYFUNCTION("""COMPUTED_VALUE"""),"RESOLVED")</f>
        <v>RESOLVED</v>
      </c>
      <c r="E791" s="6">
        <f>IFERROR(__xludf.DUMMYFUNCTION("""COMPUTED_VALUE"""),44384.829618055555)</f>
        <v>44384.82962</v>
      </c>
      <c r="F791" s="4" t="str">
        <f>IFERROR(__xludf.DUMMYFUNCTION("""COMPUTED_VALUE""")," ---")</f>
        <v> ---</v>
      </c>
      <c r="G791" s="4" t="str">
        <f>IFERROR(__xludf.DUMMYFUNCTION("""COMPUTED_VALUE"""),"SUSE Linux Enterprise Server 15 SP2")</f>
        <v>SUSE Linux Enterprise Server 15 SP2</v>
      </c>
      <c r="H791" s="7" t="str">
        <f t="shared" si="2"/>
        <v>NO</v>
      </c>
      <c r="I791" s="7" t="str">
        <f t="shared" si="3"/>
        <v>NO</v>
      </c>
    </row>
    <row r="792">
      <c r="A792" s="4">
        <f>IFERROR(__xludf.DUMMYFUNCTION("""COMPUTED_VALUE"""),1171780.0)</f>
        <v>1171780</v>
      </c>
      <c r="B792" s="4" t="str">
        <f>IFERROR(__xludf.DUMMYFUNCTION("""COMPUTED_VALUE"""),"P5 - None")</f>
        <v>P5 - None</v>
      </c>
      <c r="C792" s="5">
        <f>IFERROR(__xludf.DUMMYFUNCTION("""COMPUTED_VALUE"""),43967.70832175926)</f>
        <v>43967.70832</v>
      </c>
      <c r="D792" s="4" t="str">
        <f>IFERROR(__xludf.DUMMYFUNCTION("""COMPUTED_VALUE"""),"RESOLVED")</f>
        <v>RESOLVED</v>
      </c>
      <c r="E792" s="6">
        <f>IFERROR(__xludf.DUMMYFUNCTION("""COMPUTED_VALUE"""),44384.82969907407)</f>
        <v>44384.8297</v>
      </c>
      <c r="F792" s="4" t="str">
        <f>IFERROR(__xludf.DUMMYFUNCTION("""COMPUTED_VALUE""")," ---")</f>
        <v> ---</v>
      </c>
      <c r="G792" s="4" t="str">
        <f>IFERROR(__xludf.DUMMYFUNCTION("""COMPUTED_VALUE"""),"SUSE Linux Enterprise Server 15 SP2")</f>
        <v>SUSE Linux Enterprise Server 15 SP2</v>
      </c>
      <c r="H792" s="7" t="str">
        <f t="shared" si="2"/>
        <v>NO</v>
      </c>
      <c r="I792" s="7" t="str">
        <f t="shared" si="3"/>
        <v>NO</v>
      </c>
    </row>
    <row r="793">
      <c r="A793" s="4">
        <f>IFERROR(__xludf.DUMMYFUNCTION("""COMPUTED_VALUE"""),1171781.0)</f>
        <v>1171781</v>
      </c>
      <c r="B793" s="4" t="str">
        <f>IFERROR(__xludf.DUMMYFUNCTION("""COMPUTED_VALUE"""),"P5 - None")</f>
        <v>P5 - None</v>
      </c>
      <c r="C793" s="5">
        <f>IFERROR(__xludf.DUMMYFUNCTION("""COMPUTED_VALUE"""),43967.70854166667)</f>
        <v>43967.70854</v>
      </c>
      <c r="D793" s="4" t="str">
        <f>IFERROR(__xludf.DUMMYFUNCTION("""COMPUTED_VALUE"""),"RESOLVED")</f>
        <v>RESOLVED</v>
      </c>
      <c r="E793" s="6">
        <f>IFERROR(__xludf.DUMMYFUNCTION("""COMPUTED_VALUE"""),44384.82976851852)</f>
        <v>44384.82977</v>
      </c>
      <c r="F793" s="4" t="str">
        <f>IFERROR(__xludf.DUMMYFUNCTION("""COMPUTED_VALUE""")," ---")</f>
        <v> ---</v>
      </c>
      <c r="G793" s="4" t="str">
        <f>IFERROR(__xludf.DUMMYFUNCTION("""COMPUTED_VALUE"""),"SUSE Linux Enterprise Server 15 SP2")</f>
        <v>SUSE Linux Enterprise Server 15 SP2</v>
      </c>
      <c r="H793" s="7" t="str">
        <f t="shared" si="2"/>
        <v>NO</v>
      </c>
      <c r="I793" s="7" t="str">
        <f t="shared" si="3"/>
        <v>NO</v>
      </c>
    </row>
    <row r="794">
      <c r="A794" s="4">
        <f>IFERROR(__xludf.DUMMYFUNCTION("""COMPUTED_VALUE"""),1171782.0)</f>
        <v>1171782</v>
      </c>
      <c r="B794" s="4" t="str">
        <f>IFERROR(__xludf.DUMMYFUNCTION("""COMPUTED_VALUE"""),"P5 - None")</f>
        <v>P5 - None</v>
      </c>
      <c r="C794" s="5">
        <f>IFERROR(__xludf.DUMMYFUNCTION("""COMPUTED_VALUE"""),43967.70875)</f>
        <v>43967.70875</v>
      </c>
      <c r="D794" s="4" t="str">
        <f>IFERROR(__xludf.DUMMYFUNCTION("""COMPUTED_VALUE"""),"RESOLVED")</f>
        <v>RESOLVED</v>
      </c>
      <c r="E794" s="6">
        <f>IFERROR(__xludf.DUMMYFUNCTION("""COMPUTED_VALUE"""),44384.82983796296)</f>
        <v>44384.82984</v>
      </c>
      <c r="F794" s="4" t="str">
        <f>IFERROR(__xludf.DUMMYFUNCTION("""COMPUTED_VALUE""")," ---")</f>
        <v> ---</v>
      </c>
      <c r="G794" s="4" t="str">
        <f>IFERROR(__xludf.DUMMYFUNCTION("""COMPUTED_VALUE"""),"SUSE Linux Enterprise Server 15 SP2")</f>
        <v>SUSE Linux Enterprise Server 15 SP2</v>
      </c>
      <c r="H794" s="7" t="str">
        <f t="shared" si="2"/>
        <v>NO</v>
      </c>
      <c r="I794" s="7" t="str">
        <f t="shared" si="3"/>
        <v>NO</v>
      </c>
    </row>
    <row r="795">
      <c r="A795" s="4">
        <f>IFERROR(__xludf.DUMMYFUNCTION("""COMPUTED_VALUE"""),1171783.0)</f>
        <v>1171783</v>
      </c>
      <c r="B795" s="4" t="str">
        <f>IFERROR(__xludf.DUMMYFUNCTION("""COMPUTED_VALUE"""),"P5 - None")</f>
        <v>P5 - None</v>
      </c>
      <c r="C795" s="5">
        <f>IFERROR(__xludf.DUMMYFUNCTION("""COMPUTED_VALUE"""),43967.708969907406)</f>
        <v>43967.70897</v>
      </c>
      <c r="D795" s="4" t="str">
        <f>IFERROR(__xludf.DUMMYFUNCTION("""COMPUTED_VALUE"""),"RESOLVED")</f>
        <v>RESOLVED</v>
      </c>
      <c r="E795" s="6">
        <f>IFERROR(__xludf.DUMMYFUNCTION("""COMPUTED_VALUE"""),44384.82991898148)</f>
        <v>44384.82992</v>
      </c>
      <c r="F795" s="4" t="str">
        <f>IFERROR(__xludf.DUMMYFUNCTION("""COMPUTED_VALUE""")," ---")</f>
        <v> ---</v>
      </c>
      <c r="G795" s="4" t="str">
        <f>IFERROR(__xludf.DUMMYFUNCTION("""COMPUTED_VALUE"""),"SUSE Linux Enterprise Server 15 SP2")</f>
        <v>SUSE Linux Enterprise Server 15 SP2</v>
      </c>
      <c r="H795" s="7" t="str">
        <f t="shared" si="2"/>
        <v>NO</v>
      </c>
      <c r="I795" s="7" t="str">
        <f t="shared" si="3"/>
        <v>NO</v>
      </c>
    </row>
    <row r="796">
      <c r="A796" s="4">
        <f>IFERROR(__xludf.DUMMYFUNCTION("""COMPUTED_VALUE"""),1171784.0)</f>
        <v>1171784</v>
      </c>
      <c r="B796" s="4" t="str">
        <f>IFERROR(__xludf.DUMMYFUNCTION("""COMPUTED_VALUE"""),"P5 - None")</f>
        <v>P5 - None</v>
      </c>
      <c r="C796" s="5">
        <f>IFERROR(__xludf.DUMMYFUNCTION("""COMPUTED_VALUE"""),43967.709178240744)</f>
        <v>43967.70918</v>
      </c>
      <c r="D796" s="4" t="str">
        <f>IFERROR(__xludf.DUMMYFUNCTION("""COMPUTED_VALUE"""),"RESOLVED")</f>
        <v>RESOLVED</v>
      </c>
      <c r="E796" s="6">
        <f>IFERROR(__xludf.DUMMYFUNCTION("""COMPUTED_VALUE"""),44384.829988425925)</f>
        <v>44384.82999</v>
      </c>
      <c r="F796" s="4" t="str">
        <f>IFERROR(__xludf.DUMMYFUNCTION("""COMPUTED_VALUE""")," ---")</f>
        <v> ---</v>
      </c>
      <c r="G796" s="4" t="str">
        <f>IFERROR(__xludf.DUMMYFUNCTION("""COMPUTED_VALUE"""),"SUSE Linux Enterprise Server 15 SP2")</f>
        <v>SUSE Linux Enterprise Server 15 SP2</v>
      </c>
      <c r="H796" s="7" t="str">
        <f t="shared" si="2"/>
        <v>NO</v>
      </c>
      <c r="I796" s="7" t="str">
        <f t="shared" si="3"/>
        <v>NO</v>
      </c>
    </row>
    <row r="797">
      <c r="A797" s="4">
        <f>IFERROR(__xludf.DUMMYFUNCTION("""COMPUTED_VALUE"""),1171785.0)</f>
        <v>1171785</v>
      </c>
      <c r="B797" s="4" t="str">
        <f>IFERROR(__xludf.DUMMYFUNCTION("""COMPUTED_VALUE"""),"P5 - None")</f>
        <v>P5 - None</v>
      </c>
      <c r="C797" s="5">
        <f>IFERROR(__xludf.DUMMYFUNCTION("""COMPUTED_VALUE"""),43967.709386574075)</f>
        <v>43967.70939</v>
      </c>
      <c r="D797" s="4" t="str">
        <f>IFERROR(__xludf.DUMMYFUNCTION("""COMPUTED_VALUE"""),"RESOLVED")</f>
        <v>RESOLVED</v>
      </c>
      <c r="E797" s="6">
        <f>IFERROR(__xludf.DUMMYFUNCTION("""COMPUTED_VALUE"""),44384.83005787037)</f>
        <v>44384.83006</v>
      </c>
      <c r="F797" s="4" t="str">
        <f>IFERROR(__xludf.DUMMYFUNCTION("""COMPUTED_VALUE""")," ---")</f>
        <v> ---</v>
      </c>
      <c r="G797" s="4" t="str">
        <f>IFERROR(__xludf.DUMMYFUNCTION("""COMPUTED_VALUE"""),"SUSE Linux Enterprise Server 15 SP2")</f>
        <v>SUSE Linux Enterprise Server 15 SP2</v>
      </c>
      <c r="H797" s="7" t="str">
        <f t="shared" si="2"/>
        <v>NO</v>
      </c>
      <c r="I797" s="7" t="str">
        <f t="shared" si="3"/>
        <v>NO</v>
      </c>
    </row>
    <row r="798">
      <c r="A798" s="4">
        <f>IFERROR(__xludf.DUMMYFUNCTION("""COMPUTED_VALUE"""),1171786.0)</f>
        <v>1171786</v>
      </c>
      <c r="B798" s="4" t="str">
        <f>IFERROR(__xludf.DUMMYFUNCTION("""COMPUTED_VALUE"""),"P5 - None")</f>
        <v>P5 - None</v>
      </c>
      <c r="C798" s="5">
        <f>IFERROR(__xludf.DUMMYFUNCTION("""COMPUTED_VALUE"""),43967.70959490741)</f>
        <v>43967.70959</v>
      </c>
      <c r="D798" s="4" t="str">
        <f>IFERROR(__xludf.DUMMYFUNCTION("""COMPUTED_VALUE"""),"RESOLVED")</f>
        <v>RESOLVED</v>
      </c>
      <c r="E798" s="6">
        <f>IFERROR(__xludf.DUMMYFUNCTION("""COMPUTED_VALUE"""),44384.83012731482)</f>
        <v>44384.83013</v>
      </c>
      <c r="F798" s="4" t="str">
        <f>IFERROR(__xludf.DUMMYFUNCTION("""COMPUTED_VALUE""")," ---")</f>
        <v> ---</v>
      </c>
      <c r="G798" s="4" t="str">
        <f>IFERROR(__xludf.DUMMYFUNCTION("""COMPUTED_VALUE"""),"SUSE Linux Enterprise Server 15 SP2")</f>
        <v>SUSE Linux Enterprise Server 15 SP2</v>
      </c>
      <c r="H798" s="7" t="str">
        <f t="shared" si="2"/>
        <v>NO</v>
      </c>
      <c r="I798" s="7" t="str">
        <f t="shared" si="3"/>
        <v>NO</v>
      </c>
    </row>
    <row r="799">
      <c r="A799" s="4">
        <f>IFERROR(__xludf.DUMMYFUNCTION("""COMPUTED_VALUE"""),1171787.0)</f>
        <v>1171787</v>
      </c>
      <c r="B799" s="4" t="str">
        <f>IFERROR(__xludf.DUMMYFUNCTION("""COMPUTED_VALUE"""),"P5 - None")</f>
        <v>P5 - None</v>
      </c>
      <c r="C799" s="5">
        <f>IFERROR(__xludf.DUMMYFUNCTION("""COMPUTED_VALUE"""),43967.709814814814)</f>
        <v>43967.70981</v>
      </c>
      <c r="D799" s="4" t="str">
        <f>IFERROR(__xludf.DUMMYFUNCTION("""COMPUTED_VALUE"""),"RESOLVED")</f>
        <v>RESOLVED</v>
      </c>
      <c r="E799" s="6">
        <f>IFERROR(__xludf.DUMMYFUNCTION("""COMPUTED_VALUE"""),44384.83020833333)</f>
        <v>44384.83021</v>
      </c>
      <c r="F799" s="4" t="str">
        <f>IFERROR(__xludf.DUMMYFUNCTION("""COMPUTED_VALUE""")," ---")</f>
        <v> ---</v>
      </c>
      <c r="G799" s="4" t="str">
        <f>IFERROR(__xludf.DUMMYFUNCTION("""COMPUTED_VALUE"""),"SUSE Linux Enterprise Server 15 SP2")</f>
        <v>SUSE Linux Enterprise Server 15 SP2</v>
      </c>
      <c r="H799" s="7" t="str">
        <f t="shared" si="2"/>
        <v>NO</v>
      </c>
      <c r="I799" s="7" t="str">
        <f t="shared" si="3"/>
        <v>NO</v>
      </c>
    </row>
    <row r="800">
      <c r="A800" s="4">
        <f>IFERROR(__xludf.DUMMYFUNCTION("""COMPUTED_VALUE"""),1171788.0)</f>
        <v>1171788</v>
      </c>
      <c r="B800" s="4" t="str">
        <f>IFERROR(__xludf.DUMMYFUNCTION("""COMPUTED_VALUE"""),"P5 - None")</f>
        <v>P5 - None</v>
      </c>
      <c r="C800" s="5">
        <f>IFERROR(__xludf.DUMMYFUNCTION("""COMPUTED_VALUE"""),43967.710023148145)</f>
        <v>43967.71002</v>
      </c>
      <c r="D800" s="4" t="str">
        <f>IFERROR(__xludf.DUMMYFUNCTION("""COMPUTED_VALUE"""),"RESOLVED")</f>
        <v>RESOLVED</v>
      </c>
      <c r="E800" s="6">
        <f>IFERROR(__xludf.DUMMYFUNCTION("""COMPUTED_VALUE"""),44384.83027777778)</f>
        <v>44384.83028</v>
      </c>
      <c r="F800" s="4" t="str">
        <f>IFERROR(__xludf.DUMMYFUNCTION("""COMPUTED_VALUE""")," ---")</f>
        <v> ---</v>
      </c>
      <c r="G800" s="4" t="str">
        <f>IFERROR(__xludf.DUMMYFUNCTION("""COMPUTED_VALUE"""),"SUSE Linux Enterprise Server 15 SP2")</f>
        <v>SUSE Linux Enterprise Server 15 SP2</v>
      </c>
      <c r="H800" s="7" t="str">
        <f t="shared" si="2"/>
        <v>NO</v>
      </c>
      <c r="I800" s="7" t="str">
        <f t="shared" si="3"/>
        <v>NO</v>
      </c>
    </row>
    <row r="801">
      <c r="A801" s="4">
        <f>IFERROR(__xludf.DUMMYFUNCTION("""COMPUTED_VALUE"""),1171789.0)</f>
        <v>1171789</v>
      </c>
      <c r="B801" s="4" t="str">
        <f>IFERROR(__xludf.DUMMYFUNCTION("""COMPUTED_VALUE"""),"P5 - None")</f>
        <v>P5 - None</v>
      </c>
      <c r="C801" s="5">
        <f>IFERROR(__xludf.DUMMYFUNCTION("""COMPUTED_VALUE"""),43967.710231481484)</f>
        <v>43967.71023</v>
      </c>
      <c r="D801" s="4" t="str">
        <f>IFERROR(__xludf.DUMMYFUNCTION("""COMPUTED_VALUE"""),"RESOLVED")</f>
        <v>RESOLVED</v>
      </c>
      <c r="E801" s="6">
        <f>IFERROR(__xludf.DUMMYFUNCTION("""COMPUTED_VALUE"""),44384.830347222225)</f>
        <v>44384.83035</v>
      </c>
      <c r="F801" s="4" t="str">
        <f>IFERROR(__xludf.DUMMYFUNCTION("""COMPUTED_VALUE""")," ---")</f>
        <v> ---</v>
      </c>
      <c r="G801" s="4" t="str">
        <f>IFERROR(__xludf.DUMMYFUNCTION("""COMPUTED_VALUE"""),"SUSE Linux Enterprise Server 15 SP2")</f>
        <v>SUSE Linux Enterprise Server 15 SP2</v>
      </c>
      <c r="H801" s="7" t="str">
        <f t="shared" si="2"/>
        <v>NO</v>
      </c>
      <c r="I801" s="7" t="str">
        <f t="shared" si="3"/>
        <v>NO</v>
      </c>
    </row>
    <row r="802">
      <c r="A802" s="4">
        <f>IFERROR(__xludf.DUMMYFUNCTION("""COMPUTED_VALUE"""),1171790.0)</f>
        <v>1171790</v>
      </c>
      <c r="B802" s="4" t="str">
        <f>IFERROR(__xludf.DUMMYFUNCTION("""COMPUTED_VALUE"""),"P5 - None")</f>
        <v>P5 - None</v>
      </c>
      <c r="C802" s="5">
        <f>IFERROR(__xludf.DUMMYFUNCTION("""COMPUTED_VALUE"""),43967.710439814815)</f>
        <v>43967.71044</v>
      </c>
      <c r="D802" s="4" t="str">
        <f>IFERROR(__xludf.DUMMYFUNCTION("""COMPUTED_VALUE"""),"RESOLVED")</f>
        <v>RESOLVED</v>
      </c>
      <c r="E802" s="6">
        <f>IFERROR(__xludf.DUMMYFUNCTION("""COMPUTED_VALUE"""),44384.830416666664)</f>
        <v>44384.83042</v>
      </c>
      <c r="F802" s="4" t="str">
        <f>IFERROR(__xludf.DUMMYFUNCTION("""COMPUTED_VALUE""")," ---")</f>
        <v> ---</v>
      </c>
      <c r="G802" s="4" t="str">
        <f>IFERROR(__xludf.DUMMYFUNCTION("""COMPUTED_VALUE"""),"SUSE Linux Enterprise Server 15 SP2")</f>
        <v>SUSE Linux Enterprise Server 15 SP2</v>
      </c>
      <c r="H802" s="7" t="str">
        <f t="shared" si="2"/>
        <v>NO</v>
      </c>
      <c r="I802" s="7" t="str">
        <f t="shared" si="3"/>
        <v>NO</v>
      </c>
    </row>
    <row r="803">
      <c r="A803" s="4">
        <f>IFERROR(__xludf.DUMMYFUNCTION("""COMPUTED_VALUE"""),1171791.0)</f>
        <v>1171791</v>
      </c>
      <c r="B803" s="4" t="str">
        <f>IFERROR(__xludf.DUMMYFUNCTION("""COMPUTED_VALUE"""),"P5 - None")</f>
        <v>P5 - None</v>
      </c>
      <c r="C803" s="5">
        <f>IFERROR(__xludf.DUMMYFUNCTION("""COMPUTED_VALUE"""),43967.710648148146)</f>
        <v>43967.71065</v>
      </c>
      <c r="D803" s="4" t="str">
        <f>IFERROR(__xludf.DUMMYFUNCTION("""COMPUTED_VALUE"""),"RESOLVED")</f>
        <v>RESOLVED</v>
      </c>
      <c r="E803" s="6">
        <f>IFERROR(__xludf.DUMMYFUNCTION("""COMPUTED_VALUE"""),44384.83048611111)</f>
        <v>44384.83049</v>
      </c>
      <c r="F803" s="4" t="str">
        <f>IFERROR(__xludf.DUMMYFUNCTION("""COMPUTED_VALUE""")," ---")</f>
        <v> ---</v>
      </c>
      <c r="G803" s="4" t="str">
        <f>IFERROR(__xludf.DUMMYFUNCTION("""COMPUTED_VALUE"""),"SUSE Linux Enterprise Server 15 SP2")</f>
        <v>SUSE Linux Enterprise Server 15 SP2</v>
      </c>
      <c r="H803" s="7" t="str">
        <f t="shared" si="2"/>
        <v>NO</v>
      </c>
      <c r="I803" s="7" t="str">
        <f t="shared" si="3"/>
        <v>NO</v>
      </c>
    </row>
    <row r="804">
      <c r="A804" s="4">
        <f>IFERROR(__xludf.DUMMYFUNCTION("""COMPUTED_VALUE"""),1171792.0)</f>
        <v>1171792</v>
      </c>
      <c r="B804" s="4" t="str">
        <f>IFERROR(__xludf.DUMMYFUNCTION("""COMPUTED_VALUE"""),"P5 - None")</f>
        <v>P5 - None</v>
      </c>
      <c r="C804" s="5">
        <f>IFERROR(__xludf.DUMMYFUNCTION("""COMPUTED_VALUE"""),43967.710856481484)</f>
        <v>43967.71086</v>
      </c>
      <c r="D804" s="4" t="str">
        <f>IFERROR(__xludf.DUMMYFUNCTION("""COMPUTED_VALUE"""),"RESOLVED")</f>
        <v>RESOLVED</v>
      </c>
      <c r="E804" s="6">
        <f>IFERROR(__xludf.DUMMYFUNCTION("""COMPUTED_VALUE"""),44384.83056712963)</f>
        <v>44384.83057</v>
      </c>
      <c r="F804" s="4" t="str">
        <f>IFERROR(__xludf.DUMMYFUNCTION("""COMPUTED_VALUE""")," ---")</f>
        <v> ---</v>
      </c>
      <c r="G804" s="4" t="str">
        <f>IFERROR(__xludf.DUMMYFUNCTION("""COMPUTED_VALUE"""),"SUSE Linux Enterprise Server 15 SP2")</f>
        <v>SUSE Linux Enterprise Server 15 SP2</v>
      </c>
      <c r="H804" s="7" t="str">
        <f t="shared" si="2"/>
        <v>NO</v>
      </c>
      <c r="I804" s="7" t="str">
        <f t="shared" si="3"/>
        <v>NO</v>
      </c>
    </row>
    <row r="805">
      <c r="A805" s="4">
        <f>IFERROR(__xludf.DUMMYFUNCTION("""COMPUTED_VALUE"""),1171793.0)</f>
        <v>1171793</v>
      </c>
      <c r="B805" s="4" t="str">
        <f>IFERROR(__xludf.DUMMYFUNCTION("""COMPUTED_VALUE"""),"P5 - None")</f>
        <v>P5 - None</v>
      </c>
      <c r="C805" s="5">
        <f>IFERROR(__xludf.DUMMYFUNCTION("""COMPUTED_VALUE"""),43967.711064814815)</f>
        <v>43967.71106</v>
      </c>
      <c r="D805" s="4" t="str">
        <f>IFERROR(__xludf.DUMMYFUNCTION("""COMPUTED_VALUE"""),"RESOLVED")</f>
        <v>RESOLVED</v>
      </c>
      <c r="E805" s="6">
        <f>IFERROR(__xludf.DUMMYFUNCTION("""COMPUTED_VALUE"""),44384.83063657407)</f>
        <v>44384.83064</v>
      </c>
      <c r="F805" s="4" t="str">
        <f>IFERROR(__xludf.DUMMYFUNCTION("""COMPUTED_VALUE""")," ---")</f>
        <v> ---</v>
      </c>
      <c r="G805" s="4" t="str">
        <f>IFERROR(__xludf.DUMMYFUNCTION("""COMPUTED_VALUE"""),"SUSE Linux Enterprise Server 15 SP2")</f>
        <v>SUSE Linux Enterprise Server 15 SP2</v>
      </c>
      <c r="H805" s="7" t="str">
        <f t="shared" si="2"/>
        <v>NO</v>
      </c>
      <c r="I805" s="7" t="str">
        <f t="shared" si="3"/>
        <v>NO</v>
      </c>
    </row>
    <row r="806">
      <c r="A806" s="4">
        <f>IFERROR(__xludf.DUMMYFUNCTION("""COMPUTED_VALUE"""),1171794.0)</f>
        <v>1171794</v>
      </c>
      <c r="B806" s="4" t="str">
        <f>IFERROR(__xludf.DUMMYFUNCTION("""COMPUTED_VALUE"""),"P5 - None")</f>
        <v>P5 - None</v>
      </c>
      <c r="C806" s="5">
        <f>IFERROR(__xludf.DUMMYFUNCTION("""COMPUTED_VALUE"""),43967.71127314815)</f>
        <v>43967.71127</v>
      </c>
      <c r="D806" s="4" t="str">
        <f>IFERROR(__xludf.DUMMYFUNCTION("""COMPUTED_VALUE"""),"RESOLVED")</f>
        <v>RESOLVED</v>
      </c>
      <c r="E806" s="6">
        <f>IFERROR(__xludf.DUMMYFUNCTION("""COMPUTED_VALUE"""),44384.83070601852)</f>
        <v>44384.83071</v>
      </c>
      <c r="F806" s="4" t="str">
        <f>IFERROR(__xludf.DUMMYFUNCTION("""COMPUTED_VALUE""")," ---")</f>
        <v> ---</v>
      </c>
      <c r="G806" s="4" t="str">
        <f>IFERROR(__xludf.DUMMYFUNCTION("""COMPUTED_VALUE"""),"SUSE Linux Enterprise Server 15 SP2")</f>
        <v>SUSE Linux Enterprise Server 15 SP2</v>
      </c>
      <c r="H806" s="7" t="str">
        <f t="shared" si="2"/>
        <v>NO</v>
      </c>
      <c r="I806" s="7" t="str">
        <f t="shared" si="3"/>
        <v>NO</v>
      </c>
    </row>
    <row r="807">
      <c r="A807" s="4">
        <f>IFERROR(__xludf.DUMMYFUNCTION("""COMPUTED_VALUE"""),1171795.0)</f>
        <v>1171795</v>
      </c>
      <c r="B807" s="4" t="str">
        <f>IFERROR(__xludf.DUMMYFUNCTION("""COMPUTED_VALUE"""),"P5 - None")</f>
        <v>P5 - None</v>
      </c>
      <c r="C807" s="5">
        <f>IFERROR(__xludf.DUMMYFUNCTION("""COMPUTED_VALUE"""),43967.711481481485)</f>
        <v>43967.71148</v>
      </c>
      <c r="D807" s="4" t="str">
        <f>IFERROR(__xludf.DUMMYFUNCTION("""COMPUTED_VALUE"""),"RESOLVED")</f>
        <v>RESOLVED</v>
      </c>
      <c r="E807" s="6">
        <f>IFERROR(__xludf.DUMMYFUNCTION("""COMPUTED_VALUE"""),44384.83078703703)</f>
        <v>44384.83079</v>
      </c>
      <c r="F807" s="4" t="str">
        <f>IFERROR(__xludf.DUMMYFUNCTION("""COMPUTED_VALUE""")," ---")</f>
        <v> ---</v>
      </c>
      <c r="G807" s="4" t="str">
        <f>IFERROR(__xludf.DUMMYFUNCTION("""COMPUTED_VALUE"""),"SUSE Linux Enterprise Server 15 SP2")</f>
        <v>SUSE Linux Enterprise Server 15 SP2</v>
      </c>
      <c r="H807" s="7" t="str">
        <f t="shared" si="2"/>
        <v>NO</v>
      </c>
      <c r="I807" s="7" t="str">
        <f t="shared" si="3"/>
        <v>NO</v>
      </c>
    </row>
    <row r="808">
      <c r="A808" s="4">
        <f>IFERROR(__xludf.DUMMYFUNCTION("""COMPUTED_VALUE"""),1171796.0)</f>
        <v>1171796</v>
      </c>
      <c r="B808" s="4" t="str">
        <f>IFERROR(__xludf.DUMMYFUNCTION("""COMPUTED_VALUE"""),"P5 - None")</f>
        <v>P5 - None</v>
      </c>
      <c r="C808" s="5">
        <f>IFERROR(__xludf.DUMMYFUNCTION("""COMPUTED_VALUE"""),43967.711689814816)</f>
        <v>43967.71169</v>
      </c>
      <c r="D808" s="4" t="str">
        <f>IFERROR(__xludf.DUMMYFUNCTION("""COMPUTED_VALUE"""),"RESOLVED")</f>
        <v>RESOLVED</v>
      </c>
      <c r="E808" s="6">
        <f>IFERROR(__xludf.DUMMYFUNCTION("""COMPUTED_VALUE"""),44384.83085648148)</f>
        <v>44384.83086</v>
      </c>
      <c r="F808" s="4" t="str">
        <f>IFERROR(__xludf.DUMMYFUNCTION("""COMPUTED_VALUE""")," ---")</f>
        <v> ---</v>
      </c>
      <c r="G808" s="4" t="str">
        <f>IFERROR(__xludf.DUMMYFUNCTION("""COMPUTED_VALUE"""),"SUSE Linux Enterprise Server 15 SP2")</f>
        <v>SUSE Linux Enterprise Server 15 SP2</v>
      </c>
      <c r="H808" s="7" t="str">
        <f t="shared" si="2"/>
        <v>NO</v>
      </c>
      <c r="I808" s="7" t="str">
        <f t="shared" si="3"/>
        <v>NO</v>
      </c>
    </row>
    <row r="809">
      <c r="A809" s="4">
        <f>IFERROR(__xludf.DUMMYFUNCTION("""COMPUTED_VALUE"""),1171797.0)</f>
        <v>1171797</v>
      </c>
      <c r="B809" s="4" t="str">
        <f>IFERROR(__xludf.DUMMYFUNCTION("""COMPUTED_VALUE"""),"P5 - None")</f>
        <v>P5 - None</v>
      </c>
      <c r="C809" s="5">
        <f>IFERROR(__xludf.DUMMYFUNCTION("""COMPUTED_VALUE"""),43967.71189814815)</f>
        <v>43967.7119</v>
      </c>
      <c r="D809" s="4" t="str">
        <f>IFERROR(__xludf.DUMMYFUNCTION("""COMPUTED_VALUE"""),"RESOLVED")</f>
        <v>RESOLVED</v>
      </c>
      <c r="E809" s="6">
        <f>IFERROR(__xludf.DUMMYFUNCTION("""COMPUTED_VALUE"""),44384.830925925926)</f>
        <v>44384.83093</v>
      </c>
      <c r="F809" s="4" t="str">
        <f>IFERROR(__xludf.DUMMYFUNCTION("""COMPUTED_VALUE""")," ---")</f>
        <v> ---</v>
      </c>
      <c r="G809" s="4" t="str">
        <f>IFERROR(__xludf.DUMMYFUNCTION("""COMPUTED_VALUE"""),"SUSE Linux Enterprise Server 15 SP2")</f>
        <v>SUSE Linux Enterprise Server 15 SP2</v>
      </c>
      <c r="H809" s="7" t="str">
        <f t="shared" si="2"/>
        <v>NO</v>
      </c>
      <c r="I809" s="7" t="str">
        <f t="shared" si="3"/>
        <v>NO</v>
      </c>
    </row>
    <row r="810">
      <c r="A810" s="4">
        <f>IFERROR(__xludf.DUMMYFUNCTION("""COMPUTED_VALUE"""),1171798.0)</f>
        <v>1171798</v>
      </c>
      <c r="B810" s="4" t="str">
        <f>IFERROR(__xludf.DUMMYFUNCTION("""COMPUTED_VALUE"""),"P5 - None")</f>
        <v>P5 - None</v>
      </c>
      <c r="C810" s="5">
        <f>IFERROR(__xludf.DUMMYFUNCTION("""COMPUTED_VALUE"""),43967.71210648148)</f>
        <v>43967.71211</v>
      </c>
      <c r="D810" s="4" t="str">
        <f>IFERROR(__xludf.DUMMYFUNCTION("""COMPUTED_VALUE"""),"RESOLVED")</f>
        <v>RESOLVED</v>
      </c>
      <c r="E810" s="6">
        <f>IFERROR(__xludf.DUMMYFUNCTION("""COMPUTED_VALUE"""),44384.83099537037)</f>
        <v>44384.831</v>
      </c>
      <c r="F810" s="4" t="str">
        <f>IFERROR(__xludf.DUMMYFUNCTION("""COMPUTED_VALUE""")," ---")</f>
        <v> ---</v>
      </c>
      <c r="G810" s="4" t="str">
        <f>IFERROR(__xludf.DUMMYFUNCTION("""COMPUTED_VALUE"""),"SUSE Linux Enterprise Server 15 SP2")</f>
        <v>SUSE Linux Enterprise Server 15 SP2</v>
      </c>
      <c r="H810" s="7" t="str">
        <f t="shared" si="2"/>
        <v>NO</v>
      </c>
      <c r="I810" s="7" t="str">
        <f t="shared" si="3"/>
        <v>NO</v>
      </c>
    </row>
    <row r="811">
      <c r="A811" s="4">
        <f>IFERROR(__xludf.DUMMYFUNCTION("""COMPUTED_VALUE"""),1171799.0)</f>
        <v>1171799</v>
      </c>
      <c r="B811" s="4" t="str">
        <f>IFERROR(__xludf.DUMMYFUNCTION("""COMPUTED_VALUE"""),"P5 - None")</f>
        <v>P5 - None</v>
      </c>
      <c r="C811" s="5">
        <f>IFERROR(__xludf.DUMMYFUNCTION("""COMPUTED_VALUE"""),43967.71231481482)</f>
        <v>43967.71231</v>
      </c>
      <c r="D811" s="4" t="str">
        <f>IFERROR(__xludf.DUMMYFUNCTION("""COMPUTED_VALUE"""),"RESOLVED")</f>
        <v>RESOLVED</v>
      </c>
      <c r="E811" s="6">
        <f>IFERROR(__xludf.DUMMYFUNCTION("""COMPUTED_VALUE"""),44384.83106481482)</f>
        <v>44384.83106</v>
      </c>
      <c r="F811" s="4" t="str">
        <f>IFERROR(__xludf.DUMMYFUNCTION("""COMPUTED_VALUE""")," ---")</f>
        <v> ---</v>
      </c>
      <c r="G811" s="4" t="str">
        <f>IFERROR(__xludf.DUMMYFUNCTION("""COMPUTED_VALUE"""),"SUSE Linux Enterprise Server 15 SP2")</f>
        <v>SUSE Linux Enterprise Server 15 SP2</v>
      </c>
      <c r="H811" s="7" t="str">
        <f t="shared" si="2"/>
        <v>NO</v>
      </c>
      <c r="I811" s="7" t="str">
        <f t="shared" si="3"/>
        <v>NO</v>
      </c>
    </row>
    <row r="812">
      <c r="A812" s="4">
        <f>IFERROR(__xludf.DUMMYFUNCTION("""COMPUTED_VALUE"""),1171390.0)</f>
        <v>1171390</v>
      </c>
      <c r="B812" s="4" t="str">
        <f>IFERROR(__xludf.DUMMYFUNCTION("""COMPUTED_VALUE"""),"P5 - None")</f>
        <v>P5 - None</v>
      </c>
      <c r="C812" s="5">
        <f>IFERROR(__xludf.DUMMYFUNCTION("""COMPUTED_VALUE"""),43958.646469907406)</f>
        <v>43958.64647</v>
      </c>
      <c r="D812" s="4" t="str">
        <f>IFERROR(__xludf.DUMMYFUNCTION("""COMPUTED_VALUE"""),"RESOLVED")</f>
        <v>RESOLVED</v>
      </c>
      <c r="E812" s="6">
        <f>IFERROR(__xludf.DUMMYFUNCTION("""COMPUTED_VALUE"""),44384.82824074074)</f>
        <v>44384.82824</v>
      </c>
      <c r="F812" s="4" t="str">
        <f>IFERROR(__xludf.DUMMYFUNCTION("""COMPUTED_VALUE""")," ---")</f>
        <v> ---</v>
      </c>
      <c r="G812" s="4" t="str">
        <f>IFERROR(__xludf.DUMMYFUNCTION("""COMPUTED_VALUE"""),"SUSE Linux Enterprise Server 15 SP2")</f>
        <v>SUSE Linux Enterprise Server 15 SP2</v>
      </c>
      <c r="H812" s="7" t="str">
        <f t="shared" si="2"/>
        <v>NO</v>
      </c>
      <c r="I812" s="7" t="str">
        <f t="shared" si="3"/>
        <v>NO</v>
      </c>
    </row>
    <row r="813">
      <c r="A813" s="4">
        <f>IFERROR(__xludf.DUMMYFUNCTION("""COMPUTED_VALUE"""),1171391.0)</f>
        <v>1171391</v>
      </c>
      <c r="B813" s="4" t="str">
        <f>IFERROR(__xludf.DUMMYFUNCTION("""COMPUTED_VALUE"""),"P5 - None")</f>
        <v>P5 - None</v>
      </c>
      <c r="C813" s="5">
        <f>IFERROR(__xludf.DUMMYFUNCTION("""COMPUTED_VALUE"""),43958.6472337963)</f>
        <v>43958.64723</v>
      </c>
      <c r="D813" s="4" t="str">
        <f>IFERROR(__xludf.DUMMYFUNCTION("""COMPUTED_VALUE"""),"RESOLVED")</f>
        <v>RESOLVED</v>
      </c>
      <c r="E813" s="6">
        <f>IFERROR(__xludf.DUMMYFUNCTION("""COMPUTED_VALUE"""),44384.828310185185)</f>
        <v>44384.82831</v>
      </c>
      <c r="F813" s="4" t="str">
        <f>IFERROR(__xludf.DUMMYFUNCTION("""COMPUTED_VALUE""")," ---")</f>
        <v> ---</v>
      </c>
      <c r="G813" s="4" t="str">
        <f>IFERROR(__xludf.DUMMYFUNCTION("""COMPUTED_VALUE"""),"SUSE Linux Enterprise Server 15 SP2")</f>
        <v>SUSE Linux Enterprise Server 15 SP2</v>
      </c>
      <c r="H813" s="7" t="str">
        <f t="shared" si="2"/>
        <v>NO</v>
      </c>
      <c r="I813" s="7" t="str">
        <f t="shared" si="3"/>
        <v>NO</v>
      </c>
    </row>
    <row r="814">
      <c r="A814" s="4">
        <f>IFERROR(__xludf.DUMMYFUNCTION("""COMPUTED_VALUE"""),1171392.0)</f>
        <v>1171392</v>
      </c>
      <c r="B814" s="4" t="str">
        <f>IFERROR(__xludf.DUMMYFUNCTION("""COMPUTED_VALUE"""),"P5 - None")</f>
        <v>P5 - None</v>
      </c>
      <c r="C814" s="5">
        <f>IFERROR(__xludf.DUMMYFUNCTION("""COMPUTED_VALUE"""),43958.64753472222)</f>
        <v>43958.64753</v>
      </c>
      <c r="D814" s="4" t="str">
        <f>IFERROR(__xludf.DUMMYFUNCTION("""COMPUTED_VALUE"""),"RESOLVED")</f>
        <v>RESOLVED</v>
      </c>
      <c r="E814" s="6">
        <f>IFERROR(__xludf.DUMMYFUNCTION("""COMPUTED_VALUE"""),44384.82837962963)</f>
        <v>44384.82838</v>
      </c>
      <c r="F814" s="4" t="str">
        <f>IFERROR(__xludf.DUMMYFUNCTION("""COMPUTED_VALUE""")," ---")</f>
        <v> ---</v>
      </c>
      <c r="G814" s="4" t="str">
        <f>IFERROR(__xludf.DUMMYFUNCTION("""COMPUTED_VALUE"""),"SUSE Linux Enterprise Server 15 SP2")</f>
        <v>SUSE Linux Enterprise Server 15 SP2</v>
      </c>
      <c r="H814" s="7" t="str">
        <f t="shared" si="2"/>
        <v>NO</v>
      </c>
      <c r="I814" s="7" t="str">
        <f t="shared" si="3"/>
        <v>NO</v>
      </c>
    </row>
    <row r="815">
      <c r="A815" s="4">
        <f>IFERROR(__xludf.DUMMYFUNCTION("""COMPUTED_VALUE"""),1153217.0)</f>
        <v>1153217</v>
      </c>
      <c r="B815" s="4" t="str">
        <f>IFERROR(__xludf.DUMMYFUNCTION("""COMPUTED_VALUE"""),"P5 - None")</f>
        <v>P5 - None</v>
      </c>
      <c r="C815" s="5">
        <f>IFERROR(__xludf.DUMMYFUNCTION("""COMPUTED_VALUE"""),43745.51762731482)</f>
        <v>43745.51763</v>
      </c>
      <c r="D815" s="4" t="str">
        <f>IFERROR(__xludf.DUMMYFUNCTION("""COMPUTED_VALUE"""),"RESOLVED")</f>
        <v>RESOLVED</v>
      </c>
      <c r="E815" s="6">
        <f>IFERROR(__xludf.DUMMYFUNCTION("""COMPUTED_VALUE"""),44384.78865740741)</f>
        <v>44384.78866</v>
      </c>
      <c r="F815" s="4" t="str">
        <f>IFERROR(__xludf.DUMMYFUNCTION("""COMPUTED_VALUE""")," ---")</f>
        <v> ---</v>
      </c>
      <c r="G815" s="4" t="str">
        <f>IFERROR(__xludf.DUMMYFUNCTION("""COMPUTED_VALUE"""),"SUSE Linux Enterprise Server 15 SP2")</f>
        <v>SUSE Linux Enterprise Server 15 SP2</v>
      </c>
      <c r="H815" s="7" t="str">
        <f t="shared" si="2"/>
        <v>NO</v>
      </c>
      <c r="I815" s="7" t="str">
        <f t="shared" si="3"/>
        <v>NO</v>
      </c>
    </row>
    <row r="816">
      <c r="A816" s="4">
        <f>IFERROR(__xludf.DUMMYFUNCTION("""COMPUTED_VALUE"""),1158279.0)</f>
        <v>1158279</v>
      </c>
      <c r="B816" s="4" t="str">
        <f>IFERROR(__xludf.DUMMYFUNCTION("""COMPUTED_VALUE"""),"P5 - None")</f>
        <v>P5 - None</v>
      </c>
      <c r="C816" s="5">
        <f>IFERROR(__xludf.DUMMYFUNCTION("""COMPUTED_VALUE"""),43802.48605324074)</f>
        <v>43802.48605</v>
      </c>
      <c r="D816" s="4" t="str">
        <f>IFERROR(__xludf.DUMMYFUNCTION("""COMPUTED_VALUE"""),"RESOLVED")</f>
        <v>RESOLVED</v>
      </c>
      <c r="E816" s="6">
        <f>IFERROR(__xludf.DUMMYFUNCTION("""COMPUTED_VALUE"""),44384.79451388889)</f>
        <v>44384.79451</v>
      </c>
      <c r="F816" s="4" t="str">
        <f>IFERROR(__xludf.DUMMYFUNCTION("""COMPUTED_VALUE""")," ---")</f>
        <v> ---</v>
      </c>
      <c r="G816" s="4" t="str">
        <f>IFERROR(__xludf.DUMMYFUNCTION("""COMPUTED_VALUE"""),"SUSE Linux Enterprise Server 15 SP2")</f>
        <v>SUSE Linux Enterprise Server 15 SP2</v>
      </c>
      <c r="H816" s="7" t="str">
        <f t="shared" si="2"/>
        <v>NO</v>
      </c>
      <c r="I816" s="7" t="str">
        <f t="shared" si="3"/>
        <v>NO</v>
      </c>
    </row>
    <row r="817">
      <c r="A817" s="4">
        <f>IFERROR(__xludf.DUMMYFUNCTION("""COMPUTED_VALUE"""),1158811.0)</f>
        <v>1158811</v>
      </c>
      <c r="B817" s="4" t="str">
        <f>IFERROR(__xludf.DUMMYFUNCTION("""COMPUTED_VALUE"""),"P5 - None")</f>
        <v>P5 - None</v>
      </c>
      <c r="C817" s="5">
        <f>IFERROR(__xludf.DUMMYFUNCTION("""COMPUTED_VALUE"""),43808.6534837963)</f>
        <v>43808.65348</v>
      </c>
      <c r="D817" s="4" t="str">
        <f>IFERROR(__xludf.DUMMYFUNCTION("""COMPUTED_VALUE"""),"RESOLVED")</f>
        <v>RESOLVED</v>
      </c>
      <c r="E817" s="6">
        <f>IFERROR(__xludf.DUMMYFUNCTION("""COMPUTED_VALUE"""),44384.79645833333)</f>
        <v>44384.79646</v>
      </c>
      <c r="F817" s="4" t="str">
        <f>IFERROR(__xludf.DUMMYFUNCTION("""COMPUTED_VALUE""")," ---")</f>
        <v> ---</v>
      </c>
      <c r="G817" s="4" t="str">
        <f>IFERROR(__xludf.DUMMYFUNCTION("""COMPUTED_VALUE"""),"SUSE Linux Enterprise Server 15 SP2")</f>
        <v>SUSE Linux Enterprise Server 15 SP2</v>
      </c>
      <c r="H817" s="7" t="str">
        <f t="shared" si="2"/>
        <v>NO</v>
      </c>
      <c r="I817" s="7" t="str">
        <f t="shared" si="3"/>
        <v>NO</v>
      </c>
    </row>
    <row r="818">
      <c r="A818" s="4">
        <f>IFERROR(__xludf.DUMMYFUNCTION("""COMPUTED_VALUE"""),1160214.0)</f>
        <v>1160214</v>
      </c>
      <c r="B818" s="4" t="str">
        <f>IFERROR(__xludf.DUMMYFUNCTION("""COMPUTED_VALUE"""),"P5 - None")</f>
        <v>P5 - None</v>
      </c>
      <c r="C818" s="5">
        <f>IFERROR(__xludf.DUMMYFUNCTION("""COMPUTED_VALUE"""),43837.41574074074)</f>
        <v>43837.41574</v>
      </c>
      <c r="D818" s="4" t="str">
        <f>IFERROR(__xludf.DUMMYFUNCTION("""COMPUTED_VALUE"""),"RESOLVED")</f>
        <v>RESOLVED</v>
      </c>
      <c r="E818" s="6">
        <f>IFERROR(__xludf.DUMMYFUNCTION("""COMPUTED_VALUE"""),44384.7996412037)</f>
        <v>44384.79964</v>
      </c>
      <c r="F818" s="4" t="str">
        <f>IFERROR(__xludf.DUMMYFUNCTION("""COMPUTED_VALUE""")," ---")</f>
        <v> ---</v>
      </c>
      <c r="G818" s="4" t="str">
        <f>IFERROR(__xludf.DUMMYFUNCTION("""COMPUTED_VALUE"""),"SUSE Linux Enterprise Server 15 SP2")</f>
        <v>SUSE Linux Enterprise Server 15 SP2</v>
      </c>
      <c r="H818" s="7" t="str">
        <f t="shared" si="2"/>
        <v>NO</v>
      </c>
      <c r="I818" s="7" t="str">
        <f t="shared" si="3"/>
        <v>NO</v>
      </c>
    </row>
    <row r="819">
      <c r="A819" s="4">
        <f>IFERROR(__xludf.DUMMYFUNCTION("""COMPUTED_VALUE"""),1160215.0)</f>
        <v>1160215</v>
      </c>
      <c r="B819" s="4" t="str">
        <f>IFERROR(__xludf.DUMMYFUNCTION("""COMPUTED_VALUE"""),"P5 - None")</f>
        <v>P5 - None</v>
      </c>
      <c r="C819" s="5">
        <f>IFERROR(__xludf.DUMMYFUNCTION("""COMPUTED_VALUE"""),43837.41847222222)</f>
        <v>43837.41847</v>
      </c>
      <c r="D819" s="4" t="str">
        <f>IFERROR(__xludf.DUMMYFUNCTION("""COMPUTED_VALUE"""),"RESOLVED")</f>
        <v>RESOLVED</v>
      </c>
      <c r="E819" s="6">
        <f>IFERROR(__xludf.DUMMYFUNCTION("""COMPUTED_VALUE"""),44384.79971064815)</f>
        <v>44384.79971</v>
      </c>
      <c r="F819" s="4" t="str">
        <f>IFERROR(__xludf.DUMMYFUNCTION("""COMPUTED_VALUE""")," ---")</f>
        <v> ---</v>
      </c>
      <c r="G819" s="4" t="str">
        <f>IFERROR(__xludf.DUMMYFUNCTION("""COMPUTED_VALUE"""),"SUSE Linux Enterprise Server 15 SP2")</f>
        <v>SUSE Linux Enterprise Server 15 SP2</v>
      </c>
      <c r="H819" s="7" t="str">
        <f t="shared" si="2"/>
        <v>NO</v>
      </c>
      <c r="I819" s="7" t="str">
        <f t="shared" si="3"/>
        <v>NO</v>
      </c>
    </row>
    <row r="820">
      <c r="A820" s="4">
        <f>IFERROR(__xludf.DUMMYFUNCTION("""COMPUTED_VALUE"""),1160229.0)</f>
        <v>1160229</v>
      </c>
      <c r="B820" s="4" t="str">
        <f>IFERROR(__xludf.DUMMYFUNCTION("""COMPUTED_VALUE"""),"P5 - None")</f>
        <v>P5 - None</v>
      </c>
      <c r="C820" s="5">
        <f>IFERROR(__xludf.DUMMYFUNCTION("""COMPUTED_VALUE"""),43837.46894675926)</f>
        <v>43837.46895</v>
      </c>
      <c r="D820" s="4" t="str">
        <f>IFERROR(__xludf.DUMMYFUNCTION("""COMPUTED_VALUE"""),"RESOLVED")</f>
        <v>RESOLVED</v>
      </c>
      <c r="E820" s="6">
        <f>IFERROR(__xludf.DUMMYFUNCTION("""COMPUTED_VALUE"""),44384.799942129626)</f>
        <v>44384.79994</v>
      </c>
      <c r="F820" s="4" t="str">
        <f>IFERROR(__xludf.DUMMYFUNCTION("""COMPUTED_VALUE""")," ---")</f>
        <v> ---</v>
      </c>
      <c r="G820" s="4" t="str">
        <f>IFERROR(__xludf.DUMMYFUNCTION("""COMPUTED_VALUE"""),"SUSE Linux Enterprise Server 15 SP2")</f>
        <v>SUSE Linux Enterprise Server 15 SP2</v>
      </c>
      <c r="H820" s="7" t="str">
        <f t="shared" si="2"/>
        <v>NO</v>
      </c>
      <c r="I820" s="7" t="str">
        <f t="shared" si="3"/>
        <v>NO</v>
      </c>
    </row>
    <row r="821">
      <c r="A821" s="4">
        <f>IFERROR(__xludf.DUMMYFUNCTION("""COMPUTED_VALUE"""),1160231.0)</f>
        <v>1160231</v>
      </c>
      <c r="B821" s="4" t="str">
        <f>IFERROR(__xludf.DUMMYFUNCTION("""COMPUTED_VALUE"""),"P5 - None")</f>
        <v>P5 - None</v>
      </c>
      <c r="C821" s="5">
        <f>IFERROR(__xludf.DUMMYFUNCTION("""COMPUTED_VALUE"""),43837.48028935185)</f>
        <v>43837.48029</v>
      </c>
      <c r="D821" s="4" t="str">
        <f>IFERROR(__xludf.DUMMYFUNCTION("""COMPUTED_VALUE"""),"RESOLVED")</f>
        <v>RESOLVED</v>
      </c>
      <c r="E821" s="6">
        <f>IFERROR(__xludf.DUMMYFUNCTION("""COMPUTED_VALUE"""),44384.80001157407)</f>
        <v>44384.80001</v>
      </c>
      <c r="F821" s="4" t="str">
        <f>IFERROR(__xludf.DUMMYFUNCTION("""COMPUTED_VALUE""")," ---")</f>
        <v> ---</v>
      </c>
      <c r="G821" s="4" t="str">
        <f>IFERROR(__xludf.DUMMYFUNCTION("""COMPUTED_VALUE"""),"SUSE Linux Enterprise Server 15 SP2")</f>
        <v>SUSE Linux Enterprise Server 15 SP2</v>
      </c>
      <c r="H821" s="7" t="str">
        <f t="shared" si="2"/>
        <v>NO</v>
      </c>
      <c r="I821" s="7" t="str">
        <f t="shared" si="3"/>
        <v>NO</v>
      </c>
    </row>
    <row r="822">
      <c r="A822" s="4">
        <f>IFERROR(__xludf.DUMMYFUNCTION("""COMPUTED_VALUE"""),1160794.0)</f>
        <v>1160794</v>
      </c>
      <c r="B822" s="4" t="str">
        <f>IFERROR(__xludf.DUMMYFUNCTION("""COMPUTED_VALUE"""),"P5 - None")</f>
        <v>P5 - None</v>
      </c>
      <c r="C822" s="5">
        <f>IFERROR(__xludf.DUMMYFUNCTION("""COMPUTED_VALUE"""),43843.665983796294)</f>
        <v>43843.66598</v>
      </c>
      <c r="D822" s="4" t="str">
        <f>IFERROR(__xludf.DUMMYFUNCTION("""COMPUTED_VALUE"""),"RESOLVED")</f>
        <v>RESOLVED</v>
      </c>
      <c r="E822" s="6">
        <f>IFERROR(__xludf.DUMMYFUNCTION("""COMPUTED_VALUE"""),44384.80111111111)</f>
        <v>44384.80111</v>
      </c>
      <c r="F822" s="4" t="str">
        <f>IFERROR(__xludf.DUMMYFUNCTION("""COMPUTED_VALUE""")," ---")</f>
        <v> ---</v>
      </c>
      <c r="G822" s="4" t="str">
        <f>IFERROR(__xludf.DUMMYFUNCTION("""COMPUTED_VALUE"""),"SUSE Linux Enterprise Server 15 SP2")</f>
        <v>SUSE Linux Enterprise Server 15 SP2</v>
      </c>
      <c r="H822" s="7" t="str">
        <f t="shared" si="2"/>
        <v>NO</v>
      </c>
      <c r="I822" s="7" t="str">
        <f t="shared" si="3"/>
        <v>NO</v>
      </c>
    </row>
    <row r="823">
      <c r="A823" s="4">
        <f>IFERROR(__xludf.DUMMYFUNCTION("""COMPUTED_VALUE"""),1164141.0)</f>
        <v>1164141</v>
      </c>
      <c r="B823" s="4" t="str">
        <f>IFERROR(__xludf.DUMMYFUNCTION("""COMPUTED_VALUE"""),"P5 - None")</f>
        <v>P5 - None</v>
      </c>
      <c r="C823" s="5">
        <f>IFERROR(__xludf.DUMMYFUNCTION("""COMPUTED_VALUE"""),43879.6453587963)</f>
        <v>43879.64536</v>
      </c>
      <c r="D823" s="4" t="str">
        <f>IFERROR(__xludf.DUMMYFUNCTION("""COMPUTED_VALUE"""),"RESOLVED")</f>
        <v>RESOLVED</v>
      </c>
      <c r="E823" s="6">
        <f>IFERROR(__xludf.DUMMYFUNCTION("""COMPUTED_VALUE"""),44384.80681712963)</f>
        <v>44384.80682</v>
      </c>
      <c r="F823" s="4" t="str">
        <f>IFERROR(__xludf.DUMMYFUNCTION("""COMPUTED_VALUE""")," ---")</f>
        <v> ---</v>
      </c>
      <c r="G823" s="4" t="str">
        <f>IFERROR(__xludf.DUMMYFUNCTION("""COMPUTED_VALUE"""),"SUSE Linux Enterprise Server 15 SP2")</f>
        <v>SUSE Linux Enterprise Server 15 SP2</v>
      </c>
      <c r="H823" s="7" t="str">
        <f t="shared" si="2"/>
        <v>NO</v>
      </c>
      <c r="I823" s="7" t="str">
        <f t="shared" si="3"/>
        <v>NO</v>
      </c>
    </row>
    <row r="824">
      <c r="A824" s="4">
        <f>IFERROR(__xludf.DUMMYFUNCTION("""COMPUTED_VALUE"""),1164146.0)</f>
        <v>1164146</v>
      </c>
      <c r="B824" s="4" t="str">
        <f>IFERROR(__xludf.DUMMYFUNCTION("""COMPUTED_VALUE"""),"P5 - None")</f>
        <v>P5 - None</v>
      </c>
      <c r="C824" s="5">
        <f>IFERROR(__xludf.DUMMYFUNCTION("""COMPUTED_VALUE"""),43879.66967592593)</f>
        <v>43879.66968</v>
      </c>
      <c r="D824" s="4" t="str">
        <f>IFERROR(__xludf.DUMMYFUNCTION("""COMPUTED_VALUE"""),"RESOLVED")</f>
        <v>RESOLVED</v>
      </c>
      <c r="E824" s="6">
        <f>IFERROR(__xludf.DUMMYFUNCTION("""COMPUTED_VALUE"""),44384.80688657407)</f>
        <v>44384.80689</v>
      </c>
      <c r="F824" s="4" t="str">
        <f>IFERROR(__xludf.DUMMYFUNCTION("""COMPUTED_VALUE""")," ---")</f>
        <v> ---</v>
      </c>
      <c r="G824" s="4" t="str">
        <f>IFERROR(__xludf.DUMMYFUNCTION("""COMPUTED_VALUE"""),"SUSE Linux Enterprise Server 15 SP2")</f>
        <v>SUSE Linux Enterprise Server 15 SP2</v>
      </c>
      <c r="H824" s="7" t="str">
        <f t="shared" si="2"/>
        <v>NO</v>
      </c>
      <c r="I824" s="7" t="str">
        <f t="shared" si="3"/>
        <v>NO</v>
      </c>
    </row>
    <row r="825">
      <c r="A825" s="4">
        <f>IFERROR(__xludf.DUMMYFUNCTION("""COMPUTED_VALUE"""),1164147.0)</f>
        <v>1164147</v>
      </c>
      <c r="B825" s="4" t="str">
        <f>IFERROR(__xludf.DUMMYFUNCTION("""COMPUTED_VALUE"""),"P5 - None")</f>
        <v>P5 - None</v>
      </c>
      <c r="C825" s="5">
        <f>IFERROR(__xludf.DUMMYFUNCTION("""COMPUTED_VALUE"""),43879.669756944444)</f>
        <v>43879.66976</v>
      </c>
      <c r="D825" s="4" t="str">
        <f>IFERROR(__xludf.DUMMYFUNCTION("""COMPUTED_VALUE"""),"RESOLVED")</f>
        <v>RESOLVED</v>
      </c>
      <c r="E825" s="6">
        <f>IFERROR(__xludf.DUMMYFUNCTION("""COMPUTED_VALUE"""),44384.80695601852)</f>
        <v>44384.80696</v>
      </c>
      <c r="F825" s="4" t="str">
        <f>IFERROR(__xludf.DUMMYFUNCTION("""COMPUTED_VALUE""")," ---")</f>
        <v> ---</v>
      </c>
      <c r="G825" s="4" t="str">
        <f>IFERROR(__xludf.DUMMYFUNCTION("""COMPUTED_VALUE"""),"SUSE Linux Enterprise Server 15 SP2")</f>
        <v>SUSE Linux Enterprise Server 15 SP2</v>
      </c>
      <c r="H825" s="7" t="str">
        <f t="shared" si="2"/>
        <v>NO</v>
      </c>
      <c r="I825" s="7" t="str">
        <f t="shared" si="3"/>
        <v>NO</v>
      </c>
    </row>
    <row r="826">
      <c r="A826" s="4">
        <f>IFERROR(__xludf.DUMMYFUNCTION("""COMPUTED_VALUE"""),1164148.0)</f>
        <v>1164148</v>
      </c>
      <c r="B826" s="4" t="str">
        <f>IFERROR(__xludf.DUMMYFUNCTION("""COMPUTED_VALUE"""),"P5 - None")</f>
        <v>P5 - None</v>
      </c>
      <c r="C826" s="5">
        <f>IFERROR(__xludf.DUMMYFUNCTION("""COMPUTED_VALUE"""),43879.66983796296)</f>
        <v>43879.66984</v>
      </c>
      <c r="D826" s="4" t="str">
        <f>IFERROR(__xludf.DUMMYFUNCTION("""COMPUTED_VALUE"""),"RESOLVED")</f>
        <v>RESOLVED</v>
      </c>
      <c r="E826" s="6">
        <f>IFERROR(__xludf.DUMMYFUNCTION("""COMPUTED_VALUE"""),44384.807025462964)</f>
        <v>44384.80703</v>
      </c>
      <c r="F826" s="4" t="str">
        <f>IFERROR(__xludf.DUMMYFUNCTION("""COMPUTED_VALUE""")," ---")</f>
        <v> ---</v>
      </c>
      <c r="G826" s="4" t="str">
        <f>IFERROR(__xludf.DUMMYFUNCTION("""COMPUTED_VALUE"""),"SUSE Linux Enterprise Server 15 SP2")</f>
        <v>SUSE Linux Enterprise Server 15 SP2</v>
      </c>
      <c r="H826" s="7" t="str">
        <f t="shared" si="2"/>
        <v>NO</v>
      </c>
      <c r="I826" s="7" t="str">
        <f t="shared" si="3"/>
        <v>NO</v>
      </c>
    </row>
    <row r="827">
      <c r="A827" s="4">
        <f>IFERROR(__xludf.DUMMYFUNCTION("""COMPUTED_VALUE"""),1164149.0)</f>
        <v>1164149</v>
      </c>
      <c r="B827" s="4" t="str">
        <f>IFERROR(__xludf.DUMMYFUNCTION("""COMPUTED_VALUE"""),"P5 - None")</f>
        <v>P5 - None</v>
      </c>
      <c r="C827" s="5">
        <f>IFERROR(__xludf.DUMMYFUNCTION("""COMPUTED_VALUE"""),43879.669907407406)</f>
        <v>43879.66991</v>
      </c>
      <c r="D827" s="4" t="str">
        <f>IFERROR(__xludf.DUMMYFUNCTION("""COMPUTED_VALUE"""),"RESOLVED")</f>
        <v>RESOLVED</v>
      </c>
      <c r="E827" s="6">
        <f>IFERROR(__xludf.DUMMYFUNCTION("""COMPUTED_VALUE"""),44384.80709490741)</f>
        <v>44384.80709</v>
      </c>
      <c r="F827" s="4" t="str">
        <f>IFERROR(__xludf.DUMMYFUNCTION("""COMPUTED_VALUE""")," ---")</f>
        <v> ---</v>
      </c>
      <c r="G827" s="4" t="str">
        <f>IFERROR(__xludf.DUMMYFUNCTION("""COMPUTED_VALUE"""),"SUSE Linux Enterprise Server 15 SP2")</f>
        <v>SUSE Linux Enterprise Server 15 SP2</v>
      </c>
      <c r="H827" s="7" t="str">
        <f t="shared" si="2"/>
        <v>NO</v>
      </c>
      <c r="I827" s="7" t="str">
        <f t="shared" si="3"/>
        <v>NO</v>
      </c>
    </row>
    <row r="828">
      <c r="A828" s="4">
        <f>IFERROR(__xludf.DUMMYFUNCTION("""COMPUTED_VALUE"""),1164150.0)</f>
        <v>1164150</v>
      </c>
      <c r="B828" s="4" t="str">
        <f>IFERROR(__xludf.DUMMYFUNCTION("""COMPUTED_VALUE"""),"P5 - None")</f>
        <v>P5 - None</v>
      </c>
      <c r="C828" s="5">
        <f>IFERROR(__xludf.DUMMYFUNCTION("""COMPUTED_VALUE"""),43879.66998842593)</f>
        <v>43879.66999</v>
      </c>
      <c r="D828" s="4" t="str">
        <f>IFERROR(__xludf.DUMMYFUNCTION("""COMPUTED_VALUE"""),"RESOLVED")</f>
        <v>RESOLVED</v>
      </c>
      <c r="E828" s="6">
        <f>IFERROR(__xludf.DUMMYFUNCTION("""COMPUTED_VALUE"""),44384.80716435185)</f>
        <v>44384.80716</v>
      </c>
      <c r="F828" s="4" t="str">
        <f>IFERROR(__xludf.DUMMYFUNCTION("""COMPUTED_VALUE""")," ---")</f>
        <v> ---</v>
      </c>
      <c r="G828" s="4" t="str">
        <f>IFERROR(__xludf.DUMMYFUNCTION("""COMPUTED_VALUE"""),"SUSE Linux Enterprise Server 15 SP2")</f>
        <v>SUSE Linux Enterprise Server 15 SP2</v>
      </c>
      <c r="H828" s="7" t="str">
        <f t="shared" si="2"/>
        <v>NO</v>
      </c>
      <c r="I828" s="7" t="str">
        <f t="shared" si="3"/>
        <v>NO</v>
      </c>
    </row>
    <row r="829">
      <c r="A829" s="4">
        <f>IFERROR(__xludf.DUMMYFUNCTION("""COMPUTED_VALUE"""),1164151.0)</f>
        <v>1164151</v>
      </c>
      <c r="B829" s="4" t="str">
        <f>IFERROR(__xludf.DUMMYFUNCTION("""COMPUTED_VALUE"""),"P5 - None")</f>
        <v>P5 - None</v>
      </c>
      <c r="C829" s="5">
        <f>IFERROR(__xludf.DUMMYFUNCTION("""COMPUTED_VALUE"""),43879.67005787037)</f>
        <v>43879.67006</v>
      </c>
      <c r="D829" s="4" t="str">
        <f>IFERROR(__xludf.DUMMYFUNCTION("""COMPUTED_VALUE"""),"RESOLVED")</f>
        <v>RESOLVED</v>
      </c>
      <c r="E829" s="6">
        <f>IFERROR(__xludf.DUMMYFUNCTION("""COMPUTED_VALUE"""),44384.80724537037)</f>
        <v>44384.80725</v>
      </c>
      <c r="F829" s="4" t="str">
        <f>IFERROR(__xludf.DUMMYFUNCTION("""COMPUTED_VALUE""")," ---")</f>
        <v> ---</v>
      </c>
      <c r="G829" s="4" t="str">
        <f>IFERROR(__xludf.DUMMYFUNCTION("""COMPUTED_VALUE"""),"SUSE Linux Enterprise Server 15 SP2")</f>
        <v>SUSE Linux Enterprise Server 15 SP2</v>
      </c>
      <c r="H829" s="7" t="str">
        <f t="shared" si="2"/>
        <v>NO</v>
      </c>
      <c r="I829" s="7" t="str">
        <f t="shared" si="3"/>
        <v>NO</v>
      </c>
    </row>
    <row r="830">
      <c r="A830" s="4">
        <f>IFERROR(__xludf.DUMMYFUNCTION("""COMPUTED_VALUE"""),1164152.0)</f>
        <v>1164152</v>
      </c>
      <c r="B830" s="4" t="str">
        <f>IFERROR(__xludf.DUMMYFUNCTION("""COMPUTED_VALUE"""),"P5 - None")</f>
        <v>P5 - None</v>
      </c>
      <c r="C830" s="5">
        <f>IFERROR(__xludf.DUMMYFUNCTION("""COMPUTED_VALUE"""),43879.67013888889)</f>
        <v>43879.67014</v>
      </c>
      <c r="D830" s="4" t="str">
        <f>IFERROR(__xludf.DUMMYFUNCTION("""COMPUTED_VALUE"""),"RESOLVED")</f>
        <v>RESOLVED</v>
      </c>
      <c r="E830" s="6">
        <f>IFERROR(__xludf.DUMMYFUNCTION("""COMPUTED_VALUE"""),44384.80730324074)</f>
        <v>44384.8073</v>
      </c>
      <c r="F830" s="4" t="str">
        <f>IFERROR(__xludf.DUMMYFUNCTION("""COMPUTED_VALUE""")," ---")</f>
        <v> ---</v>
      </c>
      <c r="G830" s="4" t="str">
        <f>IFERROR(__xludf.DUMMYFUNCTION("""COMPUTED_VALUE"""),"SUSE Linux Enterprise Server 15 SP2")</f>
        <v>SUSE Linux Enterprise Server 15 SP2</v>
      </c>
      <c r="H830" s="7" t="str">
        <f t="shared" si="2"/>
        <v>NO</v>
      </c>
      <c r="I830" s="7" t="str">
        <f t="shared" si="3"/>
        <v>NO</v>
      </c>
    </row>
    <row r="831">
      <c r="A831" s="4">
        <f>IFERROR(__xludf.DUMMYFUNCTION("""COMPUTED_VALUE"""),1164153.0)</f>
        <v>1164153</v>
      </c>
      <c r="B831" s="4" t="str">
        <f>IFERROR(__xludf.DUMMYFUNCTION("""COMPUTED_VALUE"""),"P5 - None")</f>
        <v>P5 - None</v>
      </c>
      <c r="C831" s="5">
        <f>IFERROR(__xludf.DUMMYFUNCTION("""COMPUTED_VALUE"""),43879.67020833334)</f>
        <v>43879.67021</v>
      </c>
      <c r="D831" s="4" t="str">
        <f>IFERROR(__xludf.DUMMYFUNCTION("""COMPUTED_VALUE"""),"RESOLVED")</f>
        <v>RESOLVED</v>
      </c>
      <c r="E831" s="6">
        <f>IFERROR(__xludf.DUMMYFUNCTION("""COMPUTED_VALUE"""),44384.80737268519)</f>
        <v>44384.80737</v>
      </c>
      <c r="F831" s="4" t="str">
        <f>IFERROR(__xludf.DUMMYFUNCTION("""COMPUTED_VALUE""")," ---")</f>
        <v> ---</v>
      </c>
      <c r="G831" s="4" t="str">
        <f>IFERROR(__xludf.DUMMYFUNCTION("""COMPUTED_VALUE"""),"SUSE Linux Enterprise Server 15 SP2")</f>
        <v>SUSE Linux Enterprise Server 15 SP2</v>
      </c>
      <c r="H831" s="7" t="str">
        <f t="shared" si="2"/>
        <v>NO</v>
      </c>
      <c r="I831" s="7" t="str">
        <f t="shared" si="3"/>
        <v>NO</v>
      </c>
    </row>
    <row r="832">
      <c r="A832" s="4">
        <f>IFERROR(__xludf.DUMMYFUNCTION("""COMPUTED_VALUE"""),1164154.0)</f>
        <v>1164154</v>
      </c>
      <c r="B832" s="4" t="str">
        <f>IFERROR(__xludf.DUMMYFUNCTION("""COMPUTED_VALUE"""),"P5 - None")</f>
        <v>P5 - None</v>
      </c>
      <c r="C832" s="5">
        <f>IFERROR(__xludf.DUMMYFUNCTION("""COMPUTED_VALUE"""),43879.67028935185)</f>
        <v>43879.67029</v>
      </c>
      <c r="D832" s="4" t="str">
        <f>IFERROR(__xludf.DUMMYFUNCTION("""COMPUTED_VALUE"""),"RESOLVED")</f>
        <v>RESOLVED</v>
      </c>
      <c r="E832" s="6">
        <f>IFERROR(__xludf.DUMMYFUNCTION("""COMPUTED_VALUE"""),44384.8074537037)</f>
        <v>44384.80745</v>
      </c>
      <c r="F832" s="4" t="str">
        <f>IFERROR(__xludf.DUMMYFUNCTION("""COMPUTED_VALUE""")," ---")</f>
        <v> ---</v>
      </c>
      <c r="G832" s="4" t="str">
        <f>IFERROR(__xludf.DUMMYFUNCTION("""COMPUTED_VALUE"""),"SUSE Linux Enterprise Server 15 SP2")</f>
        <v>SUSE Linux Enterprise Server 15 SP2</v>
      </c>
      <c r="H832" s="7" t="str">
        <f t="shared" si="2"/>
        <v>NO</v>
      </c>
      <c r="I832" s="7" t="str">
        <f t="shared" si="3"/>
        <v>NO</v>
      </c>
    </row>
    <row r="833">
      <c r="A833" s="4">
        <f>IFERROR(__xludf.DUMMYFUNCTION("""COMPUTED_VALUE"""),1164155.0)</f>
        <v>1164155</v>
      </c>
      <c r="B833" s="4" t="str">
        <f>IFERROR(__xludf.DUMMYFUNCTION("""COMPUTED_VALUE"""),"P5 - None")</f>
        <v>P5 - None</v>
      </c>
      <c r="C833" s="5">
        <f>IFERROR(__xludf.DUMMYFUNCTION("""COMPUTED_VALUE"""),43879.6703587963)</f>
        <v>43879.67036</v>
      </c>
      <c r="D833" s="4" t="str">
        <f>IFERROR(__xludf.DUMMYFUNCTION("""COMPUTED_VALUE"""),"RESOLVED")</f>
        <v>RESOLVED</v>
      </c>
      <c r="E833" s="6">
        <f>IFERROR(__xludf.DUMMYFUNCTION("""COMPUTED_VALUE"""),44384.80752314815)</f>
        <v>44384.80752</v>
      </c>
      <c r="F833" s="4" t="str">
        <f>IFERROR(__xludf.DUMMYFUNCTION("""COMPUTED_VALUE""")," ---")</f>
        <v> ---</v>
      </c>
      <c r="G833" s="4" t="str">
        <f>IFERROR(__xludf.DUMMYFUNCTION("""COMPUTED_VALUE"""),"SUSE Linux Enterprise Server 15 SP2")</f>
        <v>SUSE Linux Enterprise Server 15 SP2</v>
      </c>
      <c r="H833" s="7" t="str">
        <f t="shared" si="2"/>
        <v>NO</v>
      </c>
      <c r="I833" s="7" t="str">
        <f t="shared" si="3"/>
        <v>NO</v>
      </c>
    </row>
    <row r="834">
      <c r="A834" s="4">
        <f>IFERROR(__xludf.DUMMYFUNCTION("""COMPUTED_VALUE"""),1164156.0)</f>
        <v>1164156</v>
      </c>
      <c r="B834" s="4" t="str">
        <f>IFERROR(__xludf.DUMMYFUNCTION("""COMPUTED_VALUE"""),"P5 - None")</f>
        <v>P5 - None</v>
      </c>
      <c r="C834" s="5">
        <f>IFERROR(__xludf.DUMMYFUNCTION("""COMPUTED_VALUE"""),43879.67042824074)</f>
        <v>43879.67043</v>
      </c>
      <c r="D834" s="4" t="str">
        <f>IFERROR(__xludf.DUMMYFUNCTION("""COMPUTED_VALUE"""),"RESOLVED")</f>
        <v>RESOLVED</v>
      </c>
      <c r="E834" s="6">
        <f>IFERROR(__xludf.DUMMYFUNCTION("""COMPUTED_VALUE"""),44384.807592592595)</f>
        <v>44384.80759</v>
      </c>
      <c r="F834" s="4" t="str">
        <f>IFERROR(__xludf.DUMMYFUNCTION("""COMPUTED_VALUE""")," ---")</f>
        <v> ---</v>
      </c>
      <c r="G834" s="4" t="str">
        <f>IFERROR(__xludf.DUMMYFUNCTION("""COMPUTED_VALUE"""),"SUSE Linux Enterprise Server 15 SP2")</f>
        <v>SUSE Linux Enterprise Server 15 SP2</v>
      </c>
      <c r="H834" s="7" t="str">
        <f t="shared" si="2"/>
        <v>NO</v>
      </c>
      <c r="I834" s="7" t="str">
        <f t="shared" si="3"/>
        <v>NO</v>
      </c>
    </row>
    <row r="835">
      <c r="A835" s="4">
        <f>IFERROR(__xludf.DUMMYFUNCTION("""COMPUTED_VALUE"""),1164157.0)</f>
        <v>1164157</v>
      </c>
      <c r="B835" s="4" t="str">
        <f>IFERROR(__xludf.DUMMYFUNCTION("""COMPUTED_VALUE"""),"P5 - None")</f>
        <v>P5 - None</v>
      </c>
      <c r="C835" s="5">
        <f>IFERROR(__xludf.DUMMYFUNCTION("""COMPUTED_VALUE"""),43879.67050925926)</f>
        <v>43879.67051</v>
      </c>
      <c r="D835" s="4" t="str">
        <f>IFERROR(__xludf.DUMMYFUNCTION("""COMPUTED_VALUE"""),"RESOLVED")</f>
        <v>RESOLVED</v>
      </c>
      <c r="E835" s="6">
        <f>IFERROR(__xludf.DUMMYFUNCTION("""COMPUTED_VALUE"""),44384.807662037034)</f>
        <v>44384.80766</v>
      </c>
      <c r="F835" s="4" t="str">
        <f>IFERROR(__xludf.DUMMYFUNCTION("""COMPUTED_VALUE""")," ---")</f>
        <v> ---</v>
      </c>
      <c r="G835" s="4" t="str">
        <f>IFERROR(__xludf.DUMMYFUNCTION("""COMPUTED_VALUE"""),"SUSE Linux Enterprise Server 15 SP2")</f>
        <v>SUSE Linux Enterprise Server 15 SP2</v>
      </c>
      <c r="H835" s="7" t="str">
        <f t="shared" si="2"/>
        <v>NO</v>
      </c>
      <c r="I835" s="7" t="str">
        <f t="shared" si="3"/>
        <v>NO</v>
      </c>
    </row>
    <row r="836">
      <c r="A836" s="4">
        <f>IFERROR(__xludf.DUMMYFUNCTION("""COMPUTED_VALUE"""),1164158.0)</f>
        <v>1164158</v>
      </c>
      <c r="B836" s="4" t="str">
        <f>IFERROR(__xludf.DUMMYFUNCTION("""COMPUTED_VALUE"""),"P5 - None")</f>
        <v>P5 - None</v>
      </c>
      <c r="C836" s="5">
        <f>IFERROR(__xludf.DUMMYFUNCTION("""COMPUTED_VALUE"""),43879.670578703706)</f>
        <v>43879.67058</v>
      </c>
      <c r="D836" s="4" t="str">
        <f>IFERROR(__xludf.DUMMYFUNCTION("""COMPUTED_VALUE"""),"RESOLVED")</f>
        <v>RESOLVED</v>
      </c>
      <c r="E836" s="6">
        <f>IFERROR(__xludf.DUMMYFUNCTION("""COMPUTED_VALUE"""),44384.80773148148)</f>
        <v>44384.80773</v>
      </c>
      <c r="F836" s="4" t="str">
        <f>IFERROR(__xludf.DUMMYFUNCTION("""COMPUTED_VALUE""")," ---")</f>
        <v> ---</v>
      </c>
      <c r="G836" s="4" t="str">
        <f>IFERROR(__xludf.DUMMYFUNCTION("""COMPUTED_VALUE"""),"SUSE Linux Enterprise Server 15 SP2")</f>
        <v>SUSE Linux Enterprise Server 15 SP2</v>
      </c>
      <c r="H836" s="7" t="str">
        <f t="shared" si="2"/>
        <v>NO</v>
      </c>
      <c r="I836" s="7" t="str">
        <f t="shared" si="3"/>
        <v>NO</v>
      </c>
    </row>
    <row r="837">
      <c r="A837" s="4">
        <f>IFERROR(__xludf.DUMMYFUNCTION("""COMPUTED_VALUE"""),1164159.0)</f>
        <v>1164159</v>
      </c>
      <c r="B837" s="4" t="str">
        <f>IFERROR(__xludf.DUMMYFUNCTION("""COMPUTED_VALUE"""),"P5 - None")</f>
        <v>P5 - None</v>
      </c>
      <c r="C837" s="5">
        <f>IFERROR(__xludf.DUMMYFUNCTION("""COMPUTED_VALUE"""),43879.670648148145)</f>
        <v>43879.67065</v>
      </c>
      <c r="D837" s="4" t="str">
        <f>IFERROR(__xludf.DUMMYFUNCTION("""COMPUTED_VALUE"""),"RESOLVED")</f>
        <v>RESOLVED</v>
      </c>
      <c r="E837" s="6">
        <f>IFERROR(__xludf.DUMMYFUNCTION("""COMPUTED_VALUE"""),44384.807800925926)</f>
        <v>44384.8078</v>
      </c>
      <c r="F837" s="4" t="str">
        <f>IFERROR(__xludf.DUMMYFUNCTION("""COMPUTED_VALUE""")," ---")</f>
        <v> ---</v>
      </c>
      <c r="G837" s="4" t="str">
        <f>IFERROR(__xludf.DUMMYFUNCTION("""COMPUTED_VALUE"""),"SUSE Linux Enterprise Server 15 SP2")</f>
        <v>SUSE Linux Enterprise Server 15 SP2</v>
      </c>
      <c r="H837" s="7" t="str">
        <f t="shared" si="2"/>
        <v>NO</v>
      </c>
      <c r="I837" s="7" t="str">
        <f t="shared" si="3"/>
        <v>NO</v>
      </c>
    </row>
    <row r="838">
      <c r="A838" s="4">
        <f>IFERROR(__xludf.DUMMYFUNCTION("""COMPUTED_VALUE"""),1164160.0)</f>
        <v>1164160</v>
      </c>
      <c r="B838" s="4" t="str">
        <f>IFERROR(__xludf.DUMMYFUNCTION("""COMPUTED_VALUE"""),"P5 - None")</f>
        <v>P5 - None</v>
      </c>
      <c r="C838" s="5">
        <f>IFERROR(__xludf.DUMMYFUNCTION("""COMPUTED_VALUE"""),43879.67072916667)</f>
        <v>43879.67073</v>
      </c>
      <c r="D838" s="4" t="str">
        <f>IFERROR(__xludf.DUMMYFUNCTION("""COMPUTED_VALUE"""),"RESOLVED")</f>
        <v>RESOLVED</v>
      </c>
      <c r="E838" s="6">
        <f>IFERROR(__xludf.DUMMYFUNCTION("""COMPUTED_VALUE"""),44384.80787037037)</f>
        <v>44384.80787</v>
      </c>
      <c r="F838" s="4" t="str">
        <f>IFERROR(__xludf.DUMMYFUNCTION("""COMPUTED_VALUE""")," ---")</f>
        <v> ---</v>
      </c>
      <c r="G838" s="4" t="str">
        <f>IFERROR(__xludf.DUMMYFUNCTION("""COMPUTED_VALUE"""),"SUSE Linux Enterprise Server 15 SP2")</f>
        <v>SUSE Linux Enterprise Server 15 SP2</v>
      </c>
      <c r="H838" s="7" t="str">
        <f t="shared" si="2"/>
        <v>NO</v>
      </c>
      <c r="I838" s="7" t="str">
        <f t="shared" si="3"/>
        <v>NO</v>
      </c>
    </row>
    <row r="839">
      <c r="A839" s="4">
        <f>IFERROR(__xludf.DUMMYFUNCTION("""COMPUTED_VALUE"""),1164161.0)</f>
        <v>1164161</v>
      </c>
      <c r="B839" s="4" t="str">
        <f>IFERROR(__xludf.DUMMYFUNCTION("""COMPUTED_VALUE"""),"P5 - None")</f>
        <v>P5 - None</v>
      </c>
      <c r="C839" s="5">
        <f>IFERROR(__xludf.DUMMYFUNCTION("""COMPUTED_VALUE"""),43879.670798611114)</f>
        <v>43879.6708</v>
      </c>
      <c r="D839" s="4" t="str">
        <f>IFERROR(__xludf.DUMMYFUNCTION("""COMPUTED_VALUE"""),"RESOLVED")</f>
        <v>RESOLVED</v>
      </c>
      <c r="E839" s="6">
        <f>IFERROR(__xludf.DUMMYFUNCTION("""COMPUTED_VALUE"""),44384.80793981482)</f>
        <v>44384.80794</v>
      </c>
      <c r="F839" s="4" t="str">
        <f>IFERROR(__xludf.DUMMYFUNCTION("""COMPUTED_VALUE""")," ---")</f>
        <v> ---</v>
      </c>
      <c r="G839" s="4" t="str">
        <f>IFERROR(__xludf.DUMMYFUNCTION("""COMPUTED_VALUE"""),"SUSE Linux Enterprise Server 15 SP2")</f>
        <v>SUSE Linux Enterprise Server 15 SP2</v>
      </c>
      <c r="H839" s="7" t="str">
        <f t="shared" si="2"/>
        <v>NO</v>
      </c>
      <c r="I839" s="7" t="str">
        <f t="shared" si="3"/>
        <v>NO</v>
      </c>
    </row>
    <row r="840">
      <c r="A840" s="4">
        <f>IFERROR(__xludf.DUMMYFUNCTION("""COMPUTED_VALUE"""),1164162.0)</f>
        <v>1164162</v>
      </c>
      <c r="B840" s="4" t="str">
        <f>IFERROR(__xludf.DUMMYFUNCTION("""COMPUTED_VALUE"""),"P5 - None")</f>
        <v>P5 - None</v>
      </c>
      <c r="C840" s="5">
        <f>IFERROR(__xludf.DUMMYFUNCTION("""COMPUTED_VALUE"""),43879.67086805555)</f>
        <v>43879.67087</v>
      </c>
      <c r="D840" s="4" t="str">
        <f>IFERROR(__xludf.DUMMYFUNCTION("""COMPUTED_VALUE"""),"RESOLVED")</f>
        <v>RESOLVED</v>
      </c>
      <c r="E840" s="6">
        <f>IFERROR(__xludf.DUMMYFUNCTION("""COMPUTED_VALUE"""),44384.80800925926)</f>
        <v>44384.80801</v>
      </c>
      <c r="F840" s="4" t="str">
        <f>IFERROR(__xludf.DUMMYFUNCTION("""COMPUTED_VALUE""")," ---")</f>
        <v> ---</v>
      </c>
      <c r="G840" s="4" t="str">
        <f>IFERROR(__xludf.DUMMYFUNCTION("""COMPUTED_VALUE"""),"SUSE Linux Enterprise Server 15 SP2")</f>
        <v>SUSE Linux Enterprise Server 15 SP2</v>
      </c>
      <c r="H840" s="7" t="str">
        <f t="shared" si="2"/>
        <v>NO</v>
      </c>
      <c r="I840" s="7" t="str">
        <f t="shared" si="3"/>
        <v>NO</v>
      </c>
    </row>
    <row r="841">
      <c r="A841" s="4">
        <f>IFERROR(__xludf.DUMMYFUNCTION("""COMPUTED_VALUE"""),1164163.0)</f>
        <v>1164163</v>
      </c>
      <c r="B841" s="4" t="str">
        <f>IFERROR(__xludf.DUMMYFUNCTION("""COMPUTED_VALUE"""),"P5 - None")</f>
        <v>P5 - None</v>
      </c>
      <c r="C841" s="5">
        <f>IFERROR(__xludf.DUMMYFUNCTION("""COMPUTED_VALUE"""),43879.670949074076)</f>
        <v>43879.67095</v>
      </c>
      <c r="D841" s="4" t="str">
        <f>IFERROR(__xludf.DUMMYFUNCTION("""COMPUTED_VALUE"""),"RESOLVED")</f>
        <v>RESOLVED</v>
      </c>
      <c r="E841" s="6">
        <f>IFERROR(__xludf.DUMMYFUNCTION("""COMPUTED_VALUE"""),44384.8080787037)</f>
        <v>44384.80808</v>
      </c>
      <c r="F841" s="4" t="str">
        <f>IFERROR(__xludf.DUMMYFUNCTION("""COMPUTED_VALUE""")," ---")</f>
        <v> ---</v>
      </c>
      <c r="G841" s="4" t="str">
        <f>IFERROR(__xludf.DUMMYFUNCTION("""COMPUTED_VALUE"""),"SUSE Linux Enterprise Server 15 SP2")</f>
        <v>SUSE Linux Enterprise Server 15 SP2</v>
      </c>
      <c r="H841" s="7" t="str">
        <f t="shared" si="2"/>
        <v>NO</v>
      </c>
      <c r="I841" s="7" t="str">
        <f t="shared" si="3"/>
        <v>NO</v>
      </c>
    </row>
    <row r="842">
      <c r="A842" s="4">
        <f>IFERROR(__xludf.DUMMYFUNCTION("""COMPUTED_VALUE"""),1164164.0)</f>
        <v>1164164</v>
      </c>
      <c r="B842" s="4" t="str">
        <f>IFERROR(__xludf.DUMMYFUNCTION("""COMPUTED_VALUE"""),"P5 - None")</f>
        <v>P5 - None</v>
      </c>
      <c r="C842" s="5">
        <f>IFERROR(__xludf.DUMMYFUNCTION("""COMPUTED_VALUE"""),43879.67101851852)</f>
        <v>43879.67102</v>
      </c>
      <c r="D842" s="4" t="str">
        <f>IFERROR(__xludf.DUMMYFUNCTION("""COMPUTED_VALUE"""),"RESOLVED")</f>
        <v>RESOLVED</v>
      </c>
      <c r="E842" s="6">
        <f>IFERROR(__xludf.DUMMYFUNCTION("""COMPUTED_VALUE"""),44384.80814814815)</f>
        <v>44384.80815</v>
      </c>
      <c r="F842" s="4" t="str">
        <f>IFERROR(__xludf.DUMMYFUNCTION("""COMPUTED_VALUE""")," ---")</f>
        <v> ---</v>
      </c>
      <c r="G842" s="4" t="str">
        <f>IFERROR(__xludf.DUMMYFUNCTION("""COMPUTED_VALUE"""),"SUSE Linux Enterprise Server 15 SP2")</f>
        <v>SUSE Linux Enterprise Server 15 SP2</v>
      </c>
      <c r="H842" s="7" t="str">
        <f t="shared" si="2"/>
        <v>NO</v>
      </c>
      <c r="I842" s="7" t="str">
        <f t="shared" si="3"/>
        <v>NO</v>
      </c>
    </row>
    <row r="843">
      <c r="A843" s="4">
        <f>IFERROR(__xludf.DUMMYFUNCTION("""COMPUTED_VALUE"""),1164165.0)</f>
        <v>1164165</v>
      </c>
      <c r="B843" s="4" t="str">
        <f>IFERROR(__xludf.DUMMYFUNCTION("""COMPUTED_VALUE"""),"P5 - None")</f>
        <v>P5 - None</v>
      </c>
      <c r="C843" s="5">
        <f>IFERROR(__xludf.DUMMYFUNCTION("""COMPUTED_VALUE"""),43879.67108796296)</f>
        <v>43879.67109</v>
      </c>
      <c r="D843" s="4" t="str">
        <f>IFERROR(__xludf.DUMMYFUNCTION("""COMPUTED_VALUE"""),"RESOLVED")</f>
        <v>RESOLVED</v>
      </c>
      <c r="E843" s="6">
        <f>IFERROR(__xludf.DUMMYFUNCTION("""COMPUTED_VALUE"""),44384.808217592596)</f>
        <v>44384.80822</v>
      </c>
      <c r="F843" s="4" t="str">
        <f>IFERROR(__xludf.DUMMYFUNCTION("""COMPUTED_VALUE""")," ---")</f>
        <v> ---</v>
      </c>
      <c r="G843" s="4" t="str">
        <f>IFERROR(__xludf.DUMMYFUNCTION("""COMPUTED_VALUE"""),"SUSE Linux Enterprise Server 15 SP2")</f>
        <v>SUSE Linux Enterprise Server 15 SP2</v>
      </c>
      <c r="H843" s="7" t="str">
        <f t="shared" si="2"/>
        <v>NO</v>
      </c>
      <c r="I843" s="7" t="str">
        <f t="shared" si="3"/>
        <v>NO</v>
      </c>
    </row>
    <row r="844">
      <c r="A844" s="4">
        <f>IFERROR(__xludf.DUMMYFUNCTION("""COMPUTED_VALUE"""),1164166.0)</f>
        <v>1164166</v>
      </c>
      <c r="B844" s="4" t="str">
        <f>IFERROR(__xludf.DUMMYFUNCTION("""COMPUTED_VALUE"""),"P5 - None")</f>
        <v>P5 - None</v>
      </c>
      <c r="C844" s="5">
        <f>IFERROR(__xludf.DUMMYFUNCTION("""COMPUTED_VALUE"""),43879.671168981484)</f>
        <v>43879.67117</v>
      </c>
      <c r="D844" s="4" t="str">
        <f>IFERROR(__xludf.DUMMYFUNCTION("""COMPUTED_VALUE"""),"RESOLVED")</f>
        <v>RESOLVED</v>
      </c>
      <c r="E844" s="6">
        <f>IFERROR(__xludf.DUMMYFUNCTION("""COMPUTED_VALUE"""),44384.808275462965)</f>
        <v>44384.80828</v>
      </c>
      <c r="F844" s="4" t="str">
        <f>IFERROR(__xludf.DUMMYFUNCTION("""COMPUTED_VALUE""")," ---")</f>
        <v> ---</v>
      </c>
      <c r="G844" s="4" t="str">
        <f>IFERROR(__xludf.DUMMYFUNCTION("""COMPUTED_VALUE"""),"SUSE Linux Enterprise Server 15 SP2")</f>
        <v>SUSE Linux Enterprise Server 15 SP2</v>
      </c>
      <c r="H844" s="7" t="str">
        <f t="shared" si="2"/>
        <v>NO</v>
      </c>
      <c r="I844" s="7" t="str">
        <f t="shared" si="3"/>
        <v>NO</v>
      </c>
    </row>
    <row r="845">
      <c r="A845" s="4">
        <f>IFERROR(__xludf.DUMMYFUNCTION("""COMPUTED_VALUE"""),1164167.0)</f>
        <v>1164167</v>
      </c>
      <c r="B845" s="4" t="str">
        <f>IFERROR(__xludf.DUMMYFUNCTION("""COMPUTED_VALUE"""),"P5 - None")</f>
        <v>P5 - None</v>
      </c>
      <c r="C845" s="5">
        <f>IFERROR(__xludf.DUMMYFUNCTION("""COMPUTED_VALUE"""),43879.67123842592)</f>
        <v>43879.67124</v>
      </c>
      <c r="D845" s="4" t="str">
        <f>IFERROR(__xludf.DUMMYFUNCTION("""COMPUTED_VALUE"""),"RESOLVED")</f>
        <v>RESOLVED</v>
      </c>
      <c r="E845" s="6">
        <f>IFERROR(__xludf.DUMMYFUNCTION("""COMPUTED_VALUE"""),44384.808344907404)</f>
        <v>44384.80834</v>
      </c>
      <c r="F845" s="4" t="str">
        <f>IFERROR(__xludf.DUMMYFUNCTION("""COMPUTED_VALUE""")," ---")</f>
        <v> ---</v>
      </c>
      <c r="G845" s="4" t="str">
        <f>IFERROR(__xludf.DUMMYFUNCTION("""COMPUTED_VALUE"""),"SUSE Linux Enterprise Server 15 SP2")</f>
        <v>SUSE Linux Enterprise Server 15 SP2</v>
      </c>
      <c r="H845" s="7" t="str">
        <f t="shared" si="2"/>
        <v>NO</v>
      </c>
      <c r="I845" s="7" t="str">
        <f t="shared" si="3"/>
        <v>NO</v>
      </c>
    </row>
    <row r="846">
      <c r="A846" s="4">
        <f>IFERROR(__xludf.DUMMYFUNCTION("""COMPUTED_VALUE"""),1164168.0)</f>
        <v>1164168</v>
      </c>
      <c r="B846" s="4" t="str">
        <f>IFERROR(__xludf.DUMMYFUNCTION("""COMPUTED_VALUE"""),"P5 - None")</f>
        <v>P5 - None</v>
      </c>
      <c r="C846" s="5">
        <f>IFERROR(__xludf.DUMMYFUNCTION("""COMPUTED_VALUE"""),43879.67130787037)</f>
        <v>43879.67131</v>
      </c>
      <c r="D846" s="4" t="str">
        <f>IFERROR(__xludf.DUMMYFUNCTION("""COMPUTED_VALUE"""),"RESOLVED")</f>
        <v>RESOLVED</v>
      </c>
      <c r="E846" s="6">
        <f>IFERROR(__xludf.DUMMYFUNCTION("""COMPUTED_VALUE"""),44384.80841435185)</f>
        <v>44384.80841</v>
      </c>
      <c r="F846" s="4" t="str">
        <f>IFERROR(__xludf.DUMMYFUNCTION("""COMPUTED_VALUE""")," ---")</f>
        <v> ---</v>
      </c>
      <c r="G846" s="4" t="str">
        <f>IFERROR(__xludf.DUMMYFUNCTION("""COMPUTED_VALUE"""),"SUSE Linux Enterprise Server 15 SP2")</f>
        <v>SUSE Linux Enterprise Server 15 SP2</v>
      </c>
      <c r="H846" s="7" t="str">
        <f t="shared" si="2"/>
        <v>NO</v>
      </c>
      <c r="I846" s="7" t="str">
        <f t="shared" si="3"/>
        <v>NO</v>
      </c>
    </row>
    <row r="847">
      <c r="A847" s="4">
        <f>IFERROR(__xludf.DUMMYFUNCTION("""COMPUTED_VALUE"""),1164169.0)</f>
        <v>1164169</v>
      </c>
      <c r="B847" s="4" t="str">
        <f>IFERROR(__xludf.DUMMYFUNCTION("""COMPUTED_VALUE"""),"P5 - None")</f>
        <v>P5 - None</v>
      </c>
      <c r="C847" s="5">
        <f>IFERROR(__xludf.DUMMYFUNCTION("""COMPUTED_VALUE"""),43879.67138888889)</f>
        <v>43879.67139</v>
      </c>
      <c r="D847" s="4" t="str">
        <f>IFERROR(__xludf.DUMMYFUNCTION("""COMPUTED_VALUE"""),"RESOLVED")</f>
        <v>RESOLVED</v>
      </c>
      <c r="E847" s="6">
        <f>IFERROR(__xludf.DUMMYFUNCTION("""COMPUTED_VALUE"""),44384.80849537037)</f>
        <v>44384.8085</v>
      </c>
      <c r="F847" s="4" t="str">
        <f>IFERROR(__xludf.DUMMYFUNCTION("""COMPUTED_VALUE""")," ---")</f>
        <v> ---</v>
      </c>
      <c r="G847" s="4" t="str">
        <f>IFERROR(__xludf.DUMMYFUNCTION("""COMPUTED_VALUE"""),"SUSE Linux Enterprise Server 15 SP2")</f>
        <v>SUSE Linux Enterprise Server 15 SP2</v>
      </c>
      <c r="H847" s="7" t="str">
        <f t="shared" si="2"/>
        <v>NO</v>
      </c>
      <c r="I847" s="7" t="str">
        <f t="shared" si="3"/>
        <v>NO</v>
      </c>
    </row>
    <row r="848">
      <c r="A848" s="4">
        <f>IFERROR(__xludf.DUMMYFUNCTION("""COMPUTED_VALUE"""),1164170.0)</f>
        <v>1164170</v>
      </c>
      <c r="B848" s="4" t="str">
        <f>IFERROR(__xludf.DUMMYFUNCTION("""COMPUTED_VALUE"""),"P5 - None")</f>
        <v>P5 - None</v>
      </c>
      <c r="C848" s="5">
        <f>IFERROR(__xludf.DUMMYFUNCTION("""COMPUTED_VALUE"""),43879.67145833333)</f>
        <v>43879.67146</v>
      </c>
      <c r="D848" s="4" t="str">
        <f>IFERROR(__xludf.DUMMYFUNCTION("""COMPUTED_VALUE"""),"RESOLVED")</f>
        <v>RESOLVED</v>
      </c>
      <c r="E848" s="6">
        <f>IFERROR(__xludf.DUMMYFUNCTION("""COMPUTED_VALUE"""),44384.80855324074)</f>
        <v>44384.80855</v>
      </c>
      <c r="F848" s="4" t="str">
        <f>IFERROR(__xludf.DUMMYFUNCTION("""COMPUTED_VALUE""")," ---")</f>
        <v> ---</v>
      </c>
      <c r="G848" s="4" t="str">
        <f>IFERROR(__xludf.DUMMYFUNCTION("""COMPUTED_VALUE"""),"SUSE Linux Enterprise Server 15 SP2")</f>
        <v>SUSE Linux Enterprise Server 15 SP2</v>
      </c>
      <c r="H848" s="7" t="str">
        <f t="shared" si="2"/>
        <v>NO</v>
      </c>
      <c r="I848" s="7" t="str">
        <f t="shared" si="3"/>
        <v>NO</v>
      </c>
    </row>
    <row r="849">
      <c r="A849" s="4">
        <f>IFERROR(__xludf.DUMMYFUNCTION("""COMPUTED_VALUE"""),1164171.0)</f>
        <v>1164171</v>
      </c>
      <c r="B849" s="4" t="str">
        <f>IFERROR(__xludf.DUMMYFUNCTION("""COMPUTED_VALUE"""),"P5 - None")</f>
        <v>P5 - None</v>
      </c>
      <c r="C849" s="5">
        <f>IFERROR(__xludf.DUMMYFUNCTION("""COMPUTED_VALUE"""),43879.67153935185)</f>
        <v>43879.67154</v>
      </c>
      <c r="D849" s="4" t="str">
        <f>IFERROR(__xludf.DUMMYFUNCTION("""COMPUTED_VALUE"""),"RESOLVED")</f>
        <v>RESOLVED</v>
      </c>
      <c r="E849" s="6">
        <f>IFERROR(__xludf.DUMMYFUNCTION("""COMPUTED_VALUE"""),44384.80862268519)</f>
        <v>44384.80862</v>
      </c>
      <c r="F849" s="4" t="str">
        <f>IFERROR(__xludf.DUMMYFUNCTION("""COMPUTED_VALUE""")," ---")</f>
        <v> ---</v>
      </c>
      <c r="G849" s="4" t="str">
        <f>IFERROR(__xludf.DUMMYFUNCTION("""COMPUTED_VALUE"""),"SUSE Linux Enterprise Server 15 SP2")</f>
        <v>SUSE Linux Enterprise Server 15 SP2</v>
      </c>
      <c r="H849" s="7" t="str">
        <f t="shared" si="2"/>
        <v>NO</v>
      </c>
      <c r="I849" s="7" t="str">
        <f t="shared" si="3"/>
        <v>NO</v>
      </c>
    </row>
    <row r="850">
      <c r="A850" s="4">
        <f>IFERROR(__xludf.DUMMYFUNCTION("""COMPUTED_VALUE"""),1164172.0)</f>
        <v>1164172</v>
      </c>
      <c r="B850" s="4" t="str">
        <f>IFERROR(__xludf.DUMMYFUNCTION("""COMPUTED_VALUE"""),"P5 - None")</f>
        <v>P5 - None</v>
      </c>
      <c r="C850" s="5">
        <f>IFERROR(__xludf.DUMMYFUNCTION("""COMPUTED_VALUE"""),43879.67162037037)</f>
        <v>43879.67162</v>
      </c>
      <c r="D850" s="4" t="str">
        <f>IFERROR(__xludf.DUMMYFUNCTION("""COMPUTED_VALUE"""),"RESOLVED")</f>
        <v>RESOLVED</v>
      </c>
      <c r="E850" s="6">
        <f>IFERROR(__xludf.DUMMYFUNCTION("""COMPUTED_VALUE"""),44384.80869212963)</f>
        <v>44384.80869</v>
      </c>
      <c r="F850" s="4" t="str">
        <f>IFERROR(__xludf.DUMMYFUNCTION("""COMPUTED_VALUE""")," ---")</f>
        <v> ---</v>
      </c>
      <c r="G850" s="4" t="str">
        <f>IFERROR(__xludf.DUMMYFUNCTION("""COMPUTED_VALUE"""),"SUSE Linux Enterprise Server 15 SP2")</f>
        <v>SUSE Linux Enterprise Server 15 SP2</v>
      </c>
      <c r="H850" s="7" t="str">
        <f t="shared" si="2"/>
        <v>NO</v>
      </c>
      <c r="I850" s="7" t="str">
        <f t="shared" si="3"/>
        <v>NO</v>
      </c>
    </row>
    <row r="851">
      <c r="A851" s="4">
        <f>IFERROR(__xludf.DUMMYFUNCTION("""COMPUTED_VALUE"""),1164173.0)</f>
        <v>1164173</v>
      </c>
      <c r="B851" s="4" t="str">
        <f>IFERROR(__xludf.DUMMYFUNCTION("""COMPUTED_VALUE"""),"P5 - None")</f>
        <v>P5 - None</v>
      </c>
      <c r="C851" s="5">
        <f>IFERROR(__xludf.DUMMYFUNCTION("""COMPUTED_VALUE"""),43879.67171296296)</f>
        <v>43879.67171</v>
      </c>
      <c r="D851" s="4" t="str">
        <f>IFERROR(__xludf.DUMMYFUNCTION("""COMPUTED_VALUE"""),"RESOLVED")</f>
        <v>RESOLVED</v>
      </c>
      <c r="E851" s="6">
        <f>IFERROR(__xludf.DUMMYFUNCTION("""COMPUTED_VALUE"""),44384.80876157407)</f>
        <v>44384.80876</v>
      </c>
      <c r="F851" s="4" t="str">
        <f>IFERROR(__xludf.DUMMYFUNCTION("""COMPUTED_VALUE""")," ---")</f>
        <v> ---</v>
      </c>
      <c r="G851" s="4" t="str">
        <f>IFERROR(__xludf.DUMMYFUNCTION("""COMPUTED_VALUE"""),"SUSE Linux Enterprise Server 15 SP2")</f>
        <v>SUSE Linux Enterprise Server 15 SP2</v>
      </c>
      <c r="H851" s="7" t="str">
        <f t="shared" si="2"/>
        <v>NO</v>
      </c>
      <c r="I851" s="7" t="str">
        <f t="shared" si="3"/>
        <v>NO</v>
      </c>
    </row>
    <row r="852">
      <c r="A852" s="4">
        <f>IFERROR(__xludf.DUMMYFUNCTION("""COMPUTED_VALUE"""),1164174.0)</f>
        <v>1164174</v>
      </c>
      <c r="B852" s="4" t="str">
        <f>IFERROR(__xludf.DUMMYFUNCTION("""COMPUTED_VALUE"""),"P5 - None")</f>
        <v>P5 - None</v>
      </c>
      <c r="C852" s="5">
        <f>IFERROR(__xludf.DUMMYFUNCTION("""COMPUTED_VALUE"""),43879.67178240741)</f>
        <v>43879.67178</v>
      </c>
      <c r="D852" s="4" t="str">
        <f>IFERROR(__xludf.DUMMYFUNCTION("""COMPUTED_VALUE"""),"RESOLVED")</f>
        <v>RESOLVED</v>
      </c>
      <c r="E852" s="6">
        <f>IFERROR(__xludf.DUMMYFUNCTION("""COMPUTED_VALUE"""),44384.80883101852)</f>
        <v>44384.80883</v>
      </c>
      <c r="F852" s="4" t="str">
        <f>IFERROR(__xludf.DUMMYFUNCTION("""COMPUTED_VALUE""")," ---")</f>
        <v> ---</v>
      </c>
      <c r="G852" s="4" t="str">
        <f>IFERROR(__xludf.DUMMYFUNCTION("""COMPUTED_VALUE"""),"SUSE Linux Enterprise Server 15 SP2")</f>
        <v>SUSE Linux Enterprise Server 15 SP2</v>
      </c>
      <c r="H852" s="7" t="str">
        <f t="shared" si="2"/>
        <v>NO</v>
      </c>
      <c r="I852" s="7" t="str">
        <f t="shared" si="3"/>
        <v>NO</v>
      </c>
    </row>
    <row r="853">
      <c r="A853" s="4">
        <f>IFERROR(__xludf.DUMMYFUNCTION("""COMPUTED_VALUE"""),1164175.0)</f>
        <v>1164175</v>
      </c>
      <c r="B853" s="4" t="str">
        <f>IFERROR(__xludf.DUMMYFUNCTION("""COMPUTED_VALUE"""),"P5 - None")</f>
        <v>P5 - None</v>
      </c>
      <c r="C853" s="5">
        <f>IFERROR(__xludf.DUMMYFUNCTION("""COMPUTED_VALUE"""),43879.67186342592)</f>
        <v>43879.67186</v>
      </c>
      <c r="D853" s="4" t="str">
        <f>IFERROR(__xludf.DUMMYFUNCTION("""COMPUTED_VALUE"""),"RESOLVED")</f>
        <v>RESOLVED</v>
      </c>
      <c r="E853" s="6">
        <f>IFERROR(__xludf.DUMMYFUNCTION("""COMPUTED_VALUE"""),44384.80888888889)</f>
        <v>44384.80889</v>
      </c>
      <c r="F853" s="4" t="str">
        <f>IFERROR(__xludf.DUMMYFUNCTION("""COMPUTED_VALUE""")," ---")</f>
        <v> ---</v>
      </c>
      <c r="G853" s="4" t="str">
        <f>IFERROR(__xludf.DUMMYFUNCTION("""COMPUTED_VALUE"""),"SUSE Linux Enterprise Server 15 SP2")</f>
        <v>SUSE Linux Enterprise Server 15 SP2</v>
      </c>
      <c r="H853" s="7" t="str">
        <f t="shared" si="2"/>
        <v>NO</v>
      </c>
      <c r="I853" s="7" t="str">
        <f t="shared" si="3"/>
        <v>NO</v>
      </c>
    </row>
    <row r="854">
      <c r="A854" s="4">
        <f>IFERROR(__xludf.DUMMYFUNCTION("""COMPUTED_VALUE"""),1164176.0)</f>
        <v>1164176</v>
      </c>
      <c r="B854" s="4" t="str">
        <f>IFERROR(__xludf.DUMMYFUNCTION("""COMPUTED_VALUE"""),"P5 - None")</f>
        <v>P5 - None</v>
      </c>
      <c r="C854" s="5">
        <f>IFERROR(__xludf.DUMMYFUNCTION("""COMPUTED_VALUE"""),43879.67193287037)</f>
        <v>43879.67193</v>
      </c>
      <c r="D854" s="4" t="str">
        <f>IFERROR(__xludf.DUMMYFUNCTION("""COMPUTED_VALUE"""),"RESOLVED")</f>
        <v>RESOLVED</v>
      </c>
      <c r="E854" s="6">
        <f>IFERROR(__xludf.DUMMYFUNCTION("""COMPUTED_VALUE"""),44384.808958333335)</f>
        <v>44384.80896</v>
      </c>
      <c r="F854" s="4" t="str">
        <f>IFERROR(__xludf.DUMMYFUNCTION("""COMPUTED_VALUE""")," ---")</f>
        <v> ---</v>
      </c>
      <c r="G854" s="4" t="str">
        <f>IFERROR(__xludf.DUMMYFUNCTION("""COMPUTED_VALUE"""),"SUSE Linux Enterprise Server 15 SP2")</f>
        <v>SUSE Linux Enterprise Server 15 SP2</v>
      </c>
      <c r="H854" s="7" t="str">
        <f t="shared" si="2"/>
        <v>NO</v>
      </c>
      <c r="I854" s="7" t="str">
        <f t="shared" si="3"/>
        <v>NO</v>
      </c>
    </row>
    <row r="855">
      <c r="A855" s="4">
        <f>IFERROR(__xludf.DUMMYFUNCTION("""COMPUTED_VALUE"""),1164177.0)</f>
        <v>1164177</v>
      </c>
      <c r="B855" s="4" t="str">
        <f>IFERROR(__xludf.DUMMYFUNCTION("""COMPUTED_VALUE"""),"P5 - None")</f>
        <v>P5 - None</v>
      </c>
      <c r="C855" s="5">
        <f>IFERROR(__xludf.DUMMYFUNCTION("""COMPUTED_VALUE"""),43879.67201388889)</f>
        <v>43879.67201</v>
      </c>
      <c r="D855" s="4" t="str">
        <f>IFERROR(__xludf.DUMMYFUNCTION("""COMPUTED_VALUE"""),"RESOLVED")</f>
        <v>RESOLVED</v>
      </c>
      <c r="E855" s="6">
        <f>IFERROR(__xludf.DUMMYFUNCTION("""COMPUTED_VALUE"""),44384.80902777778)</f>
        <v>44384.80903</v>
      </c>
      <c r="F855" s="4" t="str">
        <f>IFERROR(__xludf.DUMMYFUNCTION("""COMPUTED_VALUE""")," ---")</f>
        <v> ---</v>
      </c>
      <c r="G855" s="4" t="str">
        <f>IFERROR(__xludf.DUMMYFUNCTION("""COMPUTED_VALUE"""),"SUSE Linux Enterprise Server 15 SP2")</f>
        <v>SUSE Linux Enterprise Server 15 SP2</v>
      </c>
      <c r="H855" s="7" t="str">
        <f t="shared" si="2"/>
        <v>NO</v>
      </c>
      <c r="I855" s="7" t="str">
        <f t="shared" si="3"/>
        <v>NO</v>
      </c>
    </row>
    <row r="856">
      <c r="A856" s="4">
        <f>IFERROR(__xludf.DUMMYFUNCTION("""COMPUTED_VALUE"""),1164178.0)</f>
        <v>1164178</v>
      </c>
      <c r="B856" s="4" t="str">
        <f>IFERROR(__xludf.DUMMYFUNCTION("""COMPUTED_VALUE"""),"P5 - None")</f>
        <v>P5 - None</v>
      </c>
      <c r="C856" s="5">
        <f>IFERROR(__xludf.DUMMYFUNCTION("""COMPUTED_VALUE"""),43879.67208333333)</f>
        <v>43879.67208</v>
      </c>
      <c r="D856" s="4" t="str">
        <f>IFERROR(__xludf.DUMMYFUNCTION("""COMPUTED_VALUE"""),"RESOLVED")</f>
        <v>RESOLVED</v>
      </c>
      <c r="E856" s="6">
        <f>IFERROR(__xludf.DUMMYFUNCTION("""COMPUTED_VALUE"""),44384.80909722222)</f>
        <v>44384.8091</v>
      </c>
      <c r="F856" s="4" t="str">
        <f>IFERROR(__xludf.DUMMYFUNCTION("""COMPUTED_VALUE""")," ---")</f>
        <v> ---</v>
      </c>
      <c r="G856" s="4" t="str">
        <f>IFERROR(__xludf.DUMMYFUNCTION("""COMPUTED_VALUE"""),"SUSE Linux Enterprise Server 15 SP2")</f>
        <v>SUSE Linux Enterprise Server 15 SP2</v>
      </c>
      <c r="H856" s="7" t="str">
        <f t="shared" si="2"/>
        <v>NO</v>
      </c>
      <c r="I856" s="7" t="str">
        <f t="shared" si="3"/>
        <v>NO</v>
      </c>
    </row>
    <row r="857">
      <c r="A857" s="4">
        <f>IFERROR(__xludf.DUMMYFUNCTION("""COMPUTED_VALUE"""),1164179.0)</f>
        <v>1164179</v>
      </c>
      <c r="B857" s="4" t="str">
        <f>IFERROR(__xludf.DUMMYFUNCTION("""COMPUTED_VALUE"""),"P5 - None")</f>
        <v>P5 - None</v>
      </c>
      <c r="C857" s="5">
        <f>IFERROR(__xludf.DUMMYFUNCTION("""COMPUTED_VALUE"""),43879.67215277778)</f>
        <v>43879.67215</v>
      </c>
      <c r="D857" s="4" t="str">
        <f>IFERROR(__xludf.DUMMYFUNCTION("""COMPUTED_VALUE"""),"RESOLVED")</f>
        <v>RESOLVED</v>
      </c>
      <c r="E857" s="6">
        <f>IFERROR(__xludf.DUMMYFUNCTION("""COMPUTED_VALUE"""),44384.809166666666)</f>
        <v>44384.80917</v>
      </c>
      <c r="F857" s="4" t="str">
        <f>IFERROR(__xludf.DUMMYFUNCTION("""COMPUTED_VALUE""")," ---")</f>
        <v> ---</v>
      </c>
      <c r="G857" s="4" t="str">
        <f>IFERROR(__xludf.DUMMYFUNCTION("""COMPUTED_VALUE"""),"SUSE Linux Enterprise Server 15 SP2")</f>
        <v>SUSE Linux Enterprise Server 15 SP2</v>
      </c>
      <c r="H857" s="7" t="str">
        <f t="shared" si="2"/>
        <v>NO</v>
      </c>
      <c r="I857" s="7" t="str">
        <f t="shared" si="3"/>
        <v>NO</v>
      </c>
    </row>
    <row r="858">
      <c r="A858" s="4">
        <f>IFERROR(__xludf.DUMMYFUNCTION("""COMPUTED_VALUE"""),1164180.0)</f>
        <v>1164180</v>
      </c>
      <c r="B858" s="4" t="str">
        <f>IFERROR(__xludf.DUMMYFUNCTION("""COMPUTED_VALUE"""),"P5 - None")</f>
        <v>P5 - None</v>
      </c>
      <c r="C858" s="5">
        <f>IFERROR(__xludf.DUMMYFUNCTION("""COMPUTED_VALUE"""),43879.67223379629)</f>
        <v>43879.67223</v>
      </c>
      <c r="D858" s="4" t="str">
        <f>IFERROR(__xludf.DUMMYFUNCTION("""COMPUTED_VALUE"""),"RESOLVED")</f>
        <v>RESOLVED</v>
      </c>
      <c r="E858" s="6">
        <f>IFERROR(__xludf.DUMMYFUNCTION("""COMPUTED_VALUE"""),44384.80923611111)</f>
        <v>44384.80924</v>
      </c>
      <c r="F858" s="4" t="str">
        <f>IFERROR(__xludf.DUMMYFUNCTION("""COMPUTED_VALUE""")," ---")</f>
        <v> ---</v>
      </c>
      <c r="G858" s="4" t="str">
        <f>IFERROR(__xludf.DUMMYFUNCTION("""COMPUTED_VALUE"""),"SUSE Linux Enterprise Server 15 SP2")</f>
        <v>SUSE Linux Enterprise Server 15 SP2</v>
      </c>
      <c r="H858" s="7" t="str">
        <f t="shared" si="2"/>
        <v>NO</v>
      </c>
      <c r="I858" s="7" t="str">
        <f t="shared" si="3"/>
        <v>NO</v>
      </c>
    </row>
    <row r="859">
      <c r="A859" s="4">
        <f>IFERROR(__xludf.DUMMYFUNCTION("""COMPUTED_VALUE"""),1164181.0)</f>
        <v>1164181</v>
      </c>
      <c r="B859" s="4" t="str">
        <f>IFERROR(__xludf.DUMMYFUNCTION("""COMPUTED_VALUE"""),"P5 - None")</f>
        <v>P5 - None</v>
      </c>
      <c r="C859" s="5">
        <f>IFERROR(__xludf.DUMMYFUNCTION("""COMPUTED_VALUE"""),43879.67230324074)</f>
        <v>43879.6723</v>
      </c>
      <c r="D859" s="4" t="str">
        <f>IFERROR(__xludf.DUMMYFUNCTION("""COMPUTED_VALUE"""),"RESOLVED")</f>
        <v>RESOLVED</v>
      </c>
      <c r="E859" s="6">
        <f>IFERROR(__xludf.DUMMYFUNCTION("""COMPUTED_VALUE"""),44384.80930555556)</f>
        <v>44384.80931</v>
      </c>
      <c r="F859" s="4" t="str">
        <f>IFERROR(__xludf.DUMMYFUNCTION("""COMPUTED_VALUE""")," ---")</f>
        <v> ---</v>
      </c>
      <c r="G859" s="4" t="str">
        <f>IFERROR(__xludf.DUMMYFUNCTION("""COMPUTED_VALUE"""),"SUSE Linux Enterprise Server 15 SP2")</f>
        <v>SUSE Linux Enterprise Server 15 SP2</v>
      </c>
      <c r="H859" s="7" t="str">
        <f t="shared" si="2"/>
        <v>NO</v>
      </c>
      <c r="I859" s="7" t="str">
        <f t="shared" si="3"/>
        <v>NO</v>
      </c>
    </row>
    <row r="860">
      <c r="A860" s="4">
        <f>IFERROR(__xludf.DUMMYFUNCTION("""COMPUTED_VALUE"""),1164182.0)</f>
        <v>1164182</v>
      </c>
      <c r="B860" s="4" t="str">
        <f>IFERROR(__xludf.DUMMYFUNCTION("""COMPUTED_VALUE"""),"P5 - None")</f>
        <v>P5 - None</v>
      </c>
      <c r="C860" s="5">
        <f>IFERROR(__xludf.DUMMYFUNCTION("""COMPUTED_VALUE"""),43879.67238425926)</f>
        <v>43879.67238</v>
      </c>
      <c r="D860" s="4" t="str">
        <f>IFERROR(__xludf.DUMMYFUNCTION("""COMPUTED_VALUE"""),"RESOLVED")</f>
        <v>RESOLVED</v>
      </c>
      <c r="E860" s="6">
        <f>IFERROR(__xludf.DUMMYFUNCTION("""COMPUTED_VALUE"""),44384.809375)</f>
        <v>44384.80938</v>
      </c>
      <c r="F860" s="4" t="str">
        <f>IFERROR(__xludf.DUMMYFUNCTION("""COMPUTED_VALUE""")," ---")</f>
        <v> ---</v>
      </c>
      <c r="G860" s="4" t="str">
        <f>IFERROR(__xludf.DUMMYFUNCTION("""COMPUTED_VALUE"""),"SUSE Linux Enterprise Server 15 SP2")</f>
        <v>SUSE Linux Enterprise Server 15 SP2</v>
      </c>
      <c r="H860" s="7" t="str">
        <f t="shared" si="2"/>
        <v>NO</v>
      </c>
      <c r="I860" s="7" t="str">
        <f t="shared" si="3"/>
        <v>NO</v>
      </c>
    </row>
    <row r="861">
      <c r="A861" s="4">
        <f>IFERROR(__xludf.DUMMYFUNCTION("""COMPUTED_VALUE"""),1164183.0)</f>
        <v>1164183</v>
      </c>
      <c r="B861" s="4" t="str">
        <f>IFERROR(__xludf.DUMMYFUNCTION("""COMPUTED_VALUE"""),"P5 - None")</f>
        <v>P5 - None</v>
      </c>
      <c r="C861" s="5">
        <f>IFERROR(__xludf.DUMMYFUNCTION("""COMPUTED_VALUE"""),43879.6724537037)</f>
        <v>43879.67245</v>
      </c>
      <c r="D861" s="4" t="str">
        <f>IFERROR(__xludf.DUMMYFUNCTION("""COMPUTED_VALUE"""),"RESOLVED")</f>
        <v>RESOLVED</v>
      </c>
      <c r="E861" s="6">
        <f>IFERROR(__xludf.DUMMYFUNCTION("""COMPUTED_VALUE"""),44384.80944444444)</f>
        <v>44384.80944</v>
      </c>
      <c r="F861" s="4" t="str">
        <f>IFERROR(__xludf.DUMMYFUNCTION("""COMPUTED_VALUE""")," ---")</f>
        <v> ---</v>
      </c>
      <c r="G861" s="4" t="str">
        <f>IFERROR(__xludf.DUMMYFUNCTION("""COMPUTED_VALUE"""),"SUSE Linux Enterprise Server 15 SP2")</f>
        <v>SUSE Linux Enterprise Server 15 SP2</v>
      </c>
      <c r="H861" s="7" t="str">
        <f t="shared" si="2"/>
        <v>NO</v>
      </c>
      <c r="I861" s="7" t="str">
        <f t="shared" si="3"/>
        <v>NO</v>
      </c>
    </row>
    <row r="862">
      <c r="A862" s="4">
        <f>IFERROR(__xludf.DUMMYFUNCTION("""COMPUTED_VALUE"""),1164184.0)</f>
        <v>1164184</v>
      </c>
      <c r="B862" s="4" t="str">
        <f>IFERROR(__xludf.DUMMYFUNCTION("""COMPUTED_VALUE"""),"P5 - None")</f>
        <v>P5 - None</v>
      </c>
      <c r="C862" s="5">
        <f>IFERROR(__xludf.DUMMYFUNCTION("""COMPUTED_VALUE"""),43879.67252314815)</f>
        <v>43879.67252</v>
      </c>
      <c r="D862" s="4" t="str">
        <f>IFERROR(__xludf.DUMMYFUNCTION("""COMPUTED_VALUE"""),"RESOLVED")</f>
        <v>RESOLVED</v>
      </c>
      <c r="E862" s="6">
        <f>IFERROR(__xludf.DUMMYFUNCTION("""COMPUTED_VALUE"""),44384.80951388889)</f>
        <v>44384.80951</v>
      </c>
      <c r="F862" s="4" t="str">
        <f>IFERROR(__xludf.DUMMYFUNCTION("""COMPUTED_VALUE""")," ---")</f>
        <v> ---</v>
      </c>
      <c r="G862" s="4" t="str">
        <f>IFERROR(__xludf.DUMMYFUNCTION("""COMPUTED_VALUE"""),"SUSE Linux Enterprise Server 15 SP2")</f>
        <v>SUSE Linux Enterprise Server 15 SP2</v>
      </c>
      <c r="H862" s="7" t="str">
        <f t="shared" si="2"/>
        <v>NO</v>
      </c>
      <c r="I862" s="7" t="str">
        <f t="shared" si="3"/>
        <v>NO</v>
      </c>
    </row>
    <row r="863">
      <c r="A863" s="4">
        <f>IFERROR(__xludf.DUMMYFUNCTION("""COMPUTED_VALUE"""),1164185.0)</f>
        <v>1164185</v>
      </c>
      <c r="B863" s="4" t="str">
        <f>IFERROR(__xludf.DUMMYFUNCTION("""COMPUTED_VALUE"""),"P5 - None")</f>
        <v>P5 - None</v>
      </c>
      <c r="C863" s="5">
        <f>IFERROR(__xludf.DUMMYFUNCTION("""COMPUTED_VALUE"""),43879.67260416667)</f>
        <v>43879.6726</v>
      </c>
      <c r="D863" s="4" t="str">
        <f>IFERROR(__xludf.DUMMYFUNCTION("""COMPUTED_VALUE"""),"RESOLVED")</f>
        <v>RESOLVED</v>
      </c>
      <c r="E863" s="6">
        <f>IFERROR(__xludf.DUMMYFUNCTION("""COMPUTED_VALUE"""),44384.809583333335)</f>
        <v>44384.80958</v>
      </c>
      <c r="F863" s="4" t="str">
        <f>IFERROR(__xludf.DUMMYFUNCTION("""COMPUTED_VALUE""")," ---")</f>
        <v> ---</v>
      </c>
      <c r="G863" s="4" t="str">
        <f>IFERROR(__xludf.DUMMYFUNCTION("""COMPUTED_VALUE"""),"SUSE Linux Enterprise Server 15 SP2")</f>
        <v>SUSE Linux Enterprise Server 15 SP2</v>
      </c>
      <c r="H863" s="7" t="str">
        <f t="shared" si="2"/>
        <v>NO</v>
      </c>
      <c r="I863" s="7" t="str">
        <f t="shared" si="3"/>
        <v>NO</v>
      </c>
    </row>
    <row r="864">
      <c r="A864" s="4">
        <f>IFERROR(__xludf.DUMMYFUNCTION("""COMPUTED_VALUE"""),1164186.0)</f>
        <v>1164186</v>
      </c>
      <c r="B864" s="4" t="str">
        <f>IFERROR(__xludf.DUMMYFUNCTION("""COMPUTED_VALUE"""),"P5 - None")</f>
        <v>P5 - None</v>
      </c>
      <c r="C864" s="5">
        <f>IFERROR(__xludf.DUMMYFUNCTION("""COMPUTED_VALUE"""),43879.67267361111)</f>
        <v>43879.67267</v>
      </c>
      <c r="D864" s="4" t="str">
        <f>IFERROR(__xludf.DUMMYFUNCTION("""COMPUTED_VALUE"""),"RESOLVED")</f>
        <v>RESOLVED</v>
      </c>
      <c r="E864" s="6">
        <f>IFERROR(__xludf.DUMMYFUNCTION("""COMPUTED_VALUE"""),44384.809652777774)</f>
        <v>44384.80965</v>
      </c>
      <c r="F864" s="4" t="str">
        <f>IFERROR(__xludf.DUMMYFUNCTION("""COMPUTED_VALUE""")," ---")</f>
        <v> ---</v>
      </c>
      <c r="G864" s="4" t="str">
        <f>IFERROR(__xludf.DUMMYFUNCTION("""COMPUTED_VALUE"""),"SUSE Linux Enterprise Server 15 SP2")</f>
        <v>SUSE Linux Enterprise Server 15 SP2</v>
      </c>
      <c r="H864" s="7" t="str">
        <f t="shared" si="2"/>
        <v>NO</v>
      </c>
      <c r="I864" s="7" t="str">
        <f t="shared" si="3"/>
        <v>NO</v>
      </c>
    </row>
    <row r="865">
      <c r="A865" s="4">
        <f>IFERROR(__xludf.DUMMYFUNCTION("""COMPUTED_VALUE"""),1164268.0)</f>
        <v>1164268</v>
      </c>
      <c r="B865" s="4" t="str">
        <f>IFERROR(__xludf.DUMMYFUNCTION("""COMPUTED_VALUE"""),"P5 - None")</f>
        <v>P5 - None</v>
      </c>
      <c r="C865" s="5">
        <f>IFERROR(__xludf.DUMMYFUNCTION("""COMPUTED_VALUE"""),43880.371724537035)</f>
        <v>43880.37172</v>
      </c>
      <c r="D865" s="4" t="str">
        <f>IFERROR(__xludf.DUMMYFUNCTION("""COMPUTED_VALUE"""),"RESOLVED")</f>
        <v>RESOLVED</v>
      </c>
      <c r="E865" s="6">
        <f>IFERROR(__xludf.DUMMYFUNCTION("""COMPUTED_VALUE"""),44384.81149305555)</f>
        <v>44384.81149</v>
      </c>
      <c r="F865" s="4" t="str">
        <f>IFERROR(__xludf.DUMMYFUNCTION("""COMPUTED_VALUE""")," ---")</f>
        <v> ---</v>
      </c>
      <c r="G865" s="4" t="str">
        <f>IFERROR(__xludf.DUMMYFUNCTION("""COMPUTED_VALUE"""),"SUSE Linux Enterprise Server 15 SP2")</f>
        <v>SUSE Linux Enterprise Server 15 SP2</v>
      </c>
      <c r="H865" s="7" t="str">
        <f t="shared" si="2"/>
        <v>NO</v>
      </c>
      <c r="I865" s="7" t="str">
        <f t="shared" si="3"/>
        <v>NO</v>
      </c>
    </row>
    <row r="866">
      <c r="A866" s="4">
        <f>IFERROR(__xludf.DUMMYFUNCTION("""COMPUTED_VALUE"""),1164272.0)</f>
        <v>1164272</v>
      </c>
      <c r="B866" s="4" t="str">
        <f>IFERROR(__xludf.DUMMYFUNCTION("""COMPUTED_VALUE"""),"P5 - None")</f>
        <v>P5 - None</v>
      </c>
      <c r="C866" s="5">
        <f>IFERROR(__xludf.DUMMYFUNCTION("""COMPUTED_VALUE"""),43880.38296296296)</f>
        <v>43880.38296</v>
      </c>
      <c r="D866" s="4" t="str">
        <f>IFERROR(__xludf.DUMMYFUNCTION("""COMPUTED_VALUE"""),"RESOLVED")</f>
        <v>RESOLVED</v>
      </c>
      <c r="E866" s="6">
        <f>IFERROR(__xludf.DUMMYFUNCTION("""COMPUTED_VALUE"""),44384.8115625)</f>
        <v>44384.81156</v>
      </c>
      <c r="F866" s="4" t="str">
        <f>IFERROR(__xludf.DUMMYFUNCTION("""COMPUTED_VALUE""")," ---")</f>
        <v> ---</v>
      </c>
      <c r="G866" s="4" t="str">
        <f>IFERROR(__xludf.DUMMYFUNCTION("""COMPUTED_VALUE"""),"SUSE Linux Enterprise Server 15 SP2")</f>
        <v>SUSE Linux Enterprise Server 15 SP2</v>
      </c>
      <c r="H866" s="7" t="str">
        <f t="shared" si="2"/>
        <v>NO</v>
      </c>
      <c r="I866" s="7" t="str">
        <f t="shared" si="3"/>
        <v>NO</v>
      </c>
    </row>
    <row r="867">
      <c r="A867" s="4">
        <f>IFERROR(__xludf.DUMMYFUNCTION("""COMPUTED_VALUE"""),1164461.0)</f>
        <v>1164461</v>
      </c>
      <c r="B867" s="4" t="str">
        <f>IFERROR(__xludf.DUMMYFUNCTION("""COMPUTED_VALUE"""),"P5 - None")</f>
        <v>P5 - None</v>
      </c>
      <c r="C867" s="5">
        <f>IFERROR(__xludf.DUMMYFUNCTION("""COMPUTED_VALUE"""),43881.4425)</f>
        <v>43881.4425</v>
      </c>
      <c r="D867" s="4" t="str">
        <f>IFERROR(__xludf.DUMMYFUNCTION("""COMPUTED_VALUE"""),"RESOLVED")</f>
        <v>RESOLVED</v>
      </c>
      <c r="E867" s="6">
        <f>IFERROR(__xludf.DUMMYFUNCTION("""COMPUTED_VALUE"""),44384.81621527778)</f>
        <v>44384.81622</v>
      </c>
      <c r="F867" s="4" t="str">
        <f>IFERROR(__xludf.DUMMYFUNCTION("""COMPUTED_VALUE""")," ---")</f>
        <v> ---</v>
      </c>
      <c r="G867" s="4" t="str">
        <f>IFERROR(__xludf.DUMMYFUNCTION("""COMPUTED_VALUE"""),"SUSE Linux Enterprise Server 15 SP2")</f>
        <v>SUSE Linux Enterprise Server 15 SP2</v>
      </c>
      <c r="H867" s="7" t="str">
        <f t="shared" si="2"/>
        <v>NO</v>
      </c>
      <c r="I867" s="7" t="str">
        <f t="shared" si="3"/>
        <v>NO</v>
      </c>
    </row>
    <row r="868">
      <c r="A868" s="4">
        <f>IFERROR(__xludf.DUMMYFUNCTION("""COMPUTED_VALUE"""),1171754.0)</f>
        <v>1171754</v>
      </c>
      <c r="B868" s="4" t="str">
        <f>IFERROR(__xludf.DUMMYFUNCTION("""COMPUTED_VALUE"""),"P5 - None")</f>
        <v>P5 - None</v>
      </c>
      <c r="C868" s="5">
        <f>IFERROR(__xludf.DUMMYFUNCTION("""COMPUTED_VALUE"""),43966.62875)</f>
        <v>43966.62875</v>
      </c>
      <c r="D868" s="4" t="str">
        <f>IFERROR(__xludf.DUMMYFUNCTION("""COMPUTED_VALUE"""),"RESOLVED")</f>
        <v>RESOLVED</v>
      </c>
      <c r="E868" s="6">
        <f>IFERROR(__xludf.DUMMYFUNCTION("""COMPUTED_VALUE"""),43972.26725694445)</f>
        <v>43972.26726</v>
      </c>
      <c r="F868" s="4" t="str">
        <f>IFERROR(__xludf.DUMMYFUNCTION("""COMPUTED_VALUE""")," ---")</f>
        <v> ---</v>
      </c>
      <c r="G868" s="4" t="str">
        <f>IFERROR(__xludf.DUMMYFUNCTION("""COMPUTED_VALUE"""),"SUSE Linux Enterprise Server 15 SP2")</f>
        <v>SUSE Linux Enterprise Server 15 SP2</v>
      </c>
      <c r="H868" s="7" t="str">
        <f t="shared" si="2"/>
        <v>NO</v>
      </c>
      <c r="I868" s="7" t="str">
        <f t="shared" si="3"/>
        <v>NO</v>
      </c>
    </row>
    <row r="869">
      <c r="A869" s="4">
        <f>IFERROR(__xludf.DUMMYFUNCTION("""COMPUTED_VALUE"""),1144446.0)</f>
        <v>1144446</v>
      </c>
      <c r="B869" s="4" t="str">
        <f>IFERROR(__xludf.DUMMYFUNCTION("""COMPUTED_VALUE"""),"P5 - None")</f>
        <v>P5 - None</v>
      </c>
      <c r="C869" s="5">
        <f>IFERROR(__xludf.DUMMYFUNCTION("""COMPUTED_VALUE"""),43683.38175925926)</f>
        <v>43683.38176</v>
      </c>
      <c r="D869" s="4" t="str">
        <f>IFERROR(__xludf.DUMMYFUNCTION("""COMPUTED_VALUE"""),"RESOLVED")</f>
        <v>RESOLVED</v>
      </c>
      <c r="E869" s="6">
        <f>IFERROR(__xludf.DUMMYFUNCTION("""COMPUTED_VALUE"""),44668.48981481481)</f>
        <v>44668.48981</v>
      </c>
      <c r="F869" s="4" t="str">
        <f>IFERROR(__xludf.DUMMYFUNCTION("""COMPUTED_VALUE""")," ---")</f>
        <v> ---</v>
      </c>
      <c r="G869" s="4" t="str">
        <f>IFERROR(__xludf.DUMMYFUNCTION("""COMPUTED_VALUE"""),"SUSE Linux Enterprise Server 15 SP2")</f>
        <v>SUSE Linux Enterprise Server 15 SP2</v>
      </c>
      <c r="H869" s="7" t="str">
        <f t="shared" si="2"/>
        <v>NO</v>
      </c>
      <c r="I869" s="7" t="str">
        <f t="shared" si="3"/>
        <v>NO</v>
      </c>
    </row>
    <row r="870">
      <c r="A870" s="4">
        <f>IFERROR(__xludf.DUMMYFUNCTION("""COMPUTED_VALUE"""),1144943.0)</f>
        <v>1144943</v>
      </c>
      <c r="B870" s="4" t="str">
        <f>IFERROR(__xludf.DUMMYFUNCTION("""COMPUTED_VALUE"""),"P5 - None")</f>
        <v>P5 - None</v>
      </c>
      <c r="C870" s="5">
        <f>IFERROR(__xludf.DUMMYFUNCTION("""COMPUTED_VALUE"""),43685.82162037037)</f>
        <v>43685.82162</v>
      </c>
      <c r="D870" s="4" t="str">
        <f>IFERROR(__xludf.DUMMYFUNCTION("""COMPUTED_VALUE"""),"RESOLVED")</f>
        <v>RESOLVED</v>
      </c>
      <c r="E870" s="6">
        <f>IFERROR(__xludf.DUMMYFUNCTION("""COMPUTED_VALUE"""),44668.489849537036)</f>
        <v>44668.48985</v>
      </c>
      <c r="F870" s="4" t="str">
        <f>IFERROR(__xludf.DUMMYFUNCTION("""COMPUTED_VALUE""")," ---")</f>
        <v> ---</v>
      </c>
      <c r="G870" s="4" t="str">
        <f>IFERROR(__xludf.DUMMYFUNCTION("""COMPUTED_VALUE"""),"SUSE Linux Enterprise Server 15 SP2")</f>
        <v>SUSE Linux Enterprise Server 15 SP2</v>
      </c>
      <c r="H870" s="7" t="str">
        <f t="shared" si="2"/>
        <v>NO</v>
      </c>
      <c r="I870" s="7" t="str">
        <f t="shared" si="3"/>
        <v>NO</v>
      </c>
    </row>
    <row r="871">
      <c r="A871" s="4">
        <f>IFERROR(__xludf.DUMMYFUNCTION("""COMPUTED_VALUE"""),1148030.0)</f>
        <v>1148030</v>
      </c>
      <c r="B871" s="4" t="str">
        <f>IFERROR(__xludf.DUMMYFUNCTION("""COMPUTED_VALUE"""),"P5 - None")</f>
        <v>P5 - None</v>
      </c>
      <c r="C871" s="5">
        <f>IFERROR(__xludf.DUMMYFUNCTION("""COMPUTED_VALUE"""),43702.75616898148)</f>
        <v>43702.75617</v>
      </c>
      <c r="D871" s="4" t="str">
        <f>IFERROR(__xludf.DUMMYFUNCTION("""COMPUTED_VALUE"""),"RESOLVED")</f>
        <v>RESOLVED</v>
      </c>
      <c r="E871" s="6">
        <f>IFERROR(__xludf.DUMMYFUNCTION("""COMPUTED_VALUE"""),44384.787210648145)</f>
        <v>44384.78721</v>
      </c>
      <c r="F871" s="4" t="str">
        <f>IFERROR(__xludf.DUMMYFUNCTION("""COMPUTED_VALUE""")," ---")</f>
        <v> ---</v>
      </c>
      <c r="G871" s="4" t="str">
        <f>IFERROR(__xludf.DUMMYFUNCTION("""COMPUTED_VALUE"""),"SUSE Linux Enterprise Server 15 SP2")</f>
        <v>SUSE Linux Enterprise Server 15 SP2</v>
      </c>
      <c r="H871" s="7" t="str">
        <f t="shared" si="2"/>
        <v>NO</v>
      </c>
      <c r="I871" s="7" t="str">
        <f t="shared" si="3"/>
        <v>NO</v>
      </c>
    </row>
    <row r="872">
      <c r="A872" s="4">
        <f>IFERROR(__xludf.DUMMYFUNCTION("""COMPUTED_VALUE"""),1169524.0)</f>
        <v>1169524</v>
      </c>
      <c r="B872" s="4" t="str">
        <f>IFERROR(__xludf.DUMMYFUNCTION("""COMPUTED_VALUE"""),"P5 - None")</f>
        <v>P5 - None</v>
      </c>
      <c r="C872" s="5">
        <f>IFERROR(__xludf.DUMMYFUNCTION("""COMPUTED_VALUE"""),43936.39079861111)</f>
        <v>43936.3908</v>
      </c>
      <c r="D872" s="4" t="str">
        <f>IFERROR(__xludf.DUMMYFUNCTION("""COMPUTED_VALUE"""),"RESOLVED")</f>
        <v>RESOLVED</v>
      </c>
      <c r="E872" s="6">
        <f>IFERROR(__xludf.DUMMYFUNCTION("""COMPUTED_VALUE"""),44384.82570601852)</f>
        <v>44384.82571</v>
      </c>
      <c r="F872" s="4" t="str">
        <f>IFERROR(__xludf.DUMMYFUNCTION("""COMPUTED_VALUE""")," ---")</f>
        <v> ---</v>
      </c>
      <c r="G872" s="4" t="str">
        <f>IFERROR(__xludf.DUMMYFUNCTION("""COMPUTED_VALUE"""),"SUSE Linux Enterprise Server 15 SP2")</f>
        <v>SUSE Linux Enterprise Server 15 SP2</v>
      </c>
      <c r="H872" s="7" t="str">
        <f t="shared" si="2"/>
        <v>NO</v>
      </c>
      <c r="I872" s="7" t="str">
        <f t="shared" si="3"/>
        <v>NO</v>
      </c>
    </row>
    <row r="873">
      <c r="A873" s="4">
        <f>IFERROR(__xludf.DUMMYFUNCTION("""COMPUTED_VALUE"""),1160308.0)</f>
        <v>1160308</v>
      </c>
      <c r="B873" s="4" t="str">
        <f>IFERROR(__xludf.DUMMYFUNCTION("""COMPUTED_VALUE"""),"P5 - None")</f>
        <v>P5 - None</v>
      </c>
      <c r="C873" s="5">
        <f>IFERROR(__xludf.DUMMYFUNCTION("""COMPUTED_VALUE"""),43837.61655092592)</f>
        <v>43837.61655</v>
      </c>
      <c r="D873" s="4" t="str">
        <f>IFERROR(__xludf.DUMMYFUNCTION("""COMPUTED_VALUE"""),"RESOLVED")</f>
        <v>RESOLVED</v>
      </c>
      <c r="E873" s="6">
        <f>IFERROR(__xludf.DUMMYFUNCTION("""COMPUTED_VALUE"""),44596.45024305556)</f>
        <v>44596.45024</v>
      </c>
      <c r="F873" s="4" t="str">
        <f>IFERROR(__xludf.DUMMYFUNCTION("""COMPUTED_VALUE""")," ---")</f>
        <v> ---</v>
      </c>
      <c r="G873" s="4" t="str">
        <f>IFERROR(__xludf.DUMMYFUNCTION("""COMPUTED_VALUE"""),"SUSE Linux Enterprise Server 15 SP2")</f>
        <v>SUSE Linux Enterprise Server 15 SP2</v>
      </c>
      <c r="H873" s="7" t="str">
        <f t="shared" si="2"/>
        <v>NO</v>
      </c>
      <c r="I873" s="7" t="str">
        <f t="shared" si="3"/>
        <v>NO</v>
      </c>
    </row>
    <row r="874">
      <c r="A874" s="4">
        <f>IFERROR(__xludf.DUMMYFUNCTION("""COMPUTED_VALUE"""),1144702.0)</f>
        <v>1144702</v>
      </c>
      <c r="B874" s="4" t="str">
        <f>IFERROR(__xludf.DUMMYFUNCTION("""COMPUTED_VALUE"""),"P5 - None")</f>
        <v>P5 - None</v>
      </c>
      <c r="C874" s="5">
        <f>IFERROR(__xludf.DUMMYFUNCTION("""COMPUTED_VALUE"""),43684.59150462963)</f>
        <v>43684.5915</v>
      </c>
      <c r="D874" s="4" t="str">
        <f>IFERROR(__xludf.DUMMYFUNCTION("""COMPUTED_VALUE"""),"RESOLVED")</f>
        <v>RESOLVED</v>
      </c>
      <c r="E874" s="6">
        <f>IFERROR(__xludf.DUMMYFUNCTION("""COMPUTED_VALUE"""),43735.45491898148)</f>
        <v>43735.45492</v>
      </c>
      <c r="F874" s="4" t="str">
        <f>IFERROR(__xludf.DUMMYFUNCTION("""COMPUTED_VALUE""")," ---")</f>
        <v> ---</v>
      </c>
      <c r="G874" s="4" t="str">
        <f>IFERROR(__xludf.DUMMYFUNCTION("""COMPUTED_VALUE"""),"SUSE Linux Enterprise Server 15 SP2")</f>
        <v>SUSE Linux Enterprise Server 15 SP2</v>
      </c>
      <c r="H874" s="7" t="str">
        <f t="shared" si="2"/>
        <v>NO</v>
      </c>
      <c r="I874" s="7" t="str">
        <f t="shared" si="3"/>
        <v>NO</v>
      </c>
    </row>
    <row r="875">
      <c r="A875" s="4">
        <f>IFERROR(__xludf.DUMMYFUNCTION("""COMPUTED_VALUE"""),1154619.0)</f>
        <v>1154619</v>
      </c>
      <c r="B875" s="4" t="str">
        <f>IFERROR(__xludf.DUMMYFUNCTION("""COMPUTED_VALUE"""),"P5 - None")</f>
        <v>P5 - None</v>
      </c>
      <c r="C875" s="5">
        <f>IFERROR(__xludf.DUMMYFUNCTION("""COMPUTED_VALUE"""),43759.507372685184)</f>
        <v>43759.50737</v>
      </c>
      <c r="D875" s="4" t="str">
        <f>IFERROR(__xludf.DUMMYFUNCTION("""COMPUTED_VALUE"""),"RESOLVED")</f>
        <v>RESOLVED</v>
      </c>
      <c r="E875" s="6">
        <f>IFERROR(__xludf.DUMMYFUNCTION("""COMPUTED_VALUE"""),44384.79008101852)</f>
        <v>44384.79008</v>
      </c>
      <c r="F875" s="4" t="str">
        <f>IFERROR(__xludf.DUMMYFUNCTION("""COMPUTED_VALUE""")," ---")</f>
        <v> ---</v>
      </c>
      <c r="G875" s="4" t="str">
        <f>IFERROR(__xludf.DUMMYFUNCTION("""COMPUTED_VALUE"""),"SUSE Linux Enterprise Server 15 SP2")</f>
        <v>SUSE Linux Enterprise Server 15 SP2</v>
      </c>
      <c r="H875" s="7" t="str">
        <f t="shared" si="2"/>
        <v>NO</v>
      </c>
      <c r="I875" s="7" t="str">
        <f t="shared" si="3"/>
        <v>NO</v>
      </c>
    </row>
    <row r="876">
      <c r="A876" s="4">
        <f>IFERROR(__xludf.DUMMYFUNCTION("""COMPUTED_VALUE"""),1164711.0)</f>
        <v>1164711</v>
      </c>
      <c r="B876" s="4" t="str">
        <f>IFERROR(__xludf.DUMMYFUNCTION("""COMPUTED_VALUE"""),"P5 - None")</f>
        <v>P5 - None</v>
      </c>
      <c r="C876" s="5">
        <f>IFERROR(__xludf.DUMMYFUNCTION("""COMPUTED_VALUE"""),43885.538125)</f>
        <v>43885.53813</v>
      </c>
      <c r="D876" s="4" t="str">
        <f>IFERROR(__xludf.DUMMYFUNCTION("""COMPUTED_VALUE"""),"RESOLVED")</f>
        <v>RESOLVED</v>
      </c>
      <c r="E876" s="6">
        <f>IFERROR(__xludf.DUMMYFUNCTION("""COMPUTED_VALUE"""),44384.81664351852)</f>
        <v>44384.81664</v>
      </c>
      <c r="F876" s="4" t="str">
        <f>IFERROR(__xludf.DUMMYFUNCTION("""COMPUTED_VALUE""")," ---")</f>
        <v> ---</v>
      </c>
      <c r="G876" s="4" t="str">
        <f>IFERROR(__xludf.DUMMYFUNCTION("""COMPUTED_VALUE"""),"SUSE Linux Enterprise Server 15 SP2")</f>
        <v>SUSE Linux Enterprise Server 15 SP2</v>
      </c>
      <c r="H876" s="7" t="str">
        <f t="shared" si="2"/>
        <v>NO</v>
      </c>
      <c r="I876" s="7" t="str">
        <f t="shared" si="3"/>
        <v>NO</v>
      </c>
    </row>
    <row r="877">
      <c r="A877" s="4">
        <f>IFERROR(__xludf.DUMMYFUNCTION("""COMPUTED_VALUE"""),1172086.0)</f>
        <v>1172086</v>
      </c>
      <c r="B877" s="4" t="str">
        <f>IFERROR(__xludf.DUMMYFUNCTION("""COMPUTED_VALUE"""),"P5 - None")</f>
        <v>P5 - None</v>
      </c>
      <c r="C877" s="5">
        <f>IFERROR(__xludf.DUMMYFUNCTION("""COMPUTED_VALUE"""),43977.3490625)</f>
        <v>43977.34906</v>
      </c>
      <c r="D877" s="4" t="str">
        <f>IFERROR(__xludf.DUMMYFUNCTION("""COMPUTED_VALUE"""),"RESOLVED")</f>
        <v>RESOLVED</v>
      </c>
      <c r="E877" s="6">
        <f>IFERROR(__xludf.DUMMYFUNCTION("""COMPUTED_VALUE"""),44384.83284722222)</f>
        <v>44384.83285</v>
      </c>
      <c r="F877" s="4" t="str">
        <f>IFERROR(__xludf.DUMMYFUNCTION("""COMPUTED_VALUE""")," ---")</f>
        <v> ---</v>
      </c>
      <c r="G877" s="4" t="str">
        <f>IFERROR(__xludf.DUMMYFUNCTION("""COMPUTED_VALUE"""),"SUSE Linux Enterprise Server 15 SP2")</f>
        <v>SUSE Linux Enterprise Server 15 SP2</v>
      </c>
      <c r="H877" s="7" t="str">
        <f t="shared" si="2"/>
        <v>NO</v>
      </c>
      <c r="I877" s="7" t="str">
        <f t="shared" si="3"/>
        <v>NO</v>
      </c>
    </row>
    <row r="878">
      <c r="A878" s="4">
        <f>IFERROR(__xludf.DUMMYFUNCTION("""COMPUTED_VALUE"""),1172095.0)</f>
        <v>1172095</v>
      </c>
      <c r="B878" s="4" t="str">
        <f>IFERROR(__xludf.DUMMYFUNCTION("""COMPUTED_VALUE"""),"P5 - None")</f>
        <v>P5 - None</v>
      </c>
      <c r="C878" s="5">
        <f>IFERROR(__xludf.DUMMYFUNCTION("""COMPUTED_VALUE"""),43977.40013888889)</f>
        <v>43977.40014</v>
      </c>
      <c r="D878" s="4" t="str">
        <f>IFERROR(__xludf.DUMMYFUNCTION("""COMPUTED_VALUE"""),"RESOLVED")</f>
        <v>RESOLVED</v>
      </c>
      <c r="E878" s="6">
        <f>IFERROR(__xludf.DUMMYFUNCTION("""COMPUTED_VALUE"""),44384.832916666666)</f>
        <v>44384.83292</v>
      </c>
      <c r="F878" s="4" t="str">
        <f>IFERROR(__xludf.DUMMYFUNCTION("""COMPUTED_VALUE""")," ---")</f>
        <v> ---</v>
      </c>
      <c r="G878" s="4" t="str">
        <f>IFERROR(__xludf.DUMMYFUNCTION("""COMPUTED_VALUE"""),"SUSE Linux Enterprise Server 15 SP2")</f>
        <v>SUSE Linux Enterprise Server 15 SP2</v>
      </c>
      <c r="H878" s="7" t="str">
        <f t="shared" si="2"/>
        <v>NO</v>
      </c>
      <c r="I878" s="7" t="str">
        <f t="shared" si="3"/>
        <v>NO</v>
      </c>
    </row>
    <row r="879">
      <c r="A879" s="4">
        <f>IFERROR(__xludf.DUMMYFUNCTION("""COMPUTED_VALUE"""),1172344.0)</f>
        <v>1172344</v>
      </c>
      <c r="B879" s="4" t="str">
        <f>IFERROR(__xludf.DUMMYFUNCTION("""COMPUTED_VALUE"""),"P5 - None")</f>
        <v>P5 - None</v>
      </c>
      <c r="C879" s="5">
        <f>IFERROR(__xludf.DUMMYFUNCTION("""COMPUTED_VALUE"""),43983.50879629629)</f>
        <v>43983.5088</v>
      </c>
      <c r="D879" s="4" t="str">
        <f>IFERROR(__xludf.DUMMYFUNCTION("""COMPUTED_VALUE"""),"RESOLVED")</f>
        <v>RESOLVED</v>
      </c>
      <c r="E879" s="6">
        <f>IFERROR(__xludf.DUMMYFUNCTION("""COMPUTED_VALUE"""),44624.92537037037)</f>
        <v>44624.92537</v>
      </c>
      <c r="F879" s="4" t="str">
        <f>IFERROR(__xludf.DUMMYFUNCTION("""COMPUTED_VALUE""")," ---")</f>
        <v> ---</v>
      </c>
      <c r="G879" s="4" t="str">
        <f>IFERROR(__xludf.DUMMYFUNCTION("""COMPUTED_VALUE"""),"SUSE Linux Enterprise Server 15 SP2")</f>
        <v>SUSE Linux Enterprise Server 15 SP2</v>
      </c>
      <c r="H879" s="7" t="str">
        <f t="shared" si="2"/>
        <v>NO</v>
      </c>
      <c r="I879" s="7" t="str">
        <f t="shared" si="3"/>
        <v>NO</v>
      </c>
    </row>
    <row r="880">
      <c r="A880" s="4">
        <f>IFERROR(__xludf.DUMMYFUNCTION("""COMPUTED_VALUE"""),1144699.0)</f>
        <v>1144699</v>
      </c>
      <c r="B880" s="4" t="str">
        <f>IFERROR(__xludf.DUMMYFUNCTION("""COMPUTED_VALUE"""),"P5 - None")</f>
        <v>P5 - None</v>
      </c>
      <c r="C880" s="5">
        <f>IFERROR(__xludf.DUMMYFUNCTION("""COMPUTED_VALUE"""),43684.58770833333)</f>
        <v>43684.58771</v>
      </c>
      <c r="D880" s="4" t="str">
        <f>IFERROR(__xludf.DUMMYFUNCTION("""COMPUTED_VALUE"""),"RESOLVED")</f>
        <v>RESOLVED</v>
      </c>
      <c r="E880" s="6">
        <f>IFERROR(__xludf.DUMMYFUNCTION("""COMPUTED_VALUE"""),43689.60291666666)</f>
        <v>43689.60292</v>
      </c>
      <c r="F880" s="4" t="str">
        <f>IFERROR(__xludf.DUMMYFUNCTION("""COMPUTED_VALUE""")," ---")</f>
        <v> ---</v>
      </c>
      <c r="G880" s="4" t="str">
        <f>IFERROR(__xludf.DUMMYFUNCTION("""COMPUTED_VALUE"""),"SUSE Linux Enterprise Server 15 SP2")</f>
        <v>SUSE Linux Enterprise Server 15 SP2</v>
      </c>
      <c r="H880" s="7" t="str">
        <f t="shared" si="2"/>
        <v>NO</v>
      </c>
      <c r="I880" s="7" t="str">
        <f t="shared" si="3"/>
        <v>NO</v>
      </c>
    </row>
    <row r="881">
      <c r="A881" s="4">
        <f>IFERROR(__xludf.DUMMYFUNCTION("""COMPUTED_VALUE"""),1144705.0)</f>
        <v>1144705</v>
      </c>
      <c r="B881" s="4" t="str">
        <f>IFERROR(__xludf.DUMMYFUNCTION("""COMPUTED_VALUE"""),"P5 - None")</f>
        <v>P5 - None</v>
      </c>
      <c r="C881" s="5">
        <f>IFERROR(__xludf.DUMMYFUNCTION("""COMPUTED_VALUE"""),43684.59717592593)</f>
        <v>43684.59718</v>
      </c>
      <c r="D881" s="4" t="str">
        <f>IFERROR(__xludf.DUMMYFUNCTION("""COMPUTED_VALUE"""),"RESOLVED")</f>
        <v>RESOLVED</v>
      </c>
      <c r="E881" s="6">
        <f>IFERROR(__xludf.DUMMYFUNCTION("""COMPUTED_VALUE"""),43689.934537037036)</f>
        <v>43689.93454</v>
      </c>
      <c r="F881" s="4" t="str">
        <f>IFERROR(__xludf.DUMMYFUNCTION("""COMPUTED_VALUE""")," ---")</f>
        <v> ---</v>
      </c>
      <c r="G881" s="4" t="str">
        <f>IFERROR(__xludf.DUMMYFUNCTION("""COMPUTED_VALUE"""),"SUSE Linux Enterprise Server 15 SP2")</f>
        <v>SUSE Linux Enterprise Server 15 SP2</v>
      </c>
      <c r="H881" s="7" t="str">
        <f t="shared" si="2"/>
        <v>NO</v>
      </c>
      <c r="I881" s="7" t="str">
        <f t="shared" si="3"/>
        <v>NO</v>
      </c>
    </row>
    <row r="882">
      <c r="A882" s="4">
        <f>IFERROR(__xludf.DUMMYFUNCTION("""COMPUTED_VALUE"""),1154776.0)</f>
        <v>1154776</v>
      </c>
      <c r="B882" s="4" t="str">
        <f>IFERROR(__xludf.DUMMYFUNCTION("""COMPUTED_VALUE"""),"P5 - None")</f>
        <v>P5 - None</v>
      </c>
      <c r="C882" s="5">
        <f>IFERROR(__xludf.DUMMYFUNCTION("""COMPUTED_VALUE"""),43760.73002314815)</f>
        <v>43760.73002</v>
      </c>
      <c r="D882" s="4" t="str">
        <f>IFERROR(__xludf.DUMMYFUNCTION("""COMPUTED_VALUE"""),"RESOLVED")</f>
        <v>RESOLVED</v>
      </c>
      <c r="E882" s="6">
        <f>IFERROR(__xludf.DUMMYFUNCTION("""COMPUTED_VALUE"""),44384.79119212963)</f>
        <v>44384.79119</v>
      </c>
      <c r="F882" s="4" t="str">
        <f>IFERROR(__xludf.DUMMYFUNCTION("""COMPUTED_VALUE""")," ---")</f>
        <v> ---</v>
      </c>
      <c r="G882" s="4" t="str">
        <f>IFERROR(__xludf.DUMMYFUNCTION("""COMPUTED_VALUE"""),"SUSE Linux Enterprise Server 15 SP2")</f>
        <v>SUSE Linux Enterprise Server 15 SP2</v>
      </c>
      <c r="H882" s="7" t="str">
        <f t="shared" si="2"/>
        <v>NO</v>
      </c>
      <c r="I882" s="7" t="str">
        <f t="shared" si="3"/>
        <v>NO</v>
      </c>
    </row>
    <row r="883">
      <c r="A883" s="4">
        <f>IFERROR(__xludf.DUMMYFUNCTION("""COMPUTED_VALUE"""),1172520.0)</f>
        <v>1172520</v>
      </c>
      <c r="B883" s="4" t="str">
        <f>IFERROR(__xludf.DUMMYFUNCTION("""COMPUTED_VALUE"""),"P5 - None")</f>
        <v>P5 - None</v>
      </c>
      <c r="C883" s="5">
        <f>IFERROR(__xludf.DUMMYFUNCTION("""COMPUTED_VALUE"""),43986.62701388889)</f>
        <v>43986.62701</v>
      </c>
      <c r="D883" s="4" t="str">
        <f>IFERROR(__xludf.DUMMYFUNCTION("""COMPUTED_VALUE"""),"RESOLVED")</f>
        <v>RESOLVED</v>
      </c>
      <c r="E883" s="6">
        <f>IFERROR(__xludf.DUMMYFUNCTION("""COMPUTED_VALUE"""),43987.559965277775)</f>
        <v>43987.55997</v>
      </c>
      <c r="F883" s="4" t="str">
        <f>IFERROR(__xludf.DUMMYFUNCTION("""COMPUTED_VALUE""")," ---")</f>
        <v> ---</v>
      </c>
      <c r="G883" s="4" t="str">
        <f>IFERROR(__xludf.DUMMYFUNCTION("""COMPUTED_VALUE"""),"SUSE Linux Enterprise Server 15 SP2")</f>
        <v>SUSE Linux Enterprise Server 15 SP2</v>
      </c>
      <c r="H883" s="7" t="str">
        <f t="shared" si="2"/>
        <v>NO</v>
      </c>
      <c r="I883" s="7" t="str">
        <f t="shared" si="3"/>
        <v>NO</v>
      </c>
    </row>
    <row r="884">
      <c r="A884" s="4">
        <f>IFERROR(__xludf.DUMMYFUNCTION("""COMPUTED_VALUE"""),1160647.0)</f>
        <v>1160647</v>
      </c>
      <c r="B884" s="4" t="str">
        <f>IFERROR(__xludf.DUMMYFUNCTION("""COMPUTED_VALUE"""),"P5 - None")</f>
        <v>P5 - None</v>
      </c>
      <c r="C884" s="5">
        <f>IFERROR(__xludf.DUMMYFUNCTION("""COMPUTED_VALUE"""),43840.31964120371)</f>
        <v>43840.31964</v>
      </c>
      <c r="D884" s="4" t="str">
        <f>IFERROR(__xludf.DUMMYFUNCTION("""COMPUTED_VALUE"""),"VERIFIED")</f>
        <v>VERIFIED</v>
      </c>
      <c r="E884" s="6">
        <f>IFERROR(__xludf.DUMMYFUNCTION("""COMPUTED_VALUE"""),44384.800833333335)</f>
        <v>44384.80083</v>
      </c>
      <c r="F884" s="4" t="str">
        <f>IFERROR(__xludf.DUMMYFUNCTION("""COMPUTED_VALUE"""),"Yes")</f>
        <v>Yes</v>
      </c>
      <c r="G884" s="4" t="str">
        <f>IFERROR(__xludf.DUMMYFUNCTION("""COMPUTED_VALUE"""),"SUSE Linux Enterprise Server 15 SP2")</f>
        <v>SUSE Linux Enterprise Server 15 SP2</v>
      </c>
      <c r="H884" s="7" t="str">
        <f t="shared" si="2"/>
        <v>NO</v>
      </c>
      <c r="I884" s="7" t="str">
        <f t="shared" si="3"/>
        <v>NO</v>
      </c>
    </row>
    <row r="885">
      <c r="A885" s="4">
        <f>IFERROR(__xludf.DUMMYFUNCTION("""COMPUTED_VALUE"""),1161394.0)</f>
        <v>1161394</v>
      </c>
      <c r="B885" s="4" t="str">
        <f>IFERROR(__xludf.DUMMYFUNCTION("""COMPUTED_VALUE"""),"P5 - None")</f>
        <v>P5 - None</v>
      </c>
      <c r="C885" s="5">
        <f>IFERROR(__xludf.DUMMYFUNCTION("""COMPUTED_VALUE"""),43851.354791666665)</f>
        <v>43851.35479</v>
      </c>
      <c r="D885" s="4" t="str">
        <f>IFERROR(__xludf.DUMMYFUNCTION("""COMPUTED_VALUE"""),"VERIFIED")</f>
        <v>VERIFIED</v>
      </c>
      <c r="E885" s="6">
        <f>IFERROR(__xludf.DUMMYFUNCTION("""COMPUTED_VALUE"""),43853.50871527778)</f>
        <v>43853.50872</v>
      </c>
      <c r="F885" s="4" t="str">
        <f>IFERROR(__xludf.DUMMYFUNCTION("""COMPUTED_VALUE""")," ---")</f>
        <v> ---</v>
      </c>
      <c r="G885" s="4" t="str">
        <f>IFERROR(__xludf.DUMMYFUNCTION("""COMPUTED_VALUE"""),"SUSE Linux Enterprise Server 15 SP2")</f>
        <v>SUSE Linux Enterprise Server 15 SP2</v>
      </c>
      <c r="H885" s="7" t="str">
        <f t="shared" si="2"/>
        <v>NO</v>
      </c>
      <c r="I885" s="7" t="str">
        <f t="shared" si="3"/>
        <v>NO</v>
      </c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7" max="7" width="37.38"/>
  </cols>
  <sheetData>
    <row r="1">
      <c r="A1" s="4" t="str">
        <f>IFERROR(__xludf.DUMMYFUNCTION("IMPORTRANGE(""https://docs.google.com/spreadsheets/d/1uefBw0r9ormIRKaRcjnbOMsqQjhM22ORnO1BbQHYbRk"",""bugtab_sp1"")"),"Bug ID")</f>
        <v>Bug ID</v>
      </c>
      <c r="B1" s="4" t="str">
        <f>IFERROR(__xludf.DUMMYFUNCTION("""COMPUTED_VALUE"""),"Priority")</f>
        <v>Priority</v>
      </c>
      <c r="C1" s="5" t="str">
        <f>IFERROR(__xludf.DUMMYFUNCTION("""COMPUTED_VALUE"""),"Opened")</f>
        <v>Opened</v>
      </c>
      <c r="D1" s="4" t="str">
        <f>IFERROR(__xludf.DUMMYFUNCTION("""COMPUTED_VALUE"""),"Status")</f>
        <v>Status</v>
      </c>
      <c r="E1" s="4" t="str">
        <f>IFERROR(__xludf.DUMMYFUNCTION("""COMPUTED_VALUE"""),"Changed")</f>
        <v>Changed</v>
      </c>
      <c r="F1" s="4" t="str">
        <f>IFERROR(__xludf.DUMMYFUNCTION("""COMPUTED_VALUE"""),"Blocker")</f>
        <v>Blocker</v>
      </c>
      <c r="G1" s="4" t="str">
        <f>IFERROR(__xludf.DUMMYFUNCTION("""COMPUTED_VALUE"""),"Product")</f>
        <v>Product</v>
      </c>
      <c r="H1" s="2" t="s">
        <v>0</v>
      </c>
      <c r="I1" s="2" t="s">
        <v>1</v>
      </c>
      <c r="J1" s="3">
        <v>43499.0</v>
      </c>
      <c r="K1" s="3">
        <v>43506.0</v>
      </c>
    </row>
    <row r="2">
      <c r="A2" s="4">
        <f>IFERROR(__xludf.DUMMYFUNCTION("""COMPUTED_VALUE"""),1131489.0)</f>
        <v>1131489</v>
      </c>
      <c r="B2" s="4" t="str">
        <f>IFERROR(__xludf.DUMMYFUNCTION("""COMPUTED_VALUE"""),"P1 - Urgent")</f>
        <v>P1 - Urgent</v>
      </c>
      <c r="C2" s="5">
        <f>IFERROR(__xludf.DUMMYFUNCTION("""COMPUTED_VALUE"""),43559.314479166664)</f>
        <v>43559.31448</v>
      </c>
      <c r="D2" s="4" t="str">
        <f>IFERROR(__xludf.DUMMYFUNCTION("""COMPUTED_VALUE"""),"RESOLVED")</f>
        <v>RESOLVED</v>
      </c>
      <c r="E2" s="6">
        <f>IFERROR(__xludf.DUMMYFUNCTION("""COMPUTED_VALUE"""),44508.52458333333)</f>
        <v>44508.52458</v>
      </c>
      <c r="F2" s="4" t="str">
        <f>IFERROR(__xludf.DUMMYFUNCTION("""COMPUTED_VALUE""")," ---")</f>
        <v> ---</v>
      </c>
      <c r="G2" s="4" t="str">
        <f>IFERROR(__xludf.DUMMYFUNCTION("""COMPUTED_VALUE"""),"SUSE Linux Enterprise Server 15 SP1")</f>
        <v>SUSE Linux Enterprise Server 15 SP1</v>
      </c>
      <c r="H2" s="7" t="str">
        <f t="shared" ref="H2:H583" si="2">IF(AND(GTE(C2,DATEVALUE("24/12/2018")), LTE(C2,DATEVALUE("06/01/2019"))), "YES", "NO")</f>
        <v>NO</v>
      </c>
      <c r="I2" s="7" t="str">
        <f t="shared" ref="I2:I583" si="3">IF(AND(GTE($C2,DATEVALUE($J$1)), LTE($C2,DATEVALUE($K$1))), "YES", "NO")</f>
        <v>NO</v>
      </c>
      <c r="J2" s="4">
        <f t="shared" ref="J2:K2" si="1">WEEKNUM(J1)</f>
        <v>6</v>
      </c>
      <c r="K2" s="4">
        <f t="shared" si="1"/>
        <v>7</v>
      </c>
    </row>
    <row r="3">
      <c r="A3" s="4">
        <f>IFERROR(__xludf.DUMMYFUNCTION("""COMPUTED_VALUE"""),1125027.0)</f>
        <v>1125027</v>
      </c>
      <c r="B3" s="4" t="str">
        <f>IFERROR(__xludf.DUMMYFUNCTION("""COMPUTED_VALUE"""),"P1 - Urgent")</f>
        <v>P1 - Urgent</v>
      </c>
      <c r="C3" s="5">
        <f>IFERROR(__xludf.DUMMYFUNCTION("""COMPUTED_VALUE"""),43507.711550925924)</f>
        <v>43507.71155</v>
      </c>
      <c r="D3" s="4" t="str">
        <f>IFERROR(__xludf.DUMMYFUNCTION("""COMPUTED_VALUE"""),"RESOLVED")</f>
        <v>RESOLVED</v>
      </c>
      <c r="E3" s="6">
        <f>IFERROR(__xludf.DUMMYFUNCTION("""COMPUTED_VALUE"""),43514.53451388889)</f>
        <v>43514.53451</v>
      </c>
      <c r="F3" s="4" t="str">
        <f>IFERROR(__xludf.DUMMYFUNCTION("""COMPUTED_VALUE""")," ---")</f>
        <v> ---</v>
      </c>
      <c r="G3" s="4" t="str">
        <f>IFERROR(__xludf.DUMMYFUNCTION("""COMPUTED_VALUE"""),"SUSE Linux Enterprise Server 15 SP1")</f>
        <v>SUSE Linux Enterprise Server 15 SP1</v>
      </c>
      <c r="H3" s="7" t="str">
        <f t="shared" si="2"/>
        <v>NO</v>
      </c>
      <c r="I3" s="7" t="str">
        <f t="shared" si="3"/>
        <v>NO</v>
      </c>
    </row>
    <row r="4">
      <c r="A4" s="4">
        <f>IFERROR(__xludf.DUMMYFUNCTION("""COMPUTED_VALUE"""),1125154.0)</f>
        <v>1125154</v>
      </c>
      <c r="B4" s="4" t="str">
        <f>IFERROR(__xludf.DUMMYFUNCTION("""COMPUTED_VALUE"""),"P1 - Urgent")</f>
        <v>P1 - Urgent</v>
      </c>
      <c r="C4" s="5">
        <f>IFERROR(__xludf.DUMMYFUNCTION("""COMPUTED_VALUE"""),43508.66688657407)</f>
        <v>43508.66689</v>
      </c>
      <c r="D4" s="4" t="str">
        <f>IFERROR(__xludf.DUMMYFUNCTION("""COMPUTED_VALUE"""),"RESOLVED")</f>
        <v>RESOLVED</v>
      </c>
      <c r="E4" s="6">
        <f>IFERROR(__xludf.DUMMYFUNCTION("""COMPUTED_VALUE"""),43515.83314814815)</f>
        <v>43515.83315</v>
      </c>
      <c r="F4" s="4" t="str">
        <f>IFERROR(__xludf.DUMMYFUNCTION("""COMPUTED_VALUE""")," ---")</f>
        <v> ---</v>
      </c>
      <c r="G4" s="4" t="str">
        <f>IFERROR(__xludf.DUMMYFUNCTION("""COMPUTED_VALUE"""),"SUSE Linux Enterprise Server 15 SP1")</f>
        <v>SUSE Linux Enterprise Server 15 SP1</v>
      </c>
      <c r="H4" s="7" t="str">
        <f t="shared" si="2"/>
        <v>NO</v>
      </c>
      <c r="I4" s="7" t="str">
        <f t="shared" si="3"/>
        <v>NO</v>
      </c>
    </row>
    <row r="5">
      <c r="A5" s="4">
        <f>IFERROR(__xludf.DUMMYFUNCTION("""COMPUTED_VALUE"""),1131851.0)</f>
        <v>1131851</v>
      </c>
      <c r="B5" s="4" t="str">
        <f>IFERROR(__xludf.DUMMYFUNCTION("""COMPUTED_VALUE"""),"P1 - Urgent")</f>
        <v>P1 - Urgent</v>
      </c>
      <c r="C5" s="5">
        <f>IFERROR(__xludf.DUMMYFUNCTION("""COMPUTED_VALUE"""),43563.55063657407)</f>
        <v>43563.55064</v>
      </c>
      <c r="D5" s="4" t="str">
        <f>IFERROR(__xludf.DUMMYFUNCTION("""COMPUTED_VALUE"""),"RESOLVED")</f>
        <v>RESOLVED</v>
      </c>
      <c r="E5" s="6">
        <f>IFERROR(__xludf.DUMMYFUNCTION("""COMPUTED_VALUE"""),44624.892372685186)</f>
        <v>44624.89237</v>
      </c>
      <c r="F5" s="4" t="str">
        <f>IFERROR(__xludf.DUMMYFUNCTION("""COMPUTED_VALUE"""),"Yes")</f>
        <v>Yes</v>
      </c>
      <c r="G5" s="4" t="str">
        <f>IFERROR(__xludf.DUMMYFUNCTION("""COMPUTED_VALUE"""),"SUSE Linux Enterprise Server 15 SP1")</f>
        <v>SUSE Linux Enterprise Server 15 SP1</v>
      </c>
      <c r="H5" s="7" t="str">
        <f t="shared" si="2"/>
        <v>NO</v>
      </c>
      <c r="I5" s="7" t="str">
        <f t="shared" si="3"/>
        <v>NO</v>
      </c>
    </row>
    <row r="6">
      <c r="A6" s="4">
        <f>IFERROR(__xludf.DUMMYFUNCTION("""COMPUTED_VALUE"""),1137609.0)</f>
        <v>1137609</v>
      </c>
      <c r="B6" s="4" t="str">
        <f>IFERROR(__xludf.DUMMYFUNCTION("""COMPUTED_VALUE"""),"P1 - Urgent")</f>
        <v>P1 - Urgent</v>
      </c>
      <c r="C6" s="5">
        <f>IFERROR(__xludf.DUMMYFUNCTION("""COMPUTED_VALUE"""),43623.42130787037)</f>
        <v>43623.42131</v>
      </c>
      <c r="D6" s="4" t="str">
        <f>IFERROR(__xludf.DUMMYFUNCTION("""COMPUTED_VALUE"""),"RESOLVED")</f>
        <v>RESOLVED</v>
      </c>
      <c r="E6" s="6">
        <f>IFERROR(__xludf.DUMMYFUNCTION("""COMPUTED_VALUE"""),44624.89826388889)</f>
        <v>44624.89826</v>
      </c>
      <c r="F6" s="4" t="str">
        <f>IFERROR(__xludf.DUMMYFUNCTION("""COMPUTED_VALUE""")," ---")</f>
        <v> ---</v>
      </c>
      <c r="G6" s="4" t="str">
        <f>IFERROR(__xludf.DUMMYFUNCTION("""COMPUTED_VALUE"""),"SUSE Linux Enterprise Server 15 SP1")</f>
        <v>SUSE Linux Enterprise Server 15 SP1</v>
      </c>
      <c r="H6" s="7" t="str">
        <f t="shared" si="2"/>
        <v>NO</v>
      </c>
      <c r="I6" s="7" t="str">
        <f t="shared" si="3"/>
        <v>NO</v>
      </c>
    </row>
    <row r="7">
      <c r="A7" s="4">
        <f>IFERROR(__xludf.DUMMYFUNCTION("""COMPUTED_VALUE"""),1131155.0)</f>
        <v>1131155</v>
      </c>
      <c r="B7" s="4" t="str">
        <f>IFERROR(__xludf.DUMMYFUNCTION("""COMPUTED_VALUE"""),"P1 - Urgent")</f>
        <v>P1 - Urgent</v>
      </c>
      <c r="C7" s="5">
        <f>IFERROR(__xludf.DUMMYFUNCTION("""COMPUTED_VALUE"""),43556.592361111114)</f>
        <v>43556.59236</v>
      </c>
      <c r="D7" s="4" t="str">
        <f>IFERROR(__xludf.DUMMYFUNCTION("""COMPUTED_VALUE"""),"RESOLVED")</f>
        <v>RESOLVED</v>
      </c>
      <c r="E7" s="6">
        <f>IFERROR(__xludf.DUMMYFUNCTION("""COMPUTED_VALUE"""),43563.52560185185)</f>
        <v>43563.5256</v>
      </c>
      <c r="F7" s="4" t="str">
        <f>IFERROR(__xludf.DUMMYFUNCTION("""COMPUTED_VALUE""")," ---")</f>
        <v> ---</v>
      </c>
      <c r="G7" s="4" t="str">
        <f>IFERROR(__xludf.DUMMYFUNCTION("""COMPUTED_VALUE"""),"SUSE Linux Enterprise Server 15 SP1")</f>
        <v>SUSE Linux Enterprise Server 15 SP1</v>
      </c>
      <c r="H7" s="7" t="str">
        <f t="shared" si="2"/>
        <v>NO</v>
      </c>
      <c r="I7" s="7" t="str">
        <f t="shared" si="3"/>
        <v>NO</v>
      </c>
    </row>
    <row r="8">
      <c r="A8" s="4">
        <f>IFERROR(__xludf.DUMMYFUNCTION("""COMPUTED_VALUE"""),1116040.0)</f>
        <v>1116040</v>
      </c>
      <c r="B8" s="4" t="str">
        <f>IFERROR(__xludf.DUMMYFUNCTION("""COMPUTED_VALUE"""),"P1 - Urgent")</f>
        <v>P1 - Urgent</v>
      </c>
      <c r="C8" s="5">
        <f>IFERROR(__xludf.DUMMYFUNCTION("""COMPUTED_VALUE"""),43418.65840277778)</f>
        <v>43418.6584</v>
      </c>
      <c r="D8" s="4" t="str">
        <f>IFERROR(__xludf.DUMMYFUNCTION("""COMPUTED_VALUE"""),"RESOLVED")</f>
        <v>RESOLVED</v>
      </c>
      <c r="E8" s="6">
        <f>IFERROR(__xludf.DUMMYFUNCTION("""COMPUTED_VALUE"""),44624.8780787037)</f>
        <v>44624.87808</v>
      </c>
      <c r="F8" s="4" t="str">
        <f>IFERROR(__xludf.DUMMYFUNCTION("""COMPUTED_VALUE""")," ---")</f>
        <v> ---</v>
      </c>
      <c r="G8" s="4" t="str">
        <f>IFERROR(__xludf.DUMMYFUNCTION("""COMPUTED_VALUE"""),"SUSE Linux Enterprise Server 15 SP1")</f>
        <v>SUSE Linux Enterprise Server 15 SP1</v>
      </c>
      <c r="H8" s="7" t="str">
        <f t="shared" si="2"/>
        <v>NO</v>
      </c>
      <c r="I8" s="7" t="str">
        <f t="shared" si="3"/>
        <v>NO</v>
      </c>
    </row>
    <row r="9">
      <c r="A9" s="4">
        <f>IFERROR(__xludf.DUMMYFUNCTION("""COMPUTED_VALUE"""),1127682.0)</f>
        <v>1127682</v>
      </c>
      <c r="B9" s="4" t="str">
        <f>IFERROR(__xludf.DUMMYFUNCTION("""COMPUTED_VALUE"""),"P1 - Urgent")</f>
        <v>P1 - Urgent</v>
      </c>
      <c r="C9" s="5">
        <f>IFERROR(__xludf.DUMMYFUNCTION("""COMPUTED_VALUE"""),43528.36142361111)</f>
        <v>43528.36142</v>
      </c>
      <c r="D9" s="4" t="str">
        <f>IFERROR(__xludf.DUMMYFUNCTION("""COMPUTED_VALUE"""),"RESOLVED")</f>
        <v>RESOLVED</v>
      </c>
      <c r="E9" s="6">
        <f>IFERROR(__xludf.DUMMYFUNCTION("""COMPUTED_VALUE"""),44624.88869212963)</f>
        <v>44624.88869</v>
      </c>
      <c r="F9" s="4" t="str">
        <f>IFERROR(__xludf.DUMMYFUNCTION("""COMPUTED_VALUE""")," ---")</f>
        <v> ---</v>
      </c>
      <c r="G9" s="4" t="str">
        <f>IFERROR(__xludf.DUMMYFUNCTION("""COMPUTED_VALUE"""),"SUSE Linux Enterprise Server 15 SP1")</f>
        <v>SUSE Linux Enterprise Server 15 SP1</v>
      </c>
      <c r="H9" s="7" t="str">
        <f t="shared" si="2"/>
        <v>NO</v>
      </c>
      <c r="I9" s="7" t="str">
        <f t="shared" si="3"/>
        <v>NO</v>
      </c>
    </row>
    <row r="10">
      <c r="A10" s="4">
        <f>IFERROR(__xludf.DUMMYFUNCTION("""COMPUTED_VALUE"""),1125291.0)</f>
        <v>1125291</v>
      </c>
      <c r="B10" s="4" t="str">
        <f>IFERROR(__xludf.DUMMYFUNCTION("""COMPUTED_VALUE"""),"P1 - Urgent")</f>
        <v>P1 - Urgent</v>
      </c>
      <c r="C10" s="5">
        <f>IFERROR(__xludf.DUMMYFUNCTION("""COMPUTED_VALUE"""),43509.50042824074)</f>
        <v>43509.50043</v>
      </c>
      <c r="D10" s="4" t="str">
        <f>IFERROR(__xludf.DUMMYFUNCTION("""COMPUTED_VALUE"""),"RESOLVED")</f>
        <v>RESOLVED</v>
      </c>
      <c r="E10" s="6">
        <f>IFERROR(__xludf.DUMMYFUNCTION("""COMPUTED_VALUE"""),43630.63302083333)</f>
        <v>43630.63302</v>
      </c>
      <c r="F10" s="4" t="str">
        <f>IFERROR(__xludf.DUMMYFUNCTION("""COMPUTED_VALUE"""),"Yes")</f>
        <v>Yes</v>
      </c>
      <c r="G10" s="4" t="str">
        <f>IFERROR(__xludf.DUMMYFUNCTION("""COMPUTED_VALUE"""),"SUSE Linux Enterprise Server 15 SP1")</f>
        <v>SUSE Linux Enterprise Server 15 SP1</v>
      </c>
      <c r="H10" s="7" t="str">
        <f t="shared" si="2"/>
        <v>NO</v>
      </c>
      <c r="I10" s="7" t="str">
        <f t="shared" si="3"/>
        <v>NO</v>
      </c>
    </row>
    <row r="11">
      <c r="A11" s="4">
        <f>IFERROR(__xludf.DUMMYFUNCTION("""COMPUTED_VALUE"""),1132477.0)</f>
        <v>1132477</v>
      </c>
      <c r="B11" s="4" t="str">
        <f>IFERROR(__xludf.DUMMYFUNCTION("""COMPUTED_VALUE"""),"P1 - Urgent")</f>
        <v>P1 - Urgent</v>
      </c>
      <c r="C11" s="5">
        <f>IFERROR(__xludf.DUMMYFUNCTION("""COMPUTED_VALUE"""),43570.25760416667)</f>
        <v>43570.2576</v>
      </c>
      <c r="D11" s="4" t="str">
        <f>IFERROR(__xludf.DUMMYFUNCTION("""COMPUTED_VALUE"""),"RESOLVED")</f>
        <v>RESOLVED</v>
      </c>
      <c r="E11" s="6">
        <f>IFERROR(__xludf.DUMMYFUNCTION("""COMPUTED_VALUE"""),44384.78563657407)</f>
        <v>44384.78564</v>
      </c>
      <c r="F11" s="4" t="str">
        <f>IFERROR(__xludf.DUMMYFUNCTION("""COMPUTED_VALUE""")," ---")</f>
        <v> ---</v>
      </c>
      <c r="G11" s="4" t="str">
        <f>IFERROR(__xludf.DUMMYFUNCTION("""COMPUTED_VALUE"""),"SUSE Linux Enterprise Server 15 SP1")</f>
        <v>SUSE Linux Enterprise Server 15 SP1</v>
      </c>
      <c r="H11" s="7" t="str">
        <f t="shared" si="2"/>
        <v>NO</v>
      </c>
      <c r="I11" s="7" t="str">
        <f t="shared" si="3"/>
        <v>NO</v>
      </c>
    </row>
    <row r="12">
      <c r="A12" s="4">
        <f>IFERROR(__xludf.DUMMYFUNCTION("""COMPUTED_VALUE"""),1127589.0)</f>
        <v>1127589</v>
      </c>
      <c r="B12" s="4" t="str">
        <f>IFERROR(__xludf.DUMMYFUNCTION("""COMPUTED_VALUE"""),"P1 - Urgent")</f>
        <v>P1 - Urgent</v>
      </c>
      <c r="C12" s="5">
        <f>IFERROR(__xludf.DUMMYFUNCTION("""COMPUTED_VALUE"""),43525.94405092593)</f>
        <v>43525.94405</v>
      </c>
      <c r="D12" s="4" t="str">
        <f>IFERROR(__xludf.DUMMYFUNCTION("""COMPUTED_VALUE"""),"RESOLVED")</f>
        <v>RESOLVED</v>
      </c>
      <c r="E12" s="6">
        <f>IFERROR(__xludf.DUMMYFUNCTION("""COMPUTED_VALUE"""),43538.915497685186)</f>
        <v>43538.9155</v>
      </c>
      <c r="F12" s="4" t="str">
        <f>IFERROR(__xludf.DUMMYFUNCTION("""COMPUTED_VALUE""")," ---")</f>
        <v> ---</v>
      </c>
      <c r="G12" s="4" t="str">
        <f>IFERROR(__xludf.DUMMYFUNCTION("""COMPUTED_VALUE"""),"SUSE Linux Enterprise Desktop 15 SP1")</f>
        <v>SUSE Linux Enterprise Desktop 15 SP1</v>
      </c>
      <c r="H12" s="7" t="str">
        <f t="shared" si="2"/>
        <v>NO</v>
      </c>
      <c r="I12" s="7" t="str">
        <f t="shared" si="3"/>
        <v>NO</v>
      </c>
    </row>
    <row r="13">
      <c r="A13" s="4">
        <f>IFERROR(__xludf.DUMMYFUNCTION("""COMPUTED_VALUE"""),1122863.0)</f>
        <v>1122863</v>
      </c>
      <c r="B13" s="4" t="str">
        <f>IFERROR(__xludf.DUMMYFUNCTION("""COMPUTED_VALUE"""),"P1 - Urgent")</f>
        <v>P1 - Urgent</v>
      </c>
      <c r="C13" s="5">
        <f>IFERROR(__xludf.DUMMYFUNCTION("""COMPUTED_VALUE"""),43488.42412037037)</f>
        <v>43488.42412</v>
      </c>
      <c r="D13" s="4" t="str">
        <f>IFERROR(__xludf.DUMMYFUNCTION("""COMPUTED_VALUE"""),"RESOLVED")</f>
        <v>RESOLVED</v>
      </c>
      <c r="E13" s="6">
        <f>IFERROR(__xludf.DUMMYFUNCTION("""COMPUTED_VALUE"""),43494.42028935185)</f>
        <v>43494.42029</v>
      </c>
      <c r="F13" s="4" t="str">
        <f>IFERROR(__xludf.DUMMYFUNCTION("""COMPUTED_VALUE"""),"Yes")</f>
        <v>Yes</v>
      </c>
      <c r="G13" s="4" t="str">
        <f>IFERROR(__xludf.DUMMYFUNCTION("""COMPUTED_VALUE"""),"SUSE Linux Enterprise Server 15 SP1")</f>
        <v>SUSE Linux Enterprise Server 15 SP1</v>
      </c>
      <c r="H13" s="7" t="str">
        <f t="shared" si="2"/>
        <v>NO</v>
      </c>
      <c r="I13" s="7" t="str">
        <f t="shared" si="3"/>
        <v>NO</v>
      </c>
    </row>
    <row r="14">
      <c r="A14" s="4">
        <f>IFERROR(__xludf.DUMMYFUNCTION("""COMPUTED_VALUE"""),1122736.0)</f>
        <v>1122736</v>
      </c>
      <c r="B14" s="4" t="str">
        <f>IFERROR(__xludf.DUMMYFUNCTION("""COMPUTED_VALUE"""),"P1 - Urgent")</f>
        <v>P1 - Urgent</v>
      </c>
      <c r="C14" s="5">
        <f>IFERROR(__xludf.DUMMYFUNCTION("""COMPUTED_VALUE"""),43487.375243055554)</f>
        <v>43487.37524</v>
      </c>
      <c r="D14" s="4" t="str">
        <f>IFERROR(__xludf.DUMMYFUNCTION("""COMPUTED_VALUE"""),"RESOLVED")</f>
        <v>RESOLVED</v>
      </c>
      <c r="E14" s="6">
        <f>IFERROR(__xludf.DUMMYFUNCTION("""COMPUTED_VALUE"""),43509.53052083333)</f>
        <v>43509.53052</v>
      </c>
      <c r="F14" s="4" t="str">
        <f>IFERROR(__xludf.DUMMYFUNCTION("""COMPUTED_VALUE""")," ---")</f>
        <v> ---</v>
      </c>
      <c r="G14" s="4" t="str">
        <f>IFERROR(__xludf.DUMMYFUNCTION("""COMPUTED_VALUE"""),"Beta SUSE Linux Enterprise Server 15 SP1")</f>
        <v>Beta SUSE Linux Enterprise Server 15 SP1</v>
      </c>
      <c r="H14" s="7" t="str">
        <f t="shared" si="2"/>
        <v>NO</v>
      </c>
      <c r="I14" s="7" t="str">
        <f t="shared" si="3"/>
        <v>NO</v>
      </c>
    </row>
    <row r="15">
      <c r="A15" s="4">
        <f>IFERROR(__xludf.DUMMYFUNCTION("""COMPUTED_VALUE"""),1122156.0)</f>
        <v>1122156</v>
      </c>
      <c r="B15" s="4" t="str">
        <f>IFERROR(__xludf.DUMMYFUNCTION("""COMPUTED_VALUE"""),"P1 - Urgent")</f>
        <v>P1 - Urgent</v>
      </c>
      <c r="C15" s="5">
        <f>IFERROR(__xludf.DUMMYFUNCTION("""COMPUTED_VALUE"""),43481.44096064815)</f>
        <v>43481.44096</v>
      </c>
      <c r="D15" s="4" t="str">
        <f>IFERROR(__xludf.DUMMYFUNCTION("""COMPUTED_VALUE"""),"VERIFIED")</f>
        <v>VERIFIED</v>
      </c>
      <c r="E15" s="6">
        <f>IFERROR(__xludf.DUMMYFUNCTION("""COMPUTED_VALUE"""),43483.68074074074)</f>
        <v>43483.68074</v>
      </c>
      <c r="F15" s="4" t="str">
        <f>IFERROR(__xludf.DUMMYFUNCTION("""COMPUTED_VALUE"""),"Yes")</f>
        <v>Yes</v>
      </c>
      <c r="G15" s="4" t="str">
        <f>IFERROR(__xludf.DUMMYFUNCTION("""COMPUTED_VALUE"""),"SUSE Linux Enterprise Server 15 SP1")</f>
        <v>SUSE Linux Enterprise Server 15 SP1</v>
      </c>
      <c r="H15" s="7" t="str">
        <f t="shared" si="2"/>
        <v>NO</v>
      </c>
      <c r="I15" s="7" t="str">
        <f t="shared" si="3"/>
        <v>NO</v>
      </c>
    </row>
    <row r="16">
      <c r="A16" s="4">
        <f>IFERROR(__xludf.DUMMYFUNCTION("""COMPUTED_VALUE"""),1119212.0)</f>
        <v>1119212</v>
      </c>
      <c r="B16" s="4" t="str">
        <f>IFERROR(__xludf.DUMMYFUNCTION("""COMPUTED_VALUE"""),"P1 - Urgent")</f>
        <v>P1 - Urgent</v>
      </c>
      <c r="C16" s="5">
        <f>IFERROR(__xludf.DUMMYFUNCTION("""COMPUTED_VALUE"""),43446.35590277778)</f>
        <v>43446.3559</v>
      </c>
      <c r="D16" s="4" t="str">
        <f>IFERROR(__xludf.DUMMYFUNCTION("""COMPUTED_VALUE"""),"VERIFIED")</f>
        <v>VERIFIED</v>
      </c>
      <c r="E16" s="6">
        <f>IFERROR(__xludf.DUMMYFUNCTION("""COMPUTED_VALUE"""),44624.88143518518)</f>
        <v>44624.88144</v>
      </c>
      <c r="F16" s="4" t="str">
        <f>IFERROR(__xludf.DUMMYFUNCTION("""COMPUTED_VALUE""")," ---")</f>
        <v> ---</v>
      </c>
      <c r="G16" s="4" t="str">
        <f>IFERROR(__xludf.DUMMYFUNCTION("""COMPUTED_VALUE"""),"SUSE Linux Enterprise Server 15 SP1")</f>
        <v>SUSE Linux Enterprise Server 15 SP1</v>
      </c>
      <c r="H16" s="7" t="str">
        <f t="shared" si="2"/>
        <v>NO</v>
      </c>
      <c r="I16" s="7" t="str">
        <f t="shared" si="3"/>
        <v>NO</v>
      </c>
    </row>
    <row r="17">
      <c r="A17" s="4">
        <f>IFERROR(__xludf.DUMMYFUNCTION("""COMPUTED_VALUE"""),1119089.0)</f>
        <v>1119089</v>
      </c>
      <c r="B17" s="4" t="str">
        <f>IFERROR(__xludf.DUMMYFUNCTION("""COMPUTED_VALUE"""),"P2 - High")</f>
        <v>P2 - High</v>
      </c>
      <c r="C17" s="5">
        <f>IFERROR(__xludf.DUMMYFUNCTION("""COMPUTED_VALUE"""),43445.423368055555)</f>
        <v>43445.42337</v>
      </c>
      <c r="D17" s="4" t="str">
        <f>IFERROR(__xludf.DUMMYFUNCTION("""COMPUTED_VALUE"""),"NEW")</f>
        <v>NEW</v>
      </c>
      <c r="E17" s="6">
        <f>IFERROR(__xludf.DUMMYFUNCTION("""COMPUTED_VALUE"""),43794.29122685185)</f>
        <v>43794.29123</v>
      </c>
      <c r="F17" s="4" t="str">
        <f>IFERROR(__xludf.DUMMYFUNCTION("""COMPUTED_VALUE""")," ---")</f>
        <v> ---</v>
      </c>
      <c r="G17" s="4" t="str">
        <f>IFERROR(__xludf.DUMMYFUNCTION("""COMPUTED_VALUE"""),"SUSE Linux Enterprise Server 15 SP1")</f>
        <v>SUSE Linux Enterprise Server 15 SP1</v>
      </c>
      <c r="H17" s="7" t="str">
        <f t="shared" si="2"/>
        <v>NO</v>
      </c>
      <c r="I17" s="7" t="str">
        <f t="shared" si="3"/>
        <v>NO</v>
      </c>
    </row>
    <row r="18">
      <c r="A18" s="4">
        <f>IFERROR(__xludf.DUMMYFUNCTION("""COMPUTED_VALUE"""),1132621.0)</f>
        <v>1132621</v>
      </c>
      <c r="B18" s="4" t="str">
        <f>IFERROR(__xludf.DUMMYFUNCTION("""COMPUTED_VALUE"""),"P2 - High")</f>
        <v>P2 - High</v>
      </c>
      <c r="C18" s="5">
        <f>IFERROR(__xludf.DUMMYFUNCTION("""COMPUTED_VALUE"""),43571.369988425926)</f>
        <v>43571.36999</v>
      </c>
      <c r="D18" s="4" t="str">
        <f>IFERROR(__xludf.DUMMYFUNCTION("""COMPUTED_VALUE"""),"NEW")</f>
        <v>NEW</v>
      </c>
      <c r="E18" s="6">
        <f>IFERROR(__xludf.DUMMYFUNCTION("""COMPUTED_VALUE"""),44495.60282407407)</f>
        <v>44495.60282</v>
      </c>
      <c r="F18" s="4" t="str">
        <f>IFERROR(__xludf.DUMMYFUNCTION("""COMPUTED_VALUE""")," ---")</f>
        <v> ---</v>
      </c>
      <c r="G18" s="4" t="str">
        <f>IFERROR(__xludf.DUMMYFUNCTION("""COMPUTED_VALUE"""),"SUSE Linux Enterprise Server 15 SP1")</f>
        <v>SUSE Linux Enterprise Server 15 SP1</v>
      </c>
      <c r="H18" s="7" t="str">
        <f t="shared" si="2"/>
        <v>NO</v>
      </c>
      <c r="I18" s="7" t="str">
        <f t="shared" si="3"/>
        <v>NO</v>
      </c>
    </row>
    <row r="19">
      <c r="A19" s="4">
        <f>IFERROR(__xludf.DUMMYFUNCTION("""COMPUTED_VALUE"""),1131917.0)</f>
        <v>1131917</v>
      </c>
      <c r="B19" s="4" t="str">
        <f>IFERROR(__xludf.DUMMYFUNCTION("""COMPUTED_VALUE"""),"P2 - High")</f>
        <v>P2 - High</v>
      </c>
      <c r="C19" s="5">
        <f>IFERROR(__xludf.DUMMYFUNCTION("""COMPUTED_VALUE"""),43564.021782407406)</f>
        <v>43564.02178</v>
      </c>
      <c r="D19" s="4" t="str">
        <f>IFERROR(__xludf.DUMMYFUNCTION("""COMPUTED_VALUE"""),"NEW")</f>
        <v>NEW</v>
      </c>
      <c r="E19" s="6">
        <f>IFERROR(__xludf.DUMMYFUNCTION("""COMPUTED_VALUE"""),43860.61790509259)</f>
        <v>43860.61791</v>
      </c>
      <c r="F19" s="4" t="str">
        <f>IFERROR(__xludf.DUMMYFUNCTION("""COMPUTED_VALUE""")," ---")</f>
        <v> ---</v>
      </c>
      <c r="G19" s="4" t="str">
        <f>IFERROR(__xludf.DUMMYFUNCTION("""COMPUTED_VALUE"""),"SUSE Linux Enterprise Server 15 SP1")</f>
        <v>SUSE Linux Enterprise Server 15 SP1</v>
      </c>
      <c r="H19" s="7" t="str">
        <f t="shared" si="2"/>
        <v>NO</v>
      </c>
      <c r="I19" s="7" t="str">
        <f t="shared" si="3"/>
        <v>NO</v>
      </c>
    </row>
    <row r="20">
      <c r="A20" s="4">
        <f>IFERROR(__xludf.DUMMYFUNCTION("""COMPUTED_VALUE"""),1120167.0)</f>
        <v>1120167</v>
      </c>
      <c r="B20" s="4" t="str">
        <f>IFERROR(__xludf.DUMMYFUNCTION("""COMPUTED_VALUE"""),"P2 - High")</f>
        <v>P2 - High</v>
      </c>
      <c r="C20" s="5">
        <f>IFERROR(__xludf.DUMMYFUNCTION("""COMPUTED_VALUE"""),43455.323599537034)</f>
        <v>43455.3236</v>
      </c>
      <c r="D20" s="4" t="str">
        <f>IFERROR(__xludf.DUMMYFUNCTION("""COMPUTED_VALUE"""),"NEW")</f>
        <v>NEW</v>
      </c>
      <c r="E20" s="6">
        <f>IFERROR(__xludf.DUMMYFUNCTION("""COMPUTED_VALUE"""),43717.34061342593)</f>
        <v>43717.34061</v>
      </c>
      <c r="F20" s="4" t="str">
        <f>IFERROR(__xludf.DUMMYFUNCTION("""COMPUTED_VALUE""")," ---")</f>
        <v> ---</v>
      </c>
      <c r="G20" s="4" t="str">
        <f>IFERROR(__xludf.DUMMYFUNCTION("""COMPUTED_VALUE"""),"SUSE Linux Enterprise Server 15 SP1")</f>
        <v>SUSE Linux Enterprise Server 15 SP1</v>
      </c>
      <c r="H20" s="7" t="str">
        <f t="shared" si="2"/>
        <v>NO</v>
      </c>
      <c r="I20" s="7" t="str">
        <f t="shared" si="3"/>
        <v>NO</v>
      </c>
    </row>
    <row r="21">
      <c r="A21" s="4">
        <f>IFERROR(__xludf.DUMMYFUNCTION("""COMPUTED_VALUE"""),1122487.0)</f>
        <v>1122487</v>
      </c>
      <c r="B21" s="4" t="str">
        <f>IFERROR(__xludf.DUMMYFUNCTION("""COMPUTED_VALUE"""),"P2 - High")</f>
        <v>P2 - High</v>
      </c>
      <c r="C21" s="5">
        <f>IFERROR(__xludf.DUMMYFUNCTION("""COMPUTED_VALUE"""),43483.442407407405)</f>
        <v>43483.44241</v>
      </c>
      <c r="D21" s="4" t="str">
        <f>IFERROR(__xludf.DUMMYFUNCTION("""COMPUTED_VALUE"""),"NEW")</f>
        <v>NEW</v>
      </c>
      <c r="E21" s="6">
        <f>IFERROR(__xludf.DUMMYFUNCTION("""COMPUTED_VALUE"""),43683.317337962966)</f>
        <v>43683.31734</v>
      </c>
      <c r="F21" s="4" t="str">
        <f>IFERROR(__xludf.DUMMYFUNCTION("""COMPUTED_VALUE""")," ---")</f>
        <v> ---</v>
      </c>
      <c r="G21" s="4" t="str">
        <f>IFERROR(__xludf.DUMMYFUNCTION("""COMPUTED_VALUE"""),"SUSE Linux Enterprise Server 15 SP1")</f>
        <v>SUSE Linux Enterprise Server 15 SP1</v>
      </c>
      <c r="H21" s="7" t="str">
        <f t="shared" si="2"/>
        <v>NO</v>
      </c>
      <c r="I21" s="7" t="str">
        <f t="shared" si="3"/>
        <v>NO</v>
      </c>
    </row>
    <row r="22">
      <c r="A22" s="4">
        <f>IFERROR(__xludf.DUMMYFUNCTION("""COMPUTED_VALUE"""),1126467.0)</f>
        <v>1126467</v>
      </c>
      <c r="B22" s="4" t="str">
        <f>IFERROR(__xludf.DUMMYFUNCTION("""COMPUTED_VALUE"""),"P2 - High")</f>
        <v>P2 - High</v>
      </c>
      <c r="C22" s="5">
        <f>IFERROR(__xludf.DUMMYFUNCTION("""COMPUTED_VALUE"""),43518.45070601852)</f>
        <v>43518.45071</v>
      </c>
      <c r="D22" s="4" t="str">
        <f>IFERROR(__xludf.DUMMYFUNCTION("""COMPUTED_VALUE"""),"NEW")</f>
        <v>NEW</v>
      </c>
      <c r="E22" s="6">
        <f>IFERROR(__xludf.DUMMYFUNCTION("""COMPUTED_VALUE"""),43671.820752314816)</f>
        <v>43671.82075</v>
      </c>
      <c r="F22" s="4" t="str">
        <f>IFERROR(__xludf.DUMMYFUNCTION("""COMPUTED_VALUE""")," ---")</f>
        <v> ---</v>
      </c>
      <c r="G22" s="4" t="str">
        <f>IFERROR(__xludf.DUMMYFUNCTION("""COMPUTED_VALUE"""),"SUSE Linux Enterprise Server 15 SP1")</f>
        <v>SUSE Linux Enterprise Server 15 SP1</v>
      </c>
      <c r="H22" s="7" t="str">
        <f t="shared" si="2"/>
        <v>NO</v>
      </c>
      <c r="I22" s="7" t="str">
        <f t="shared" si="3"/>
        <v>NO</v>
      </c>
    </row>
    <row r="23">
      <c r="A23" s="4">
        <f>IFERROR(__xludf.DUMMYFUNCTION("""COMPUTED_VALUE"""),1136678.0)</f>
        <v>1136678</v>
      </c>
      <c r="B23" s="4" t="str">
        <f>IFERROR(__xludf.DUMMYFUNCTION("""COMPUTED_VALUE"""),"P2 - High")</f>
        <v>P2 - High</v>
      </c>
      <c r="C23" s="5">
        <f>IFERROR(__xludf.DUMMYFUNCTION("""COMPUTED_VALUE"""),43614.295949074076)</f>
        <v>43614.29595</v>
      </c>
      <c r="D23" s="4" t="str">
        <f>IFERROR(__xludf.DUMMYFUNCTION("""COMPUTED_VALUE"""),"NEW")</f>
        <v>NEW</v>
      </c>
      <c r="E23" s="6">
        <f>IFERROR(__xludf.DUMMYFUNCTION("""COMPUTED_VALUE"""),44109.664131944446)</f>
        <v>44109.66413</v>
      </c>
      <c r="F23" s="4" t="str">
        <f>IFERROR(__xludf.DUMMYFUNCTION("""COMPUTED_VALUE""")," ---")</f>
        <v> ---</v>
      </c>
      <c r="G23" s="4" t="str">
        <f>IFERROR(__xludf.DUMMYFUNCTION("""COMPUTED_VALUE"""),"SUSE Linux Enterprise Server 15 SP1")</f>
        <v>SUSE Linux Enterprise Server 15 SP1</v>
      </c>
      <c r="H23" s="7" t="str">
        <f t="shared" si="2"/>
        <v>NO</v>
      </c>
      <c r="I23" s="7" t="str">
        <f t="shared" si="3"/>
        <v>NO</v>
      </c>
    </row>
    <row r="24">
      <c r="A24" s="4">
        <f>IFERROR(__xludf.DUMMYFUNCTION("""COMPUTED_VALUE"""),1137677.0)</f>
        <v>1137677</v>
      </c>
      <c r="B24" s="4" t="str">
        <f>IFERROR(__xludf.DUMMYFUNCTION("""COMPUTED_VALUE"""),"P2 - High")</f>
        <v>P2 - High</v>
      </c>
      <c r="C24" s="5">
        <f>IFERROR(__xludf.DUMMYFUNCTION("""COMPUTED_VALUE"""),43623.98364583333)</f>
        <v>43623.98365</v>
      </c>
      <c r="D24" s="4" t="str">
        <f>IFERROR(__xludf.DUMMYFUNCTION("""COMPUTED_VALUE"""),"NEW")</f>
        <v>NEW</v>
      </c>
      <c r="E24" s="6">
        <f>IFERROR(__xludf.DUMMYFUNCTION("""COMPUTED_VALUE"""),44109.664375)</f>
        <v>44109.66438</v>
      </c>
      <c r="F24" s="4" t="str">
        <f>IFERROR(__xludf.DUMMYFUNCTION("""COMPUTED_VALUE""")," ---")</f>
        <v> ---</v>
      </c>
      <c r="G24" s="4" t="str">
        <f>IFERROR(__xludf.DUMMYFUNCTION("""COMPUTED_VALUE"""),"Beta SUSE Linux Enterprise Server 15 SP1")</f>
        <v>Beta SUSE Linux Enterprise Server 15 SP1</v>
      </c>
      <c r="H24" s="7" t="str">
        <f t="shared" si="2"/>
        <v>NO</v>
      </c>
      <c r="I24" s="7" t="str">
        <f t="shared" si="3"/>
        <v>NO</v>
      </c>
    </row>
    <row r="25">
      <c r="A25" s="4">
        <f>IFERROR(__xludf.DUMMYFUNCTION("""COMPUTED_VALUE"""),1139386.0)</f>
        <v>1139386</v>
      </c>
      <c r="B25" s="4" t="str">
        <f>IFERROR(__xludf.DUMMYFUNCTION("""COMPUTED_VALUE"""),"P2 - High")</f>
        <v>P2 - High</v>
      </c>
      <c r="C25" s="5">
        <f>IFERROR(__xludf.DUMMYFUNCTION("""COMPUTED_VALUE"""),43642.23652777778)</f>
        <v>43642.23653</v>
      </c>
      <c r="D25" s="4" t="str">
        <f>IFERROR(__xludf.DUMMYFUNCTION("""COMPUTED_VALUE"""),"NEW")</f>
        <v>NEW</v>
      </c>
      <c r="E25" s="6">
        <f>IFERROR(__xludf.DUMMYFUNCTION("""COMPUTED_VALUE"""),44365.29813657407)</f>
        <v>44365.29814</v>
      </c>
      <c r="F25" s="4" t="str">
        <f>IFERROR(__xludf.DUMMYFUNCTION("""COMPUTED_VALUE""")," ---")</f>
        <v> ---</v>
      </c>
      <c r="G25" s="4" t="str">
        <f>IFERROR(__xludf.DUMMYFUNCTION("""COMPUTED_VALUE"""),"SUSE Linux Enterprise Server 15 SP1")</f>
        <v>SUSE Linux Enterprise Server 15 SP1</v>
      </c>
      <c r="H25" s="7" t="str">
        <f t="shared" si="2"/>
        <v>NO</v>
      </c>
      <c r="I25" s="7" t="str">
        <f t="shared" si="3"/>
        <v>NO</v>
      </c>
    </row>
    <row r="26">
      <c r="A26" s="4">
        <f>IFERROR(__xludf.DUMMYFUNCTION("""COMPUTED_VALUE"""),1111557.0)</f>
        <v>1111557</v>
      </c>
      <c r="B26" s="4" t="str">
        <f>IFERROR(__xludf.DUMMYFUNCTION("""COMPUTED_VALUE"""),"P2 - High")</f>
        <v>P2 - High</v>
      </c>
      <c r="C26" s="5">
        <f>IFERROR(__xludf.DUMMYFUNCTION("""COMPUTED_VALUE"""),43384.71650462963)</f>
        <v>43384.7165</v>
      </c>
      <c r="D26" s="4" t="str">
        <f>IFERROR(__xludf.DUMMYFUNCTION("""COMPUTED_VALUE"""),"NEW")</f>
        <v>NEW</v>
      </c>
      <c r="E26" s="6">
        <f>IFERROR(__xludf.DUMMYFUNCTION("""COMPUTED_VALUE"""),43780.65660879629)</f>
        <v>43780.65661</v>
      </c>
      <c r="F26" s="4" t="str">
        <f>IFERROR(__xludf.DUMMYFUNCTION("""COMPUTED_VALUE""")," ---")</f>
        <v> ---</v>
      </c>
      <c r="G26" s="4" t="str">
        <f>IFERROR(__xludf.DUMMYFUNCTION("""COMPUTED_VALUE"""),"SUSE Linux Enterprise Server 15 SP1")</f>
        <v>SUSE Linux Enterprise Server 15 SP1</v>
      </c>
      <c r="H26" s="7" t="str">
        <f t="shared" si="2"/>
        <v>NO</v>
      </c>
      <c r="I26" s="7" t="str">
        <f t="shared" si="3"/>
        <v>NO</v>
      </c>
    </row>
    <row r="27">
      <c r="A27" s="4">
        <f>IFERROR(__xludf.DUMMYFUNCTION("""COMPUTED_VALUE"""),1124430.0)</f>
        <v>1124430</v>
      </c>
      <c r="B27" s="4" t="str">
        <f>IFERROR(__xludf.DUMMYFUNCTION("""COMPUTED_VALUE"""),"P2 - High")</f>
        <v>P2 - High</v>
      </c>
      <c r="C27" s="5">
        <f>IFERROR(__xludf.DUMMYFUNCTION("""COMPUTED_VALUE"""),43502.36818287037)</f>
        <v>43502.36818</v>
      </c>
      <c r="D27" s="4" t="str">
        <f>IFERROR(__xludf.DUMMYFUNCTION("""COMPUTED_VALUE"""),"NEW")</f>
        <v>NEW</v>
      </c>
      <c r="E27" s="6">
        <f>IFERROR(__xludf.DUMMYFUNCTION("""COMPUTED_VALUE"""),43521.65017361111)</f>
        <v>43521.65017</v>
      </c>
      <c r="F27" s="4" t="str">
        <f>IFERROR(__xludf.DUMMYFUNCTION("""COMPUTED_VALUE""")," ---")</f>
        <v> ---</v>
      </c>
      <c r="G27" s="4" t="str">
        <f>IFERROR(__xludf.DUMMYFUNCTION("""COMPUTED_VALUE"""),"SUSE Linux Enterprise Server 15 SP1")</f>
        <v>SUSE Linux Enterprise Server 15 SP1</v>
      </c>
      <c r="H27" s="7" t="str">
        <f t="shared" si="2"/>
        <v>NO</v>
      </c>
      <c r="I27" s="7" t="str">
        <f t="shared" si="3"/>
        <v>YES</v>
      </c>
    </row>
    <row r="28">
      <c r="A28" s="4">
        <f>IFERROR(__xludf.DUMMYFUNCTION("""COMPUTED_VALUE"""),1120166.0)</f>
        <v>1120166</v>
      </c>
      <c r="B28" s="4" t="str">
        <f>IFERROR(__xludf.DUMMYFUNCTION("""COMPUTED_VALUE"""),"P2 - High")</f>
        <v>P2 - High</v>
      </c>
      <c r="C28" s="5">
        <f>IFERROR(__xludf.DUMMYFUNCTION("""COMPUTED_VALUE"""),43455.30701388889)</f>
        <v>43455.30701</v>
      </c>
      <c r="D28" s="4" t="str">
        <f>IFERROR(__xludf.DUMMYFUNCTION("""COMPUTED_VALUE"""),"NEW")</f>
        <v>NEW</v>
      </c>
      <c r="E28" s="6">
        <f>IFERROR(__xludf.DUMMYFUNCTION("""COMPUTED_VALUE"""),43683.31859953704)</f>
        <v>43683.3186</v>
      </c>
      <c r="F28" s="4" t="str">
        <f>IFERROR(__xludf.DUMMYFUNCTION("""COMPUTED_VALUE""")," ---")</f>
        <v> ---</v>
      </c>
      <c r="G28" s="4" t="str">
        <f>IFERROR(__xludf.DUMMYFUNCTION("""COMPUTED_VALUE"""),"SUSE Linux Enterprise Server 15 SP1")</f>
        <v>SUSE Linux Enterprise Server 15 SP1</v>
      </c>
      <c r="H28" s="7" t="str">
        <f t="shared" si="2"/>
        <v>NO</v>
      </c>
      <c r="I28" s="7" t="str">
        <f t="shared" si="3"/>
        <v>NO</v>
      </c>
    </row>
    <row r="29">
      <c r="A29" s="4">
        <f>IFERROR(__xludf.DUMMYFUNCTION("""COMPUTED_VALUE"""),1135486.0)</f>
        <v>1135486</v>
      </c>
      <c r="B29" s="4" t="str">
        <f>IFERROR(__xludf.DUMMYFUNCTION("""COMPUTED_VALUE"""),"P2 - High")</f>
        <v>P2 - High</v>
      </c>
      <c r="C29" s="5">
        <f>IFERROR(__xludf.DUMMYFUNCTION("""COMPUTED_VALUE"""),43602.47599537037)</f>
        <v>43602.476</v>
      </c>
      <c r="D29" s="4" t="str">
        <f>IFERROR(__xludf.DUMMYFUNCTION("""COMPUTED_VALUE"""),"NEW")</f>
        <v>NEW</v>
      </c>
      <c r="E29" s="6">
        <f>IFERROR(__xludf.DUMMYFUNCTION("""COMPUTED_VALUE"""),44701.04759259259)</f>
        <v>44701.04759</v>
      </c>
      <c r="F29" s="4" t="str">
        <f>IFERROR(__xludf.DUMMYFUNCTION("""COMPUTED_VALUE""")," ---")</f>
        <v> ---</v>
      </c>
      <c r="G29" s="4" t="str">
        <f>IFERROR(__xludf.DUMMYFUNCTION("""COMPUTED_VALUE"""),"SUSE Linux Enterprise Server 15 SP1")</f>
        <v>SUSE Linux Enterprise Server 15 SP1</v>
      </c>
      <c r="H29" s="7" t="str">
        <f t="shared" si="2"/>
        <v>NO</v>
      </c>
      <c r="I29" s="7" t="str">
        <f t="shared" si="3"/>
        <v>NO</v>
      </c>
    </row>
    <row r="30">
      <c r="A30" s="4">
        <f>IFERROR(__xludf.DUMMYFUNCTION("""COMPUTED_VALUE"""),1120163.0)</f>
        <v>1120163</v>
      </c>
      <c r="B30" s="4" t="str">
        <f>IFERROR(__xludf.DUMMYFUNCTION("""COMPUTED_VALUE"""),"P2 - High")</f>
        <v>P2 - High</v>
      </c>
      <c r="C30" s="5">
        <f>IFERROR(__xludf.DUMMYFUNCTION("""COMPUTED_VALUE"""),43455.298993055556)</f>
        <v>43455.29899</v>
      </c>
      <c r="D30" s="4" t="str">
        <f>IFERROR(__xludf.DUMMYFUNCTION("""COMPUTED_VALUE"""),"NEW")</f>
        <v>NEW</v>
      </c>
      <c r="E30" s="6">
        <f>IFERROR(__xludf.DUMMYFUNCTION("""COMPUTED_VALUE"""),44362.50199074074)</f>
        <v>44362.50199</v>
      </c>
      <c r="F30" s="4" t="str">
        <f>IFERROR(__xludf.DUMMYFUNCTION("""COMPUTED_VALUE""")," ---")</f>
        <v> ---</v>
      </c>
      <c r="G30" s="4" t="str">
        <f>IFERROR(__xludf.DUMMYFUNCTION("""COMPUTED_VALUE"""),"SUSE Linux Enterprise Server 15 SP1")</f>
        <v>SUSE Linux Enterprise Server 15 SP1</v>
      </c>
      <c r="H30" s="7" t="str">
        <f t="shared" si="2"/>
        <v>NO</v>
      </c>
      <c r="I30" s="7" t="str">
        <f t="shared" si="3"/>
        <v>NO</v>
      </c>
    </row>
    <row r="31">
      <c r="A31" s="4">
        <f>IFERROR(__xludf.DUMMYFUNCTION("""COMPUTED_VALUE"""),1128791.0)</f>
        <v>1128791</v>
      </c>
      <c r="B31" s="4" t="str">
        <f>IFERROR(__xludf.DUMMYFUNCTION("""COMPUTED_VALUE"""),"P2 - High")</f>
        <v>P2 - High</v>
      </c>
      <c r="C31" s="5">
        <f>IFERROR(__xludf.DUMMYFUNCTION("""COMPUTED_VALUE"""),43536.02700231481)</f>
        <v>43536.027</v>
      </c>
      <c r="D31" s="4" t="str">
        <f>IFERROR(__xludf.DUMMYFUNCTION("""COMPUTED_VALUE"""),"CONFIRMED")</f>
        <v>CONFIRMED</v>
      </c>
      <c r="E31" s="6">
        <f>IFERROR(__xludf.DUMMYFUNCTION("""COMPUTED_VALUE"""),43551.88935185185)</f>
        <v>43551.88935</v>
      </c>
      <c r="F31" s="4" t="str">
        <f>IFERROR(__xludf.DUMMYFUNCTION("""COMPUTED_VALUE""")," ---")</f>
        <v> ---</v>
      </c>
      <c r="G31" s="4" t="str">
        <f>IFERROR(__xludf.DUMMYFUNCTION("""COMPUTED_VALUE"""),"Beta SUSE Linux Enterprise Server 15 SP1")</f>
        <v>Beta SUSE Linux Enterprise Server 15 SP1</v>
      </c>
      <c r="H31" s="7" t="str">
        <f t="shared" si="2"/>
        <v>NO</v>
      </c>
      <c r="I31" s="7" t="str">
        <f t="shared" si="3"/>
        <v>NO</v>
      </c>
    </row>
    <row r="32">
      <c r="A32" s="4">
        <f>IFERROR(__xludf.DUMMYFUNCTION("""COMPUTED_VALUE"""),1122301.0)</f>
        <v>1122301</v>
      </c>
      <c r="B32" s="4" t="str">
        <f>IFERROR(__xludf.DUMMYFUNCTION("""COMPUTED_VALUE"""),"P2 - High")</f>
        <v>P2 - High</v>
      </c>
      <c r="C32" s="5">
        <f>IFERROR(__xludf.DUMMYFUNCTION("""COMPUTED_VALUE"""),43482.391018518516)</f>
        <v>43482.39102</v>
      </c>
      <c r="D32" s="4" t="str">
        <f>IFERROR(__xludf.DUMMYFUNCTION("""COMPUTED_VALUE"""),"RESOLVED")</f>
        <v>RESOLVED</v>
      </c>
      <c r="E32" s="6">
        <f>IFERROR(__xludf.DUMMYFUNCTION("""COMPUTED_VALUE"""),43655.266377314816)</f>
        <v>43655.26638</v>
      </c>
      <c r="F32" s="4" t="str">
        <f>IFERROR(__xludf.DUMMYFUNCTION("""COMPUTED_VALUE""")," ---")</f>
        <v> ---</v>
      </c>
      <c r="G32" s="4" t="str">
        <f>IFERROR(__xludf.DUMMYFUNCTION("""COMPUTED_VALUE"""),"SUSE Linux Enterprise Server 15 SP1")</f>
        <v>SUSE Linux Enterprise Server 15 SP1</v>
      </c>
      <c r="H32" s="7" t="str">
        <f t="shared" si="2"/>
        <v>NO</v>
      </c>
      <c r="I32" s="7" t="str">
        <f t="shared" si="3"/>
        <v>NO</v>
      </c>
    </row>
    <row r="33">
      <c r="A33" s="4">
        <f>IFERROR(__xludf.DUMMYFUNCTION("""COMPUTED_VALUE"""),1123663.0)</f>
        <v>1123663</v>
      </c>
      <c r="B33" s="4" t="str">
        <f>IFERROR(__xludf.DUMMYFUNCTION("""COMPUTED_VALUE"""),"P2 - High")</f>
        <v>P2 - High</v>
      </c>
      <c r="C33" s="5">
        <f>IFERROR(__xludf.DUMMYFUNCTION("""COMPUTED_VALUE"""),43495.431655092594)</f>
        <v>43495.43166</v>
      </c>
      <c r="D33" s="4" t="str">
        <f>IFERROR(__xludf.DUMMYFUNCTION("""COMPUTED_VALUE"""),"RESOLVED")</f>
        <v>RESOLVED</v>
      </c>
      <c r="E33" s="6">
        <f>IFERROR(__xludf.DUMMYFUNCTION("""COMPUTED_VALUE"""),44624.88542824074)</f>
        <v>44624.88543</v>
      </c>
      <c r="F33" s="4" t="str">
        <f>IFERROR(__xludf.DUMMYFUNCTION("""COMPUTED_VALUE""")," ---")</f>
        <v> ---</v>
      </c>
      <c r="G33" s="4" t="str">
        <f>IFERROR(__xludf.DUMMYFUNCTION("""COMPUTED_VALUE"""),"SUSE Linux Enterprise Server 15 SP1")</f>
        <v>SUSE Linux Enterprise Server 15 SP1</v>
      </c>
      <c r="H33" s="7" t="str">
        <f t="shared" si="2"/>
        <v>NO</v>
      </c>
      <c r="I33" s="7" t="str">
        <f t="shared" si="3"/>
        <v>NO</v>
      </c>
    </row>
    <row r="34">
      <c r="A34" s="4">
        <f>IFERROR(__xludf.DUMMYFUNCTION("""COMPUTED_VALUE"""),1135427.0)</f>
        <v>1135427</v>
      </c>
      <c r="B34" s="4" t="str">
        <f>IFERROR(__xludf.DUMMYFUNCTION("""COMPUTED_VALUE"""),"P2 - High")</f>
        <v>P2 - High</v>
      </c>
      <c r="C34" s="5">
        <f>IFERROR(__xludf.DUMMYFUNCTION("""COMPUTED_VALUE"""),43602.09768518519)</f>
        <v>43602.09769</v>
      </c>
      <c r="D34" s="4" t="str">
        <f>IFERROR(__xludf.DUMMYFUNCTION("""COMPUTED_VALUE"""),"RESOLVED")</f>
        <v>RESOLVED</v>
      </c>
      <c r="E34" s="6">
        <f>IFERROR(__xludf.DUMMYFUNCTION("""COMPUTED_VALUE"""),43916.82125)</f>
        <v>43916.82125</v>
      </c>
      <c r="F34" s="4" t="str">
        <f>IFERROR(__xludf.DUMMYFUNCTION("""COMPUTED_VALUE""")," ---")</f>
        <v> ---</v>
      </c>
      <c r="G34" s="4" t="str">
        <f>IFERROR(__xludf.DUMMYFUNCTION("""COMPUTED_VALUE"""),"SUSE Linux Enterprise Server 15 SP1")</f>
        <v>SUSE Linux Enterprise Server 15 SP1</v>
      </c>
      <c r="H34" s="7" t="str">
        <f t="shared" si="2"/>
        <v>NO</v>
      </c>
      <c r="I34" s="7" t="str">
        <f t="shared" si="3"/>
        <v>NO</v>
      </c>
    </row>
    <row r="35">
      <c r="A35" s="4">
        <f>IFERROR(__xludf.DUMMYFUNCTION("""COMPUTED_VALUE"""),1136656.0)</f>
        <v>1136656</v>
      </c>
      <c r="B35" s="4" t="str">
        <f>IFERROR(__xludf.DUMMYFUNCTION("""COMPUTED_VALUE"""),"P2 - High")</f>
        <v>P2 - High</v>
      </c>
      <c r="C35" s="5">
        <f>IFERROR(__xludf.DUMMYFUNCTION("""COMPUTED_VALUE"""),43613.928194444445)</f>
        <v>43613.92819</v>
      </c>
      <c r="D35" s="4" t="str">
        <f>IFERROR(__xludf.DUMMYFUNCTION("""COMPUTED_VALUE"""),"RESOLVED")</f>
        <v>RESOLVED</v>
      </c>
      <c r="E35" s="6">
        <f>IFERROR(__xludf.DUMMYFUNCTION("""COMPUTED_VALUE"""),43627.76771990741)</f>
        <v>43627.76772</v>
      </c>
      <c r="F35" s="4" t="str">
        <f>IFERROR(__xludf.DUMMYFUNCTION("""COMPUTED_VALUE""")," ---")</f>
        <v> ---</v>
      </c>
      <c r="G35" s="4" t="str">
        <f>IFERROR(__xludf.DUMMYFUNCTION("""COMPUTED_VALUE"""),"Beta SUSE Linux Enterprise Server 15 SP1")</f>
        <v>Beta SUSE Linux Enterprise Server 15 SP1</v>
      </c>
      <c r="H35" s="7" t="str">
        <f t="shared" si="2"/>
        <v>NO</v>
      </c>
      <c r="I35" s="7" t="str">
        <f t="shared" si="3"/>
        <v>NO</v>
      </c>
    </row>
    <row r="36">
      <c r="A36" s="4">
        <f>IFERROR(__xludf.DUMMYFUNCTION("""COMPUTED_VALUE"""),1135476.0)</f>
        <v>1135476</v>
      </c>
      <c r="B36" s="4" t="str">
        <f>IFERROR(__xludf.DUMMYFUNCTION("""COMPUTED_VALUE"""),"P2 - High")</f>
        <v>P2 - High</v>
      </c>
      <c r="C36" s="5">
        <f>IFERROR(__xludf.DUMMYFUNCTION("""COMPUTED_VALUE"""),43602.44479166667)</f>
        <v>43602.44479</v>
      </c>
      <c r="D36" s="4" t="str">
        <f>IFERROR(__xludf.DUMMYFUNCTION("""COMPUTED_VALUE"""),"RESOLVED")</f>
        <v>RESOLVED</v>
      </c>
      <c r="E36" s="6">
        <f>IFERROR(__xludf.DUMMYFUNCTION("""COMPUTED_VALUE"""),43942.27943287037)</f>
        <v>43942.27943</v>
      </c>
      <c r="F36" s="4" t="str">
        <f>IFERROR(__xludf.DUMMYFUNCTION("""COMPUTED_VALUE""")," ---")</f>
        <v> ---</v>
      </c>
      <c r="G36" s="4" t="str">
        <f>IFERROR(__xludf.DUMMYFUNCTION("""COMPUTED_VALUE"""),"SUSE Linux Enterprise Server 15 SP1")</f>
        <v>SUSE Linux Enterprise Server 15 SP1</v>
      </c>
      <c r="H36" s="7" t="str">
        <f t="shared" si="2"/>
        <v>NO</v>
      </c>
      <c r="I36" s="7" t="str">
        <f t="shared" si="3"/>
        <v>NO</v>
      </c>
    </row>
    <row r="37">
      <c r="A37" s="4">
        <f>IFERROR(__xludf.DUMMYFUNCTION("""COMPUTED_VALUE"""),1098415.0)</f>
        <v>1098415</v>
      </c>
      <c r="B37" s="4" t="str">
        <f>IFERROR(__xludf.DUMMYFUNCTION("""COMPUTED_VALUE"""),"P2 - High")</f>
        <v>P2 - High</v>
      </c>
      <c r="C37" s="5">
        <f>IFERROR(__xludf.DUMMYFUNCTION("""COMPUTED_VALUE"""),43271.51755787037)</f>
        <v>43271.51756</v>
      </c>
      <c r="D37" s="4" t="str">
        <f>IFERROR(__xludf.DUMMYFUNCTION("""COMPUTED_VALUE"""),"RESOLVED")</f>
        <v>RESOLVED</v>
      </c>
      <c r="E37" s="6">
        <f>IFERROR(__xludf.DUMMYFUNCTION("""COMPUTED_VALUE"""),44291.89971064815)</f>
        <v>44291.89971</v>
      </c>
      <c r="F37" s="4" t="str">
        <f>IFERROR(__xludf.DUMMYFUNCTION("""COMPUTED_VALUE""")," ---")</f>
        <v> ---</v>
      </c>
      <c r="G37" s="4" t="str">
        <f>IFERROR(__xludf.DUMMYFUNCTION("""COMPUTED_VALUE"""),"SUSE Linux Enterprise Server 15 SP1")</f>
        <v>SUSE Linux Enterprise Server 15 SP1</v>
      </c>
      <c r="H37" s="7" t="str">
        <f t="shared" si="2"/>
        <v>NO</v>
      </c>
      <c r="I37" s="7" t="str">
        <f t="shared" si="3"/>
        <v>NO</v>
      </c>
    </row>
    <row r="38">
      <c r="A38" s="4">
        <f>IFERROR(__xludf.DUMMYFUNCTION("""COMPUTED_VALUE"""),1127534.0)</f>
        <v>1127534</v>
      </c>
      <c r="B38" s="4" t="str">
        <f>IFERROR(__xludf.DUMMYFUNCTION("""COMPUTED_VALUE"""),"P2 - High")</f>
        <v>P2 - High</v>
      </c>
      <c r="C38" s="5">
        <f>IFERROR(__xludf.DUMMYFUNCTION("""COMPUTED_VALUE"""),43525.57666666667)</f>
        <v>43525.57667</v>
      </c>
      <c r="D38" s="4" t="str">
        <f>IFERROR(__xludf.DUMMYFUNCTION("""COMPUTED_VALUE"""),"RESOLVED")</f>
        <v>RESOLVED</v>
      </c>
      <c r="E38" s="6">
        <f>IFERROR(__xludf.DUMMYFUNCTION("""COMPUTED_VALUE"""),44624.88849537037)</f>
        <v>44624.8885</v>
      </c>
      <c r="F38" s="4" t="str">
        <f>IFERROR(__xludf.DUMMYFUNCTION("""COMPUTED_VALUE""")," ---")</f>
        <v> ---</v>
      </c>
      <c r="G38" s="4" t="str">
        <f>IFERROR(__xludf.DUMMYFUNCTION("""COMPUTED_VALUE"""),"SUSE Linux Enterprise Server 15 SP1")</f>
        <v>SUSE Linux Enterprise Server 15 SP1</v>
      </c>
      <c r="H38" s="7" t="str">
        <f t="shared" si="2"/>
        <v>NO</v>
      </c>
      <c r="I38" s="7" t="str">
        <f t="shared" si="3"/>
        <v>NO</v>
      </c>
    </row>
    <row r="39">
      <c r="A39" s="4">
        <f>IFERROR(__xludf.DUMMYFUNCTION("""COMPUTED_VALUE"""),1127559.0)</f>
        <v>1127559</v>
      </c>
      <c r="B39" s="4" t="str">
        <f>IFERROR(__xludf.DUMMYFUNCTION("""COMPUTED_VALUE"""),"P2 - High")</f>
        <v>P2 - High</v>
      </c>
      <c r="C39" s="5">
        <f>IFERROR(__xludf.DUMMYFUNCTION("""COMPUTED_VALUE"""),43525.7296875)</f>
        <v>43525.72969</v>
      </c>
      <c r="D39" s="4" t="str">
        <f>IFERROR(__xludf.DUMMYFUNCTION("""COMPUTED_VALUE"""),"RESOLVED")</f>
        <v>RESOLVED</v>
      </c>
      <c r="E39" s="6">
        <f>IFERROR(__xludf.DUMMYFUNCTION("""COMPUTED_VALUE"""),43545.771203703705)</f>
        <v>43545.7712</v>
      </c>
      <c r="F39" s="4" t="str">
        <f>IFERROR(__xludf.DUMMYFUNCTION("""COMPUTED_VALUE""")," ---")</f>
        <v> ---</v>
      </c>
      <c r="G39" s="4" t="str">
        <f>IFERROR(__xludf.DUMMYFUNCTION("""COMPUTED_VALUE"""),"SUSE Linux Enterprise Server 15 SP1")</f>
        <v>SUSE Linux Enterprise Server 15 SP1</v>
      </c>
      <c r="H39" s="7" t="str">
        <f t="shared" si="2"/>
        <v>NO</v>
      </c>
      <c r="I39" s="7" t="str">
        <f t="shared" si="3"/>
        <v>NO</v>
      </c>
    </row>
    <row r="40">
      <c r="A40" s="4">
        <f>IFERROR(__xludf.DUMMYFUNCTION("""COMPUTED_VALUE"""),1127565.0)</f>
        <v>1127565</v>
      </c>
      <c r="B40" s="4" t="str">
        <f>IFERROR(__xludf.DUMMYFUNCTION("""COMPUTED_VALUE"""),"P2 - High")</f>
        <v>P2 - High</v>
      </c>
      <c r="C40" s="5">
        <f>IFERROR(__xludf.DUMMYFUNCTION("""COMPUTED_VALUE"""),43525.75037037037)</f>
        <v>43525.75037</v>
      </c>
      <c r="D40" s="4" t="str">
        <f>IFERROR(__xludf.DUMMYFUNCTION("""COMPUTED_VALUE"""),"RESOLVED")</f>
        <v>RESOLVED</v>
      </c>
      <c r="E40" s="6">
        <f>IFERROR(__xludf.DUMMYFUNCTION("""COMPUTED_VALUE"""),43571.66033564815)</f>
        <v>43571.66034</v>
      </c>
      <c r="F40" s="4" t="str">
        <f>IFERROR(__xludf.DUMMYFUNCTION("""COMPUTED_VALUE""")," ---")</f>
        <v> ---</v>
      </c>
      <c r="G40" s="4" t="str">
        <f>IFERROR(__xludf.DUMMYFUNCTION("""COMPUTED_VALUE"""),"SUSE Linux Enterprise Server 15 SP1")</f>
        <v>SUSE Linux Enterprise Server 15 SP1</v>
      </c>
      <c r="H40" s="7" t="str">
        <f t="shared" si="2"/>
        <v>NO</v>
      </c>
      <c r="I40" s="7" t="str">
        <f t="shared" si="3"/>
        <v>NO</v>
      </c>
    </row>
    <row r="41">
      <c r="A41" s="4">
        <f>IFERROR(__xludf.DUMMYFUNCTION("""COMPUTED_VALUE"""),1124278.0)</f>
        <v>1124278</v>
      </c>
      <c r="B41" s="4" t="str">
        <f>IFERROR(__xludf.DUMMYFUNCTION("""COMPUTED_VALUE"""),"P2 - High")</f>
        <v>P2 - High</v>
      </c>
      <c r="C41" s="5">
        <f>IFERROR(__xludf.DUMMYFUNCTION("""COMPUTED_VALUE"""),43501.3615162037)</f>
        <v>43501.36152</v>
      </c>
      <c r="D41" s="4" t="str">
        <f>IFERROR(__xludf.DUMMYFUNCTION("""COMPUTED_VALUE"""),"RESOLVED")</f>
        <v>RESOLVED</v>
      </c>
      <c r="E41" s="6">
        <f>IFERROR(__xludf.DUMMYFUNCTION("""COMPUTED_VALUE"""),44078.42797453704)</f>
        <v>44078.42797</v>
      </c>
      <c r="F41" s="4" t="str">
        <f>IFERROR(__xludf.DUMMYFUNCTION("""COMPUTED_VALUE""")," ---")</f>
        <v> ---</v>
      </c>
      <c r="G41" s="4" t="str">
        <f>IFERROR(__xludf.DUMMYFUNCTION("""COMPUTED_VALUE"""),"SUSE Linux Enterprise Server 15 SP1")</f>
        <v>SUSE Linux Enterprise Server 15 SP1</v>
      </c>
      <c r="H41" s="7" t="str">
        <f t="shared" si="2"/>
        <v>NO</v>
      </c>
      <c r="I41" s="7" t="str">
        <f t="shared" si="3"/>
        <v>YES</v>
      </c>
    </row>
    <row r="42">
      <c r="A42" s="4">
        <f>IFERROR(__xludf.DUMMYFUNCTION("""COMPUTED_VALUE"""),1123454.0)</f>
        <v>1123454</v>
      </c>
      <c r="B42" s="4" t="str">
        <f>IFERROR(__xludf.DUMMYFUNCTION("""COMPUTED_VALUE"""),"P2 - High")</f>
        <v>P2 - High</v>
      </c>
      <c r="C42" s="5">
        <f>IFERROR(__xludf.DUMMYFUNCTION("""COMPUTED_VALUE"""),43494.33354166667)</f>
        <v>43494.33354</v>
      </c>
      <c r="D42" s="4" t="str">
        <f>IFERROR(__xludf.DUMMYFUNCTION("""COMPUTED_VALUE"""),"RESOLVED")</f>
        <v>RESOLVED</v>
      </c>
      <c r="E42" s="6">
        <f>IFERROR(__xludf.DUMMYFUNCTION("""COMPUTED_VALUE"""),44624.88527777778)</f>
        <v>44624.88528</v>
      </c>
      <c r="F42" s="4" t="str">
        <f>IFERROR(__xludf.DUMMYFUNCTION("""COMPUTED_VALUE""")," ---")</f>
        <v> ---</v>
      </c>
      <c r="G42" s="4" t="str">
        <f>IFERROR(__xludf.DUMMYFUNCTION("""COMPUTED_VALUE"""),"SUSE Linux Enterprise Server 15 SP1")</f>
        <v>SUSE Linux Enterprise Server 15 SP1</v>
      </c>
      <c r="H42" s="7" t="str">
        <f t="shared" si="2"/>
        <v>NO</v>
      </c>
      <c r="I42" s="7" t="str">
        <f t="shared" si="3"/>
        <v>NO</v>
      </c>
    </row>
    <row r="43">
      <c r="A43" s="4">
        <f>IFERROR(__xludf.DUMMYFUNCTION("""COMPUTED_VALUE"""),1132934.0)</f>
        <v>1132934</v>
      </c>
      <c r="B43" s="4" t="str">
        <f>IFERROR(__xludf.DUMMYFUNCTION("""COMPUTED_VALUE"""),"P2 - High")</f>
        <v>P2 - High</v>
      </c>
      <c r="C43" s="5">
        <f>IFERROR(__xludf.DUMMYFUNCTION("""COMPUTED_VALUE"""),43574.92017361111)</f>
        <v>43574.92017</v>
      </c>
      <c r="D43" s="4" t="str">
        <f>IFERROR(__xludf.DUMMYFUNCTION("""COMPUTED_VALUE"""),"RESOLVED")</f>
        <v>RESOLVED</v>
      </c>
      <c r="E43" s="6">
        <f>IFERROR(__xludf.DUMMYFUNCTION("""COMPUTED_VALUE"""),43887.1112037037)</f>
        <v>43887.1112</v>
      </c>
      <c r="F43" s="4" t="str">
        <f>IFERROR(__xludf.DUMMYFUNCTION("""COMPUTED_VALUE""")," ---")</f>
        <v> ---</v>
      </c>
      <c r="G43" s="4" t="str">
        <f>IFERROR(__xludf.DUMMYFUNCTION("""COMPUTED_VALUE"""),"SUSE Linux Enterprise Server 15 SP1")</f>
        <v>SUSE Linux Enterprise Server 15 SP1</v>
      </c>
      <c r="H43" s="7" t="str">
        <f t="shared" si="2"/>
        <v>NO</v>
      </c>
      <c r="I43" s="7" t="str">
        <f t="shared" si="3"/>
        <v>NO</v>
      </c>
    </row>
    <row r="44">
      <c r="A44" s="4">
        <f>IFERROR(__xludf.DUMMYFUNCTION("""COMPUTED_VALUE"""),1118139.0)</f>
        <v>1118139</v>
      </c>
      <c r="B44" s="4" t="str">
        <f>IFERROR(__xludf.DUMMYFUNCTION("""COMPUTED_VALUE"""),"P2 - High")</f>
        <v>P2 - High</v>
      </c>
      <c r="C44" s="5">
        <f>IFERROR(__xludf.DUMMYFUNCTION("""COMPUTED_VALUE"""),43437.55479166667)</f>
        <v>43437.55479</v>
      </c>
      <c r="D44" s="4" t="str">
        <f>IFERROR(__xludf.DUMMYFUNCTION("""COMPUTED_VALUE"""),"RESOLVED")</f>
        <v>RESOLVED</v>
      </c>
      <c r="E44" s="6">
        <f>IFERROR(__xludf.DUMMYFUNCTION("""COMPUTED_VALUE"""),44624.880428240744)</f>
        <v>44624.88043</v>
      </c>
      <c r="F44" s="4" t="str">
        <f>IFERROR(__xludf.DUMMYFUNCTION("""COMPUTED_VALUE""")," ---")</f>
        <v> ---</v>
      </c>
      <c r="G44" s="4" t="str">
        <f>IFERROR(__xludf.DUMMYFUNCTION("""COMPUTED_VALUE"""),"SUSE Linux Enterprise Server 15 SP1")</f>
        <v>SUSE Linux Enterprise Server 15 SP1</v>
      </c>
      <c r="H44" s="7" t="str">
        <f t="shared" si="2"/>
        <v>NO</v>
      </c>
      <c r="I44" s="7" t="str">
        <f t="shared" si="3"/>
        <v>NO</v>
      </c>
    </row>
    <row r="45">
      <c r="A45" s="4">
        <f>IFERROR(__xludf.DUMMYFUNCTION("""COMPUTED_VALUE"""),1119262.0)</f>
        <v>1119262</v>
      </c>
      <c r="B45" s="4" t="str">
        <f>IFERROR(__xludf.DUMMYFUNCTION("""COMPUTED_VALUE"""),"P2 - High")</f>
        <v>P2 - High</v>
      </c>
      <c r="C45" s="5">
        <f>IFERROR(__xludf.DUMMYFUNCTION("""COMPUTED_VALUE"""),43446.55800925926)</f>
        <v>43446.55801</v>
      </c>
      <c r="D45" s="4" t="str">
        <f>IFERROR(__xludf.DUMMYFUNCTION("""COMPUTED_VALUE"""),"RESOLVED")</f>
        <v>RESOLVED</v>
      </c>
      <c r="E45" s="6">
        <f>IFERROR(__xludf.DUMMYFUNCTION("""COMPUTED_VALUE"""),43502.54913194444)</f>
        <v>43502.54913</v>
      </c>
      <c r="F45" s="4" t="str">
        <f>IFERROR(__xludf.DUMMYFUNCTION("""COMPUTED_VALUE""")," ---")</f>
        <v> ---</v>
      </c>
      <c r="G45" s="4" t="str">
        <f>IFERROR(__xludf.DUMMYFUNCTION("""COMPUTED_VALUE"""),"SUSE Linux Enterprise Server 15 SP1")</f>
        <v>SUSE Linux Enterprise Server 15 SP1</v>
      </c>
      <c r="H45" s="7" t="str">
        <f t="shared" si="2"/>
        <v>NO</v>
      </c>
      <c r="I45" s="7" t="str">
        <f t="shared" si="3"/>
        <v>NO</v>
      </c>
    </row>
    <row r="46">
      <c r="A46" s="4">
        <f>IFERROR(__xludf.DUMMYFUNCTION("""COMPUTED_VALUE"""),1119965.0)</f>
        <v>1119965</v>
      </c>
      <c r="B46" s="4" t="str">
        <f>IFERROR(__xludf.DUMMYFUNCTION("""COMPUTED_VALUE"""),"P2 - High")</f>
        <v>P2 - High</v>
      </c>
      <c r="C46" s="5">
        <f>IFERROR(__xludf.DUMMYFUNCTION("""COMPUTED_VALUE"""),43453.54525462963)</f>
        <v>43453.54525</v>
      </c>
      <c r="D46" s="4" t="str">
        <f>IFERROR(__xludf.DUMMYFUNCTION("""COMPUTED_VALUE"""),"RESOLVED")</f>
        <v>RESOLVED</v>
      </c>
      <c r="E46" s="6">
        <f>IFERROR(__xludf.DUMMYFUNCTION("""COMPUTED_VALUE"""),43509.329375)</f>
        <v>43509.32938</v>
      </c>
      <c r="F46" s="4" t="str">
        <f>IFERROR(__xludf.DUMMYFUNCTION("""COMPUTED_VALUE""")," ---")</f>
        <v> ---</v>
      </c>
      <c r="G46" s="4" t="str">
        <f>IFERROR(__xludf.DUMMYFUNCTION("""COMPUTED_VALUE"""),"SUSE Linux Enterprise Server 15 SP1")</f>
        <v>SUSE Linux Enterprise Server 15 SP1</v>
      </c>
      <c r="H46" s="7" t="str">
        <f t="shared" si="2"/>
        <v>NO</v>
      </c>
      <c r="I46" s="7" t="str">
        <f t="shared" si="3"/>
        <v>NO</v>
      </c>
    </row>
    <row r="47">
      <c r="A47" s="4">
        <f>IFERROR(__xludf.DUMMYFUNCTION("""COMPUTED_VALUE"""),1122751.0)</f>
        <v>1122751</v>
      </c>
      <c r="B47" s="4" t="str">
        <f>IFERROR(__xludf.DUMMYFUNCTION("""COMPUTED_VALUE"""),"P2 - High")</f>
        <v>P2 - High</v>
      </c>
      <c r="C47" s="5">
        <f>IFERROR(__xludf.DUMMYFUNCTION("""COMPUTED_VALUE"""),43487.46256944445)</f>
        <v>43487.46257</v>
      </c>
      <c r="D47" s="4" t="str">
        <f>IFERROR(__xludf.DUMMYFUNCTION("""COMPUTED_VALUE"""),"RESOLVED")</f>
        <v>RESOLVED</v>
      </c>
      <c r="E47" s="6">
        <f>IFERROR(__xludf.DUMMYFUNCTION("""COMPUTED_VALUE"""),43501.36832175926)</f>
        <v>43501.36832</v>
      </c>
      <c r="F47" s="4" t="str">
        <f>IFERROR(__xludf.DUMMYFUNCTION("""COMPUTED_VALUE""")," ---")</f>
        <v> ---</v>
      </c>
      <c r="G47" s="4" t="str">
        <f>IFERROR(__xludf.DUMMYFUNCTION("""COMPUTED_VALUE"""),"SUSE Linux Enterprise Server 15 SP1")</f>
        <v>SUSE Linux Enterprise Server 15 SP1</v>
      </c>
      <c r="H47" s="7" t="str">
        <f t="shared" si="2"/>
        <v>NO</v>
      </c>
      <c r="I47" s="7" t="str">
        <f t="shared" si="3"/>
        <v>NO</v>
      </c>
    </row>
    <row r="48">
      <c r="A48" s="4">
        <f>IFERROR(__xludf.DUMMYFUNCTION("""COMPUTED_VALUE"""),1123236.0)</f>
        <v>1123236</v>
      </c>
      <c r="B48" s="4" t="str">
        <f>IFERROR(__xludf.DUMMYFUNCTION("""COMPUTED_VALUE"""),"P2 - High")</f>
        <v>P2 - High</v>
      </c>
      <c r="C48" s="5">
        <f>IFERROR(__xludf.DUMMYFUNCTION("""COMPUTED_VALUE"""),43490.98105324074)</f>
        <v>43490.98105</v>
      </c>
      <c r="D48" s="4" t="str">
        <f>IFERROR(__xludf.DUMMYFUNCTION("""COMPUTED_VALUE"""),"RESOLVED")</f>
        <v>RESOLVED</v>
      </c>
      <c r="E48" s="6">
        <f>IFERROR(__xludf.DUMMYFUNCTION("""COMPUTED_VALUE"""),43630.632060185184)</f>
        <v>43630.63206</v>
      </c>
      <c r="F48" s="4" t="str">
        <f>IFERROR(__xludf.DUMMYFUNCTION("""COMPUTED_VALUE""")," ---")</f>
        <v> ---</v>
      </c>
      <c r="G48" s="4" t="str">
        <f>IFERROR(__xludf.DUMMYFUNCTION("""COMPUTED_VALUE"""),"SUSE Linux Enterprise Server 15 SP1")</f>
        <v>SUSE Linux Enterprise Server 15 SP1</v>
      </c>
      <c r="H48" s="7" t="str">
        <f t="shared" si="2"/>
        <v>NO</v>
      </c>
      <c r="I48" s="7" t="str">
        <f t="shared" si="3"/>
        <v>NO</v>
      </c>
    </row>
    <row r="49">
      <c r="A49" s="4">
        <f>IFERROR(__xludf.DUMMYFUNCTION("""COMPUTED_VALUE"""),1123882.0)</f>
        <v>1123882</v>
      </c>
      <c r="B49" s="4" t="str">
        <f>IFERROR(__xludf.DUMMYFUNCTION("""COMPUTED_VALUE"""),"P2 - High")</f>
        <v>P2 - High</v>
      </c>
      <c r="C49" s="5">
        <f>IFERROR(__xludf.DUMMYFUNCTION("""COMPUTED_VALUE"""),43496.611967592595)</f>
        <v>43496.61197</v>
      </c>
      <c r="D49" s="4" t="str">
        <f>IFERROR(__xludf.DUMMYFUNCTION("""COMPUTED_VALUE"""),"RESOLVED")</f>
        <v>RESOLVED</v>
      </c>
      <c r="E49" s="6">
        <f>IFERROR(__xludf.DUMMYFUNCTION("""COMPUTED_VALUE"""),44624.88552083333)</f>
        <v>44624.88552</v>
      </c>
      <c r="F49" s="4" t="str">
        <f>IFERROR(__xludf.DUMMYFUNCTION("""COMPUTED_VALUE""")," ---")</f>
        <v> ---</v>
      </c>
      <c r="G49" s="4" t="str">
        <f>IFERROR(__xludf.DUMMYFUNCTION("""COMPUTED_VALUE"""),"SUSE Linux Enterprise Server 15 SP1")</f>
        <v>SUSE Linux Enterprise Server 15 SP1</v>
      </c>
      <c r="H49" s="7" t="str">
        <f t="shared" si="2"/>
        <v>NO</v>
      </c>
      <c r="I49" s="7" t="str">
        <f t="shared" si="3"/>
        <v>NO</v>
      </c>
    </row>
    <row r="50">
      <c r="A50" s="4">
        <f>IFERROR(__xludf.DUMMYFUNCTION("""COMPUTED_VALUE"""),1124541.0)</f>
        <v>1124541</v>
      </c>
      <c r="B50" s="4" t="str">
        <f>IFERROR(__xludf.DUMMYFUNCTION("""COMPUTED_VALUE"""),"P2 - High")</f>
        <v>P2 - High</v>
      </c>
      <c r="C50" s="5">
        <f>IFERROR(__xludf.DUMMYFUNCTION("""COMPUTED_VALUE"""),43502.91143518518)</f>
        <v>43502.91144</v>
      </c>
      <c r="D50" s="4" t="str">
        <f>IFERROR(__xludf.DUMMYFUNCTION("""COMPUTED_VALUE"""),"RESOLVED")</f>
        <v>RESOLVED</v>
      </c>
      <c r="E50" s="6">
        <f>IFERROR(__xludf.DUMMYFUNCTION("""COMPUTED_VALUE"""),43630.6328125)</f>
        <v>43630.63281</v>
      </c>
      <c r="F50" s="4" t="str">
        <f>IFERROR(__xludf.DUMMYFUNCTION("""COMPUTED_VALUE""")," ---")</f>
        <v> ---</v>
      </c>
      <c r="G50" s="4" t="str">
        <f>IFERROR(__xludf.DUMMYFUNCTION("""COMPUTED_VALUE"""),"SUSE Linux Enterprise Server 15 SP1")</f>
        <v>SUSE Linux Enterprise Server 15 SP1</v>
      </c>
      <c r="H50" s="7" t="str">
        <f t="shared" si="2"/>
        <v>NO</v>
      </c>
      <c r="I50" s="7" t="str">
        <f t="shared" si="3"/>
        <v>YES</v>
      </c>
    </row>
    <row r="51">
      <c r="A51" s="4">
        <f>IFERROR(__xludf.DUMMYFUNCTION("""COMPUTED_VALUE"""),1124713.0)</f>
        <v>1124713</v>
      </c>
      <c r="B51" s="4" t="str">
        <f>IFERROR(__xludf.DUMMYFUNCTION("""COMPUTED_VALUE"""),"P2 - High")</f>
        <v>P2 - High</v>
      </c>
      <c r="C51" s="5">
        <f>IFERROR(__xludf.DUMMYFUNCTION("""COMPUTED_VALUE"""),43504.013194444444)</f>
        <v>43504.01319</v>
      </c>
      <c r="D51" s="4" t="str">
        <f>IFERROR(__xludf.DUMMYFUNCTION("""COMPUTED_VALUE"""),"RESOLVED")</f>
        <v>RESOLVED</v>
      </c>
      <c r="E51" s="6">
        <f>IFERROR(__xludf.DUMMYFUNCTION("""COMPUTED_VALUE"""),43662.69130787037)</f>
        <v>43662.69131</v>
      </c>
      <c r="F51" s="4" t="str">
        <f>IFERROR(__xludf.DUMMYFUNCTION("""COMPUTED_VALUE""")," ---")</f>
        <v> ---</v>
      </c>
      <c r="G51" s="4" t="str">
        <f>IFERROR(__xludf.DUMMYFUNCTION("""COMPUTED_VALUE"""),"SUSE Linux Enterprise Server 15 SP1")</f>
        <v>SUSE Linux Enterprise Server 15 SP1</v>
      </c>
      <c r="H51" s="7" t="str">
        <f t="shared" si="2"/>
        <v>NO</v>
      </c>
      <c r="I51" s="7" t="str">
        <f t="shared" si="3"/>
        <v>YES</v>
      </c>
    </row>
    <row r="52">
      <c r="A52" s="4">
        <f>IFERROR(__xludf.DUMMYFUNCTION("""COMPUTED_VALUE"""),1126555.0)</f>
        <v>1126555</v>
      </c>
      <c r="B52" s="4" t="str">
        <f>IFERROR(__xludf.DUMMYFUNCTION("""COMPUTED_VALUE"""),"P2 - High")</f>
        <v>P2 - High</v>
      </c>
      <c r="C52" s="5">
        <f>IFERROR(__xludf.DUMMYFUNCTION("""COMPUTED_VALUE"""),43518.75603009259)</f>
        <v>43518.75603</v>
      </c>
      <c r="D52" s="4" t="str">
        <f>IFERROR(__xludf.DUMMYFUNCTION("""COMPUTED_VALUE"""),"RESOLVED")</f>
        <v>RESOLVED</v>
      </c>
      <c r="E52" s="6">
        <f>IFERROR(__xludf.DUMMYFUNCTION("""COMPUTED_VALUE"""),44624.88731481481)</f>
        <v>44624.88731</v>
      </c>
      <c r="F52" s="4" t="str">
        <f>IFERROR(__xludf.DUMMYFUNCTION("""COMPUTED_VALUE""")," ---")</f>
        <v> ---</v>
      </c>
      <c r="G52" s="4" t="str">
        <f>IFERROR(__xludf.DUMMYFUNCTION("""COMPUTED_VALUE"""),"SUSE Linux Enterprise Server 15 SP1")</f>
        <v>SUSE Linux Enterprise Server 15 SP1</v>
      </c>
      <c r="H52" s="7" t="str">
        <f t="shared" si="2"/>
        <v>NO</v>
      </c>
      <c r="I52" s="7" t="str">
        <f t="shared" si="3"/>
        <v>NO</v>
      </c>
    </row>
    <row r="53">
      <c r="A53" s="4">
        <f>IFERROR(__xludf.DUMMYFUNCTION("""COMPUTED_VALUE"""),1127595.0)</f>
        <v>1127595</v>
      </c>
      <c r="B53" s="4" t="str">
        <f>IFERROR(__xludf.DUMMYFUNCTION("""COMPUTED_VALUE"""),"P2 - High")</f>
        <v>P2 - High</v>
      </c>
      <c r="C53" s="5">
        <f>IFERROR(__xludf.DUMMYFUNCTION("""COMPUTED_VALUE"""),43526.09276620371)</f>
        <v>43526.09277</v>
      </c>
      <c r="D53" s="4" t="str">
        <f>IFERROR(__xludf.DUMMYFUNCTION("""COMPUTED_VALUE"""),"RESOLVED")</f>
        <v>RESOLVED</v>
      </c>
      <c r="E53" s="6">
        <f>IFERROR(__xludf.DUMMYFUNCTION("""COMPUTED_VALUE"""),44624.88857638889)</f>
        <v>44624.88858</v>
      </c>
      <c r="F53" s="4" t="str">
        <f>IFERROR(__xludf.DUMMYFUNCTION("""COMPUTED_VALUE""")," ---")</f>
        <v> ---</v>
      </c>
      <c r="G53" s="4" t="str">
        <f>IFERROR(__xludf.DUMMYFUNCTION("""COMPUTED_VALUE"""),"Beta SUSE Linux Enterprise Server 15 SP1")</f>
        <v>Beta SUSE Linux Enterprise Server 15 SP1</v>
      </c>
      <c r="H53" s="7" t="str">
        <f t="shared" si="2"/>
        <v>NO</v>
      </c>
      <c r="I53" s="7" t="str">
        <f t="shared" si="3"/>
        <v>NO</v>
      </c>
    </row>
    <row r="54">
      <c r="A54" s="4">
        <f>IFERROR(__xludf.DUMMYFUNCTION("""COMPUTED_VALUE"""),1128971.0)</f>
        <v>1128971</v>
      </c>
      <c r="B54" s="4" t="str">
        <f>IFERROR(__xludf.DUMMYFUNCTION("""COMPUTED_VALUE"""),"P2 - High")</f>
        <v>P2 - High</v>
      </c>
      <c r="C54" s="5">
        <f>IFERROR(__xludf.DUMMYFUNCTION("""COMPUTED_VALUE"""),43536.809479166666)</f>
        <v>43536.80948</v>
      </c>
      <c r="D54" s="4" t="str">
        <f>IFERROR(__xludf.DUMMYFUNCTION("""COMPUTED_VALUE"""),"RESOLVED")</f>
        <v>RESOLVED</v>
      </c>
      <c r="E54" s="6">
        <f>IFERROR(__xludf.DUMMYFUNCTION("""COMPUTED_VALUE"""),43732.27601851852)</f>
        <v>43732.27602</v>
      </c>
      <c r="F54" s="4" t="str">
        <f>IFERROR(__xludf.DUMMYFUNCTION("""COMPUTED_VALUE""")," ---")</f>
        <v> ---</v>
      </c>
      <c r="G54" s="4" t="str">
        <f>IFERROR(__xludf.DUMMYFUNCTION("""COMPUTED_VALUE"""),"SUSE Linux Enterprise Server 15 SP1")</f>
        <v>SUSE Linux Enterprise Server 15 SP1</v>
      </c>
      <c r="H54" s="7" t="str">
        <f t="shared" si="2"/>
        <v>NO</v>
      </c>
      <c r="I54" s="7" t="str">
        <f t="shared" si="3"/>
        <v>NO</v>
      </c>
    </row>
    <row r="55">
      <c r="A55" s="4">
        <f>IFERROR(__xludf.DUMMYFUNCTION("""COMPUTED_VALUE"""),1130670.0)</f>
        <v>1130670</v>
      </c>
      <c r="B55" s="4" t="str">
        <f>IFERROR(__xludf.DUMMYFUNCTION("""COMPUTED_VALUE"""),"P2 - High")</f>
        <v>P2 - High</v>
      </c>
      <c r="C55" s="5">
        <f>IFERROR(__xludf.DUMMYFUNCTION("""COMPUTED_VALUE"""),43551.49224537037)</f>
        <v>43551.49225</v>
      </c>
      <c r="D55" s="4" t="str">
        <f>IFERROR(__xludf.DUMMYFUNCTION("""COMPUTED_VALUE"""),"RESOLVED")</f>
        <v>RESOLVED</v>
      </c>
      <c r="E55" s="6">
        <f>IFERROR(__xludf.DUMMYFUNCTION("""COMPUTED_VALUE"""),43650.52263888889)</f>
        <v>43650.52264</v>
      </c>
      <c r="F55" s="4" t="str">
        <f>IFERROR(__xludf.DUMMYFUNCTION("""COMPUTED_VALUE""")," ---")</f>
        <v> ---</v>
      </c>
      <c r="G55" s="4" t="str">
        <f>IFERROR(__xludf.DUMMYFUNCTION("""COMPUTED_VALUE"""),"SUSE Linux Enterprise Server 15 SP1")</f>
        <v>SUSE Linux Enterprise Server 15 SP1</v>
      </c>
      <c r="H55" s="7" t="str">
        <f t="shared" si="2"/>
        <v>NO</v>
      </c>
      <c r="I55" s="7" t="str">
        <f t="shared" si="3"/>
        <v>NO</v>
      </c>
    </row>
    <row r="56">
      <c r="A56" s="4">
        <f>IFERROR(__xludf.DUMMYFUNCTION("""COMPUTED_VALUE"""),1130937.0)</f>
        <v>1130937</v>
      </c>
      <c r="B56" s="4" t="str">
        <f>IFERROR(__xludf.DUMMYFUNCTION("""COMPUTED_VALUE"""),"P2 - High")</f>
        <v>P2 - High</v>
      </c>
      <c r="C56" s="5">
        <f>IFERROR(__xludf.DUMMYFUNCTION("""COMPUTED_VALUE"""),43553.37875)</f>
        <v>43553.37875</v>
      </c>
      <c r="D56" s="4" t="str">
        <f>IFERROR(__xludf.DUMMYFUNCTION("""COMPUTED_VALUE"""),"RESOLVED")</f>
        <v>RESOLVED</v>
      </c>
      <c r="E56" s="6">
        <f>IFERROR(__xludf.DUMMYFUNCTION("""COMPUTED_VALUE"""),43731.6115162037)</f>
        <v>43731.61152</v>
      </c>
      <c r="F56" s="4" t="str">
        <f>IFERROR(__xludf.DUMMYFUNCTION("""COMPUTED_VALUE""")," ---")</f>
        <v> ---</v>
      </c>
      <c r="G56" s="4" t="str">
        <f>IFERROR(__xludf.DUMMYFUNCTION("""COMPUTED_VALUE"""),"SUSE Linux Enterprise Server 15 SP1")</f>
        <v>SUSE Linux Enterprise Server 15 SP1</v>
      </c>
      <c r="H56" s="7" t="str">
        <f t="shared" si="2"/>
        <v>NO</v>
      </c>
      <c r="I56" s="7" t="str">
        <f t="shared" si="3"/>
        <v>NO</v>
      </c>
    </row>
    <row r="57">
      <c r="A57" s="4">
        <f>IFERROR(__xludf.DUMMYFUNCTION("""COMPUTED_VALUE"""),1131226.0)</f>
        <v>1131226</v>
      </c>
      <c r="B57" s="4" t="str">
        <f>IFERROR(__xludf.DUMMYFUNCTION("""COMPUTED_VALUE"""),"P2 - High")</f>
        <v>P2 - High</v>
      </c>
      <c r="C57" s="5">
        <f>IFERROR(__xludf.DUMMYFUNCTION("""COMPUTED_VALUE"""),43557.28251157407)</f>
        <v>43557.28251</v>
      </c>
      <c r="D57" s="4" t="str">
        <f>IFERROR(__xludf.DUMMYFUNCTION("""COMPUTED_VALUE"""),"RESOLVED")</f>
        <v>RESOLVED</v>
      </c>
      <c r="E57" s="6">
        <f>IFERROR(__xludf.DUMMYFUNCTION("""COMPUTED_VALUE"""),43592.46954861111)</f>
        <v>43592.46955</v>
      </c>
      <c r="F57" s="4" t="str">
        <f>IFERROR(__xludf.DUMMYFUNCTION("""COMPUTED_VALUE""")," ---")</f>
        <v> ---</v>
      </c>
      <c r="G57" s="4" t="str">
        <f>IFERROR(__xludf.DUMMYFUNCTION("""COMPUTED_VALUE"""),"SUSE Linux Enterprise Server 15 SP1")</f>
        <v>SUSE Linux Enterprise Server 15 SP1</v>
      </c>
      <c r="H57" s="7" t="str">
        <f t="shared" si="2"/>
        <v>NO</v>
      </c>
      <c r="I57" s="7" t="str">
        <f t="shared" si="3"/>
        <v>NO</v>
      </c>
    </row>
    <row r="58">
      <c r="A58" s="4">
        <f>IFERROR(__xludf.DUMMYFUNCTION("""COMPUTED_VALUE"""),1134239.0)</f>
        <v>1134239</v>
      </c>
      <c r="B58" s="4" t="str">
        <f>IFERROR(__xludf.DUMMYFUNCTION("""COMPUTED_VALUE"""),"P2 - High")</f>
        <v>P2 - High</v>
      </c>
      <c r="C58" s="5">
        <f>IFERROR(__xludf.DUMMYFUNCTION("""COMPUTED_VALUE"""),43591.82670138889)</f>
        <v>43591.8267</v>
      </c>
      <c r="D58" s="4" t="str">
        <f>IFERROR(__xludf.DUMMYFUNCTION("""COMPUTED_VALUE"""),"RESOLVED")</f>
        <v>RESOLVED</v>
      </c>
      <c r="E58" s="6">
        <f>IFERROR(__xludf.DUMMYFUNCTION("""COMPUTED_VALUE"""),43865.374872685185)</f>
        <v>43865.37487</v>
      </c>
      <c r="F58" s="4" t="str">
        <f>IFERROR(__xludf.DUMMYFUNCTION("""COMPUTED_VALUE""")," ---")</f>
        <v> ---</v>
      </c>
      <c r="G58" s="4" t="str">
        <f>IFERROR(__xludf.DUMMYFUNCTION("""COMPUTED_VALUE"""),"SUSE Linux Enterprise Server 15 SP1")</f>
        <v>SUSE Linux Enterprise Server 15 SP1</v>
      </c>
      <c r="H58" s="7" t="str">
        <f t="shared" si="2"/>
        <v>NO</v>
      </c>
      <c r="I58" s="7" t="str">
        <f t="shared" si="3"/>
        <v>NO</v>
      </c>
    </row>
    <row r="59">
      <c r="A59" s="4">
        <f>IFERROR(__xludf.DUMMYFUNCTION("""COMPUTED_VALUE"""),1135429.0)</f>
        <v>1135429</v>
      </c>
      <c r="B59" s="4" t="str">
        <f>IFERROR(__xludf.DUMMYFUNCTION("""COMPUTED_VALUE"""),"P2 - High")</f>
        <v>P2 - High</v>
      </c>
      <c r="C59" s="5">
        <f>IFERROR(__xludf.DUMMYFUNCTION("""COMPUTED_VALUE"""),43602.17228009259)</f>
        <v>43602.17228</v>
      </c>
      <c r="D59" s="4" t="str">
        <f>IFERROR(__xludf.DUMMYFUNCTION("""COMPUTED_VALUE"""),"RESOLVED")</f>
        <v>RESOLVED</v>
      </c>
      <c r="E59" s="6">
        <f>IFERROR(__xludf.DUMMYFUNCTION("""COMPUTED_VALUE"""),43703.345972222225)</f>
        <v>43703.34597</v>
      </c>
      <c r="F59" s="4" t="str">
        <f>IFERROR(__xludf.DUMMYFUNCTION("""COMPUTED_VALUE""")," ---")</f>
        <v> ---</v>
      </c>
      <c r="G59" s="4" t="str">
        <f>IFERROR(__xludf.DUMMYFUNCTION("""COMPUTED_VALUE"""),"SUSE Linux Enterprise Server 15 SP1")</f>
        <v>SUSE Linux Enterprise Server 15 SP1</v>
      </c>
      <c r="H59" s="7" t="str">
        <f t="shared" si="2"/>
        <v>NO</v>
      </c>
      <c r="I59" s="7" t="str">
        <f t="shared" si="3"/>
        <v>NO</v>
      </c>
    </row>
    <row r="60">
      <c r="A60" s="4">
        <f>IFERROR(__xludf.DUMMYFUNCTION("""COMPUTED_VALUE"""),1135477.0)</f>
        <v>1135477</v>
      </c>
      <c r="B60" s="4" t="str">
        <f>IFERROR(__xludf.DUMMYFUNCTION("""COMPUTED_VALUE"""),"P2 - High")</f>
        <v>P2 - High</v>
      </c>
      <c r="C60" s="5">
        <f>IFERROR(__xludf.DUMMYFUNCTION("""COMPUTED_VALUE"""),43602.447291666664)</f>
        <v>43602.44729</v>
      </c>
      <c r="D60" s="4" t="str">
        <f>IFERROR(__xludf.DUMMYFUNCTION("""COMPUTED_VALUE"""),"RESOLVED")</f>
        <v>RESOLVED</v>
      </c>
      <c r="E60" s="6">
        <f>IFERROR(__xludf.DUMMYFUNCTION("""COMPUTED_VALUE"""),43675.39570601852)</f>
        <v>43675.39571</v>
      </c>
      <c r="F60" s="4" t="str">
        <f>IFERROR(__xludf.DUMMYFUNCTION("""COMPUTED_VALUE""")," ---")</f>
        <v> ---</v>
      </c>
      <c r="G60" s="4" t="str">
        <f>IFERROR(__xludf.DUMMYFUNCTION("""COMPUTED_VALUE"""),"SUSE Linux Enterprise Server 15 SP1")</f>
        <v>SUSE Linux Enterprise Server 15 SP1</v>
      </c>
      <c r="H60" s="7" t="str">
        <f t="shared" si="2"/>
        <v>NO</v>
      </c>
      <c r="I60" s="7" t="str">
        <f t="shared" si="3"/>
        <v>NO</v>
      </c>
    </row>
    <row r="61">
      <c r="A61" s="4">
        <f>IFERROR(__xludf.DUMMYFUNCTION("""COMPUTED_VALUE"""),1139764.0)</f>
        <v>1139764</v>
      </c>
      <c r="B61" s="4" t="str">
        <f>IFERROR(__xludf.DUMMYFUNCTION("""COMPUTED_VALUE"""),"P2 - High")</f>
        <v>P2 - High</v>
      </c>
      <c r="C61" s="5">
        <f>IFERROR(__xludf.DUMMYFUNCTION("""COMPUTED_VALUE"""),43644.67414351852)</f>
        <v>43644.67414</v>
      </c>
      <c r="D61" s="4" t="str">
        <f>IFERROR(__xludf.DUMMYFUNCTION("""COMPUTED_VALUE"""),"RESOLVED")</f>
        <v>RESOLVED</v>
      </c>
      <c r="E61" s="6">
        <f>IFERROR(__xludf.DUMMYFUNCTION("""COMPUTED_VALUE"""),44253.353900462964)</f>
        <v>44253.3539</v>
      </c>
      <c r="F61" s="4" t="str">
        <f>IFERROR(__xludf.DUMMYFUNCTION("""COMPUTED_VALUE""")," ---")</f>
        <v> ---</v>
      </c>
      <c r="G61" s="4" t="str">
        <f>IFERROR(__xludf.DUMMYFUNCTION("""COMPUTED_VALUE"""),"SUSE Linux Enterprise Server 15 SP1")</f>
        <v>SUSE Linux Enterprise Server 15 SP1</v>
      </c>
      <c r="H61" s="7" t="str">
        <f t="shared" si="2"/>
        <v>NO</v>
      </c>
      <c r="I61" s="7" t="str">
        <f t="shared" si="3"/>
        <v>NO</v>
      </c>
    </row>
    <row r="62">
      <c r="A62" s="4">
        <f>IFERROR(__xludf.DUMMYFUNCTION("""COMPUTED_VALUE"""),1116953.0)</f>
        <v>1116953</v>
      </c>
      <c r="B62" s="4" t="str">
        <f>IFERROR(__xludf.DUMMYFUNCTION("""COMPUTED_VALUE"""),"P2 - High")</f>
        <v>P2 - High</v>
      </c>
      <c r="C62" s="5">
        <f>IFERROR(__xludf.DUMMYFUNCTION("""COMPUTED_VALUE"""),43425.742164351854)</f>
        <v>43425.74216</v>
      </c>
      <c r="D62" s="4" t="str">
        <f>IFERROR(__xludf.DUMMYFUNCTION("""COMPUTED_VALUE"""),"RESOLVED")</f>
        <v>RESOLVED</v>
      </c>
      <c r="E62" s="6">
        <f>IFERROR(__xludf.DUMMYFUNCTION("""COMPUTED_VALUE"""),43469.53071759259)</f>
        <v>43469.53072</v>
      </c>
      <c r="F62" s="4" t="str">
        <f>IFERROR(__xludf.DUMMYFUNCTION("""COMPUTED_VALUE""")," ---")</f>
        <v> ---</v>
      </c>
      <c r="G62" s="4" t="str">
        <f>IFERROR(__xludf.DUMMYFUNCTION("""COMPUTED_VALUE"""),"SUSE Linux Enterprise Server 15 SP1")</f>
        <v>SUSE Linux Enterprise Server 15 SP1</v>
      </c>
      <c r="H62" s="7" t="str">
        <f t="shared" si="2"/>
        <v>NO</v>
      </c>
      <c r="I62" s="7" t="str">
        <f t="shared" si="3"/>
        <v>NO</v>
      </c>
    </row>
    <row r="63">
      <c r="A63" s="4">
        <f>IFERROR(__xludf.DUMMYFUNCTION("""COMPUTED_VALUE"""),1109240.0)</f>
        <v>1109240</v>
      </c>
      <c r="B63" s="4" t="str">
        <f>IFERROR(__xludf.DUMMYFUNCTION("""COMPUTED_VALUE"""),"P2 - High")</f>
        <v>P2 - High</v>
      </c>
      <c r="C63" s="5">
        <f>IFERROR(__xludf.DUMMYFUNCTION("""COMPUTED_VALUE"""),43364.315104166664)</f>
        <v>43364.3151</v>
      </c>
      <c r="D63" s="4" t="str">
        <f>IFERROR(__xludf.DUMMYFUNCTION("""COMPUTED_VALUE"""),"RESOLVED")</f>
        <v>RESOLVED</v>
      </c>
      <c r="E63" s="6">
        <f>IFERROR(__xludf.DUMMYFUNCTION("""COMPUTED_VALUE"""),43923.99329861111)</f>
        <v>43923.9933</v>
      </c>
      <c r="F63" s="4" t="str">
        <f>IFERROR(__xludf.DUMMYFUNCTION("""COMPUTED_VALUE"""),"Yes")</f>
        <v>Yes</v>
      </c>
      <c r="G63" s="4" t="str">
        <f>IFERROR(__xludf.DUMMYFUNCTION("""COMPUTED_VALUE"""),"SUSE Linux Enterprise Server 15 SP1")</f>
        <v>SUSE Linux Enterprise Server 15 SP1</v>
      </c>
      <c r="H63" s="7" t="str">
        <f t="shared" si="2"/>
        <v>NO</v>
      </c>
      <c r="I63" s="7" t="str">
        <f t="shared" si="3"/>
        <v>NO</v>
      </c>
    </row>
    <row r="64">
      <c r="A64" s="4">
        <f>IFERROR(__xludf.DUMMYFUNCTION("""COMPUTED_VALUE"""),1124756.0)</f>
        <v>1124756</v>
      </c>
      <c r="B64" s="4" t="str">
        <f>IFERROR(__xludf.DUMMYFUNCTION("""COMPUTED_VALUE"""),"P2 - High")</f>
        <v>P2 - High</v>
      </c>
      <c r="C64" s="5">
        <f>IFERROR(__xludf.DUMMYFUNCTION("""COMPUTED_VALUE"""),43504.389398148145)</f>
        <v>43504.3894</v>
      </c>
      <c r="D64" s="4" t="str">
        <f>IFERROR(__xludf.DUMMYFUNCTION("""COMPUTED_VALUE"""),"RESOLVED")</f>
        <v>RESOLVED</v>
      </c>
      <c r="E64" s="6">
        <f>IFERROR(__xludf.DUMMYFUNCTION("""COMPUTED_VALUE"""),43509.34100694444)</f>
        <v>43509.34101</v>
      </c>
      <c r="F64" s="4" t="str">
        <f>IFERROR(__xludf.DUMMYFUNCTION("""COMPUTED_VALUE""")," ---")</f>
        <v> ---</v>
      </c>
      <c r="G64" s="4" t="str">
        <f>IFERROR(__xludf.DUMMYFUNCTION("""COMPUTED_VALUE"""),"SUSE Linux Enterprise Server 15 SP1")</f>
        <v>SUSE Linux Enterprise Server 15 SP1</v>
      </c>
      <c r="H64" s="7" t="str">
        <f t="shared" si="2"/>
        <v>NO</v>
      </c>
      <c r="I64" s="7" t="str">
        <f t="shared" si="3"/>
        <v>YES</v>
      </c>
    </row>
    <row r="65">
      <c r="A65" s="4">
        <f>IFERROR(__xludf.DUMMYFUNCTION("""COMPUTED_VALUE"""),1131684.0)</f>
        <v>1131684</v>
      </c>
      <c r="B65" s="4" t="str">
        <f>IFERROR(__xludf.DUMMYFUNCTION("""COMPUTED_VALUE"""),"P2 - High")</f>
        <v>P2 - High</v>
      </c>
      <c r="C65" s="5">
        <f>IFERROR(__xludf.DUMMYFUNCTION("""COMPUTED_VALUE"""),43560.46619212963)</f>
        <v>43560.46619</v>
      </c>
      <c r="D65" s="4" t="str">
        <f>IFERROR(__xludf.DUMMYFUNCTION("""COMPUTED_VALUE"""),"RESOLVED")</f>
        <v>RESOLVED</v>
      </c>
      <c r="E65" s="6">
        <f>IFERROR(__xludf.DUMMYFUNCTION("""COMPUTED_VALUE"""),43570.37190972222)</f>
        <v>43570.37191</v>
      </c>
      <c r="F65" s="4" t="str">
        <f>IFERROR(__xludf.DUMMYFUNCTION("""COMPUTED_VALUE""")," ---")</f>
        <v> ---</v>
      </c>
      <c r="G65" s="4" t="str">
        <f>IFERROR(__xludf.DUMMYFUNCTION("""COMPUTED_VALUE"""),"SUSE Linux Enterprise Server 15 SP1")</f>
        <v>SUSE Linux Enterprise Server 15 SP1</v>
      </c>
      <c r="H65" s="7" t="str">
        <f t="shared" si="2"/>
        <v>NO</v>
      </c>
      <c r="I65" s="7" t="str">
        <f t="shared" si="3"/>
        <v>NO</v>
      </c>
    </row>
    <row r="66">
      <c r="A66" s="4">
        <f>IFERROR(__xludf.DUMMYFUNCTION("""COMPUTED_VALUE"""),1126740.0)</f>
        <v>1126740</v>
      </c>
      <c r="B66" s="4" t="str">
        <f>IFERROR(__xludf.DUMMYFUNCTION("""COMPUTED_VALUE"""),"P2 - High")</f>
        <v>P2 - High</v>
      </c>
      <c r="C66" s="5">
        <f>IFERROR(__xludf.DUMMYFUNCTION("""COMPUTED_VALUE"""),43521.354467592595)</f>
        <v>43521.35447</v>
      </c>
      <c r="D66" s="4" t="str">
        <f>IFERROR(__xludf.DUMMYFUNCTION("""COMPUTED_VALUE"""),"RESOLVED")</f>
        <v>RESOLVED</v>
      </c>
      <c r="E66" s="6">
        <f>IFERROR(__xludf.DUMMYFUNCTION("""COMPUTED_VALUE"""),44624.887407407405)</f>
        <v>44624.88741</v>
      </c>
      <c r="F66" s="4" t="str">
        <f>IFERROR(__xludf.DUMMYFUNCTION("""COMPUTED_VALUE""")," ---")</f>
        <v> ---</v>
      </c>
      <c r="G66" s="4" t="str">
        <f>IFERROR(__xludf.DUMMYFUNCTION("""COMPUTED_VALUE"""),"SUSE Linux Enterprise Server 15 SP1")</f>
        <v>SUSE Linux Enterprise Server 15 SP1</v>
      </c>
      <c r="H66" s="7" t="str">
        <f t="shared" si="2"/>
        <v>NO</v>
      </c>
      <c r="I66" s="7" t="str">
        <f t="shared" si="3"/>
        <v>NO</v>
      </c>
    </row>
    <row r="67">
      <c r="A67" s="4">
        <f>IFERROR(__xludf.DUMMYFUNCTION("""COMPUTED_VALUE"""),1130607.0)</f>
        <v>1130607</v>
      </c>
      <c r="B67" s="4" t="str">
        <f>IFERROR(__xludf.DUMMYFUNCTION("""COMPUTED_VALUE"""),"P2 - High")</f>
        <v>P2 - High</v>
      </c>
      <c r="C67" s="5">
        <f>IFERROR(__xludf.DUMMYFUNCTION("""COMPUTED_VALUE"""),43551.243310185186)</f>
        <v>43551.24331</v>
      </c>
      <c r="D67" s="4" t="str">
        <f>IFERROR(__xludf.DUMMYFUNCTION("""COMPUTED_VALUE"""),"RESOLVED")</f>
        <v>RESOLVED</v>
      </c>
      <c r="E67" s="6">
        <f>IFERROR(__xludf.DUMMYFUNCTION("""COMPUTED_VALUE"""),43630.63594907407)</f>
        <v>43630.63595</v>
      </c>
      <c r="F67" s="4" t="str">
        <f>IFERROR(__xludf.DUMMYFUNCTION("""COMPUTED_VALUE""")," ---")</f>
        <v> ---</v>
      </c>
      <c r="G67" s="4" t="str">
        <f>IFERROR(__xludf.DUMMYFUNCTION("""COMPUTED_VALUE"""),"SUSE Linux Enterprise Server 15 SP1")</f>
        <v>SUSE Linux Enterprise Server 15 SP1</v>
      </c>
      <c r="H67" s="7" t="str">
        <f t="shared" si="2"/>
        <v>NO</v>
      </c>
      <c r="I67" s="7" t="str">
        <f t="shared" si="3"/>
        <v>NO</v>
      </c>
    </row>
    <row r="68">
      <c r="A68" s="4">
        <f>IFERROR(__xludf.DUMMYFUNCTION("""COMPUTED_VALUE"""),1137372.0)</f>
        <v>1137372</v>
      </c>
      <c r="B68" s="4" t="str">
        <f>IFERROR(__xludf.DUMMYFUNCTION("""COMPUTED_VALUE"""),"P2 - High")</f>
        <v>P2 - High</v>
      </c>
      <c r="C68" s="5">
        <f>IFERROR(__xludf.DUMMYFUNCTION("""COMPUTED_VALUE"""),43621.71295138889)</f>
        <v>43621.71295</v>
      </c>
      <c r="D68" s="4" t="str">
        <f>IFERROR(__xludf.DUMMYFUNCTION("""COMPUTED_VALUE"""),"RESOLVED")</f>
        <v>RESOLVED</v>
      </c>
      <c r="E68" s="6">
        <f>IFERROR(__xludf.DUMMYFUNCTION("""COMPUTED_VALUE"""),44624.897997685184)</f>
        <v>44624.898</v>
      </c>
      <c r="F68" s="4" t="str">
        <f>IFERROR(__xludf.DUMMYFUNCTION("""COMPUTED_VALUE""")," ---")</f>
        <v> ---</v>
      </c>
      <c r="G68" s="4" t="str">
        <f>IFERROR(__xludf.DUMMYFUNCTION("""COMPUTED_VALUE"""),"SUSE Linux Enterprise Server 15 SP1")</f>
        <v>SUSE Linux Enterprise Server 15 SP1</v>
      </c>
      <c r="H68" s="7" t="str">
        <f t="shared" si="2"/>
        <v>NO</v>
      </c>
      <c r="I68" s="7" t="str">
        <f t="shared" si="3"/>
        <v>NO</v>
      </c>
    </row>
    <row r="69">
      <c r="A69" s="4">
        <f>IFERROR(__xludf.DUMMYFUNCTION("""COMPUTED_VALUE"""),1121302.0)</f>
        <v>1121302</v>
      </c>
      <c r="B69" s="4" t="str">
        <f>IFERROR(__xludf.DUMMYFUNCTION("""COMPUTED_VALUE"""),"P2 - High")</f>
        <v>P2 - High</v>
      </c>
      <c r="C69" s="5">
        <f>IFERROR(__xludf.DUMMYFUNCTION("""COMPUTED_VALUE"""),43474.74165509259)</f>
        <v>43474.74166</v>
      </c>
      <c r="D69" s="4" t="str">
        <f>IFERROR(__xludf.DUMMYFUNCTION("""COMPUTED_VALUE"""),"RESOLVED")</f>
        <v>RESOLVED</v>
      </c>
      <c r="E69" s="6">
        <f>IFERROR(__xludf.DUMMYFUNCTION("""COMPUTED_VALUE"""),43871.348333333335)</f>
        <v>43871.34833</v>
      </c>
      <c r="F69" s="4" t="str">
        <f>IFERROR(__xludf.DUMMYFUNCTION("""COMPUTED_VALUE""")," ---")</f>
        <v> ---</v>
      </c>
      <c r="G69" s="4" t="str">
        <f>IFERROR(__xludf.DUMMYFUNCTION("""COMPUTED_VALUE"""),"SUSE Linux Enterprise Server 15 SP1")</f>
        <v>SUSE Linux Enterprise Server 15 SP1</v>
      </c>
      <c r="H69" s="7" t="str">
        <f t="shared" si="2"/>
        <v>NO</v>
      </c>
      <c r="I69" s="7" t="str">
        <f t="shared" si="3"/>
        <v>NO</v>
      </c>
    </row>
    <row r="70">
      <c r="A70" s="4">
        <f>IFERROR(__xludf.DUMMYFUNCTION("""COMPUTED_VALUE"""),1129526.0)</f>
        <v>1129526</v>
      </c>
      <c r="B70" s="4" t="str">
        <f>IFERROR(__xludf.DUMMYFUNCTION("""COMPUTED_VALUE"""),"P2 - High")</f>
        <v>P2 - High</v>
      </c>
      <c r="C70" s="5">
        <f>IFERROR(__xludf.DUMMYFUNCTION("""COMPUTED_VALUE"""),43542.34060185185)</f>
        <v>43542.3406</v>
      </c>
      <c r="D70" s="4" t="str">
        <f>IFERROR(__xludf.DUMMYFUNCTION("""COMPUTED_VALUE"""),"RESOLVED")</f>
        <v>RESOLVED</v>
      </c>
      <c r="E70" s="6">
        <f>IFERROR(__xludf.DUMMYFUNCTION("""COMPUTED_VALUE"""),44701.40342592593)</f>
        <v>44701.40343</v>
      </c>
      <c r="F70" s="4" t="str">
        <f>IFERROR(__xludf.DUMMYFUNCTION("""COMPUTED_VALUE""")," ---")</f>
        <v> ---</v>
      </c>
      <c r="G70" s="4" t="str">
        <f>IFERROR(__xludf.DUMMYFUNCTION("""COMPUTED_VALUE"""),"SUSE Linux Enterprise Server 15 SP1")</f>
        <v>SUSE Linux Enterprise Server 15 SP1</v>
      </c>
      <c r="H70" s="7" t="str">
        <f t="shared" si="2"/>
        <v>NO</v>
      </c>
      <c r="I70" s="7" t="str">
        <f t="shared" si="3"/>
        <v>NO</v>
      </c>
    </row>
    <row r="71">
      <c r="A71" s="4">
        <f>IFERROR(__xludf.DUMMYFUNCTION("""COMPUTED_VALUE"""),1137226.0)</f>
        <v>1137226</v>
      </c>
      <c r="B71" s="4" t="str">
        <f>IFERROR(__xludf.DUMMYFUNCTION("""COMPUTED_VALUE"""),"P2 - High")</f>
        <v>P2 - High</v>
      </c>
      <c r="C71" s="5">
        <f>IFERROR(__xludf.DUMMYFUNCTION("""COMPUTED_VALUE"""),43620.48783564815)</f>
        <v>43620.48784</v>
      </c>
      <c r="D71" s="4" t="str">
        <f>IFERROR(__xludf.DUMMYFUNCTION("""COMPUTED_VALUE"""),"RESOLVED")</f>
        <v>RESOLVED</v>
      </c>
      <c r="E71" s="6">
        <f>IFERROR(__xludf.DUMMYFUNCTION("""COMPUTED_VALUE"""),43620.5402662037)</f>
        <v>43620.54027</v>
      </c>
      <c r="F71" s="4" t="str">
        <f>IFERROR(__xludf.DUMMYFUNCTION("""COMPUTED_VALUE""")," ---")</f>
        <v> ---</v>
      </c>
      <c r="G71" s="4" t="str">
        <f>IFERROR(__xludf.DUMMYFUNCTION("""COMPUTED_VALUE"""),"SUSE Linux Enterprise Server 15 SP1")</f>
        <v>SUSE Linux Enterprise Server 15 SP1</v>
      </c>
      <c r="H71" s="7" t="str">
        <f t="shared" si="2"/>
        <v>NO</v>
      </c>
      <c r="I71" s="7" t="str">
        <f t="shared" si="3"/>
        <v>NO</v>
      </c>
    </row>
    <row r="72">
      <c r="A72" s="4">
        <f>IFERROR(__xludf.DUMMYFUNCTION("""COMPUTED_VALUE"""),1123670.0)</f>
        <v>1123670</v>
      </c>
      <c r="B72" s="4" t="str">
        <f>IFERROR(__xludf.DUMMYFUNCTION("""COMPUTED_VALUE"""),"P2 - High")</f>
        <v>P2 - High</v>
      </c>
      <c r="C72" s="5">
        <f>IFERROR(__xludf.DUMMYFUNCTION("""COMPUTED_VALUE"""),43495.464907407404)</f>
        <v>43495.46491</v>
      </c>
      <c r="D72" s="4" t="str">
        <f>IFERROR(__xludf.DUMMYFUNCTION("""COMPUTED_VALUE"""),"RESOLVED")</f>
        <v>RESOLVED</v>
      </c>
      <c r="E72" s="6">
        <f>IFERROR(__xludf.DUMMYFUNCTION("""COMPUTED_VALUE"""),43718.12336805555)</f>
        <v>43718.12337</v>
      </c>
      <c r="F72" s="4" t="str">
        <f>IFERROR(__xludf.DUMMYFUNCTION("""COMPUTED_VALUE""")," ---")</f>
        <v> ---</v>
      </c>
      <c r="G72" s="4" t="str">
        <f>IFERROR(__xludf.DUMMYFUNCTION("""COMPUTED_VALUE"""),"SUSE Linux Enterprise Server 15 SP1")</f>
        <v>SUSE Linux Enterprise Server 15 SP1</v>
      </c>
      <c r="H72" s="7" t="str">
        <f t="shared" si="2"/>
        <v>NO</v>
      </c>
      <c r="I72" s="7" t="str">
        <f t="shared" si="3"/>
        <v>NO</v>
      </c>
    </row>
    <row r="73">
      <c r="A73" s="4">
        <f>IFERROR(__xludf.DUMMYFUNCTION("""COMPUTED_VALUE"""),1123206.0)</f>
        <v>1123206</v>
      </c>
      <c r="B73" s="4" t="str">
        <f>IFERROR(__xludf.DUMMYFUNCTION("""COMPUTED_VALUE"""),"P2 - High")</f>
        <v>P2 - High</v>
      </c>
      <c r="C73" s="5">
        <f>IFERROR(__xludf.DUMMYFUNCTION("""COMPUTED_VALUE"""),43490.73674768519)</f>
        <v>43490.73675</v>
      </c>
      <c r="D73" s="4" t="str">
        <f>IFERROR(__xludf.DUMMYFUNCTION("""COMPUTED_VALUE"""),"RESOLVED")</f>
        <v>RESOLVED</v>
      </c>
      <c r="E73" s="6">
        <f>IFERROR(__xludf.DUMMYFUNCTION("""COMPUTED_VALUE"""),43496.548425925925)</f>
        <v>43496.54843</v>
      </c>
      <c r="F73" s="4" t="str">
        <f>IFERROR(__xludf.DUMMYFUNCTION("""COMPUTED_VALUE""")," ---")</f>
        <v> ---</v>
      </c>
      <c r="G73" s="4" t="str">
        <f>IFERROR(__xludf.DUMMYFUNCTION("""COMPUTED_VALUE"""),"SUSE Linux Enterprise Server 15 SP1")</f>
        <v>SUSE Linux Enterprise Server 15 SP1</v>
      </c>
      <c r="H73" s="7" t="str">
        <f t="shared" si="2"/>
        <v>NO</v>
      </c>
      <c r="I73" s="7" t="str">
        <f t="shared" si="3"/>
        <v>NO</v>
      </c>
    </row>
    <row r="74">
      <c r="A74" s="4">
        <f>IFERROR(__xludf.DUMMYFUNCTION("""COMPUTED_VALUE"""),1128792.0)</f>
        <v>1128792</v>
      </c>
      <c r="B74" s="4" t="str">
        <f>IFERROR(__xludf.DUMMYFUNCTION("""COMPUTED_VALUE"""),"P2 - High")</f>
        <v>P2 - High</v>
      </c>
      <c r="C74" s="5">
        <f>IFERROR(__xludf.DUMMYFUNCTION("""COMPUTED_VALUE"""),43536.03896990741)</f>
        <v>43536.03897</v>
      </c>
      <c r="D74" s="4" t="str">
        <f>IFERROR(__xludf.DUMMYFUNCTION("""COMPUTED_VALUE"""),"RESOLVED")</f>
        <v>RESOLVED</v>
      </c>
      <c r="E74" s="6">
        <f>IFERROR(__xludf.DUMMYFUNCTION("""COMPUTED_VALUE"""),43630.6349537037)</f>
        <v>43630.63495</v>
      </c>
      <c r="F74" s="4" t="str">
        <f>IFERROR(__xludf.DUMMYFUNCTION("""COMPUTED_VALUE""")," ---")</f>
        <v> ---</v>
      </c>
      <c r="G74" s="4" t="str">
        <f>IFERROR(__xludf.DUMMYFUNCTION("""COMPUTED_VALUE"""),"Beta SUSE Linux Enterprise Server 15 SP1")</f>
        <v>Beta SUSE Linux Enterprise Server 15 SP1</v>
      </c>
      <c r="H74" s="7" t="str">
        <f t="shared" si="2"/>
        <v>NO</v>
      </c>
      <c r="I74" s="7" t="str">
        <f t="shared" si="3"/>
        <v>NO</v>
      </c>
    </row>
    <row r="75">
      <c r="A75" s="4">
        <f>IFERROR(__xludf.DUMMYFUNCTION("""COMPUTED_VALUE"""),1130130.0)</f>
        <v>1130130</v>
      </c>
      <c r="B75" s="4" t="str">
        <f>IFERROR(__xludf.DUMMYFUNCTION("""COMPUTED_VALUE"""),"P2 - High")</f>
        <v>P2 - High</v>
      </c>
      <c r="C75" s="5">
        <f>IFERROR(__xludf.DUMMYFUNCTION("""COMPUTED_VALUE"""),43545.875289351854)</f>
        <v>43545.87529</v>
      </c>
      <c r="D75" s="4" t="str">
        <f>IFERROR(__xludf.DUMMYFUNCTION("""COMPUTED_VALUE"""),"RESOLVED")</f>
        <v>RESOLVED</v>
      </c>
      <c r="E75" s="6">
        <f>IFERROR(__xludf.DUMMYFUNCTION("""COMPUTED_VALUE"""),43705.426157407404)</f>
        <v>43705.42616</v>
      </c>
      <c r="F75" s="4" t="str">
        <f>IFERROR(__xludf.DUMMYFUNCTION("""COMPUTED_VALUE""")," ---")</f>
        <v> ---</v>
      </c>
      <c r="G75" s="4" t="str">
        <f>IFERROR(__xludf.DUMMYFUNCTION("""COMPUTED_VALUE"""),"SUSE Linux Enterprise Server 15 SP1")</f>
        <v>SUSE Linux Enterprise Server 15 SP1</v>
      </c>
      <c r="H75" s="7" t="str">
        <f t="shared" si="2"/>
        <v>NO</v>
      </c>
      <c r="I75" s="7" t="str">
        <f t="shared" si="3"/>
        <v>NO</v>
      </c>
    </row>
    <row r="76">
      <c r="A76" s="4">
        <f>IFERROR(__xludf.DUMMYFUNCTION("""COMPUTED_VALUE"""),1136039.0)</f>
        <v>1136039</v>
      </c>
      <c r="B76" s="4" t="str">
        <f>IFERROR(__xludf.DUMMYFUNCTION("""COMPUTED_VALUE"""),"P2 - High")</f>
        <v>P2 - High</v>
      </c>
      <c r="C76" s="5">
        <f>IFERROR(__xludf.DUMMYFUNCTION("""COMPUTED_VALUE"""),43608.38141203704)</f>
        <v>43608.38141</v>
      </c>
      <c r="D76" s="4" t="str">
        <f>IFERROR(__xludf.DUMMYFUNCTION("""COMPUTED_VALUE"""),"RESOLVED")</f>
        <v>RESOLVED</v>
      </c>
      <c r="E76" s="6">
        <f>IFERROR(__xludf.DUMMYFUNCTION("""COMPUTED_VALUE"""),43760.68243055556)</f>
        <v>43760.68243</v>
      </c>
      <c r="F76" s="4" t="str">
        <f>IFERROR(__xludf.DUMMYFUNCTION("""COMPUTED_VALUE""")," ---")</f>
        <v> ---</v>
      </c>
      <c r="G76" s="4" t="str">
        <f>IFERROR(__xludf.DUMMYFUNCTION("""COMPUTED_VALUE"""),"SUSE Linux Enterprise Server 15 SP1")</f>
        <v>SUSE Linux Enterprise Server 15 SP1</v>
      </c>
      <c r="H76" s="7" t="str">
        <f t="shared" si="2"/>
        <v>NO</v>
      </c>
      <c r="I76" s="7" t="str">
        <f t="shared" si="3"/>
        <v>NO</v>
      </c>
    </row>
    <row r="77">
      <c r="A77" s="4">
        <f>IFERROR(__xludf.DUMMYFUNCTION("""COMPUTED_VALUE"""),1129693.0)</f>
        <v>1129693</v>
      </c>
      <c r="B77" s="4" t="str">
        <f>IFERROR(__xludf.DUMMYFUNCTION("""COMPUTED_VALUE"""),"P2 - High")</f>
        <v>P2 - High</v>
      </c>
      <c r="C77" s="5">
        <f>IFERROR(__xludf.DUMMYFUNCTION("""COMPUTED_VALUE"""),43543.28700231481)</f>
        <v>43543.287</v>
      </c>
      <c r="D77" s="4" t="str">
        <f>IFERROR(__xludf.DUMMYFUNCTION("""COMPUTED_VALUE"""),"RESOLVED")</f>
        <v>RESOLVED</v>
      </c>
      <c r="E77" s="6">
        <f>IFERROR(__xludf.DUMMYFUNCTION("""COMPUTED_VALUE"""),44624.890555555554)</f>
        <v>44624.89056</v>
      </c>
      <c r="F77" s="4" t="str">
        <f>IFERROR(__xludf.DUMMYFUNCTION("""COMPUTED_VALUE""")," ---")</f>
        <v> ---</v>
      </c>
      <c r="G77" s="4" t="str">
        <f>IFERROR(__xludf.DUMMYFUNCTION("""COMPUTED_VALUE"""),"SUSE Linux Enterprise Server 15 SP1")</f>
        <v>SUSE Linux Enterprise Server 15 SP1</v>
      </c>
      <c r="H77" s="7" t="str">
        <f t="shared" si="2"/>
        <v>NO</v>
      </c>
      <c r="I77" s="7" t="str">
        <f t="shared" si="3"/>
        <v>NO</v>
      </c>
    </row>
    <row r="78">
      <c r="A78" s="4">
        <f>IFERROR(__xludf.DUMMYFUNCTION("""COMPUTED_VALUE"""),1123082.0)</f>
        <v>1123082</v>
      </c>
      <c r="B78" s="4" t="str">
        <f>IFERROR(__xludf.DUMMYFUNCTION("""COMPUTED_VALUE"""),"P2 - High")</f>
        <v>P2 - High</v>
      </c>
      <c r="C78" s="5">
        <f>IFERROR(__xludf.DUMMYFUNCTION("""COMPUTED_VALUE"""),43489.89246527778)</f>
        <v>43489.89247</v>
      </c>
      <c r="D78" s="4" t="str">
        <f>IFERROR(__xludf.DUMMYFUNCTION("""COMPUTED_VALUE"""),"RESOLVED")</f>
        <v>RESOLVED</v>
      </c>
      <c r="E78" s="6">
        <f>IFERROR(__xludf.DUMMYFUNCTION("""COMPUTED_VALUE"""),43495.39239583333)</f>
        <v>43495.3924</v>
      </c>
      <c r="F78" s="4" t="str">
        <f>IFERROR(__xludf.DUMMYFUNCTION("""COMPUTED_VALUE""")," ---")</f>
        <v> ---</v>
      </c>
      <c r="G78" s="4" t="str">
        <f>IFERROR(__xludf.DUMMYFUNCTION("""COMPUTED_VALUE"""),"SUSE Linux Enterprise Server 15 SP1")</f>
        <v>SUSE Linux Enterprise Server 15 SP1</v>
      </c>
      <c r="H78" s="7" t="str">
        <f t="shared" si="2"/>
        <v>NO</v>
      </c>
      <c r="I78" s="7" t="str">
        <f t="shared" si="3"/>
        <v>NO</v>
      </c>
    </row>
    <row r="79">
      <c r="A79" s="4">
        <f>IFERROR(__xludf.DUMMYFUNCTION("""COMPUTED_VALUE"""),1131191.0)</f>
        <v>1131191</v>
      </c>
      <c r="B79" s="4" t="str">
        <f>IFERROR(__xludf.DUMMYFUNCTION("""COMPUTED_VALUE"""),"P2 - High")</f>
        <v>P2 - High</v>
      </c>
      <c r="C79" s="5">
        <f>IFERROR(__xludf.DUMMYFUNCTION("""COMPUTED_VALUE"""),43556.76641203704)</f>
        <v>43556.76641</v>
      </c>
      <c r="D79" s="4" t="str">
        <f>IFERROR(__xludf.DUMMYFUNCTION("""COMPUTED_VALUE"""),"RESOLVED")</f>
        <v>RESOLVED</v>
      </c>
      <c r="E79" s="6">
        <f>IFERROR(__xludf.DUMMYFUNCTION("""COMPUTED_VALUE"""),43559.62935185185)</f>
        <v>43559.62935</v>
      </c>
      <c r="F79" s="4" t="str">
        <f>IFERROR(__xludf.DUMMYFUNCTION("""COMPUTED_VALUE""")," ---")</f>
        <v> ---</v>
      </c>
      <c r="G79" s="4" t="str">
        <f>IFERROR(__xludf.DUMMYFUNCTION("""COMPUTED_VALUE"""),"SUSE Linux Enterprise Server 15 SP1")</f>
        <v>SUSE Linux Enterprise Server 15 SP1</v>
      </c>
      <c r="H79" s="7" t="str">
        <f t="shared" si="2"/>
        <v>NO</v>
      </c>
      <c r="I79" s="7" t="str">
        <f t="shared" si="3"/>
        <v>NO</v>
      </c>
    </row>
    <row r="80">
      <c r="A80" s="4">
        <f>IFERROR(__xludf.DUMMYFUNCTION("""COMPUTED_VALUE"""),1132982.0)</f>
        <v>1132982</v>
      </c>
      <c r="B80" s="4" t="str">
        <f>IFERROR(__xludf.DUMMYFUNCTION("""COMPUTED_VALUE"""),"P2 - High")</f>
        <v>P2 - High</v>
      </c>
      <c r="C80" s="5">
        <f>IFERROR(__xludf.DUMMYFUNCTION("""COMPUTED_VALUE"""),43577.428564814814)</f>
        <v>43577.42856</v>
      </c>
      <c r="D80" s="4" t="str">
        <f>IFERROR(__xludf.DUMMYFUNCTION("""COMPUTED_VALUE"""),"RESOLVED")</f>
        <v>RESOLVED</v>
      </c>
      <c r="E80" s="6">
        <f>IFERROR(__xludf.DUMMYFUNCTION("""COMPUTED_VALUE"""),43732.283113425925)</f>
        <v>43732.28311</v>
      </c>
      <c r="F80" s="4" t="str">
        <f>IFERROR(__xludf.DUMMYFUNCTION("""COMPUTED_VALUE""")," ---")</f>
        <v> ---</v>
      </c>
      <c r="G80" s="4" t="str">
        <f>IFERROR(__xludf.DUMMYFUNCTION("""COMPUTED_VALUE"""),"SUSE Linux Enterprise Server 15 SP1")</f>
        <v>SUSE Linux Enterprise Server 15 SP1</v>
      </c>
      <c r="H80" s="7" t="str">
        <f t="shared" si="2"/>
        <v>NO</v>
      </c>
      <c r="I80" s="7" t="str">
        <f t="shared" si="3"/>
        <v>NO</v>
      </c>
    </row>
    <row r="81">
      <c r="A81" s="4">
        <f>IFERROR(__xludf.DUMMYFUNCTION("""COMPUTED_VALUE"""),1137982.0)</f>
        <v>1137982</v>
      </c>
      <c r="B81" s="4" t="str">
        <f>IFERROR(__xludf.DUMMYFUNCTION("""COMPUTED_VALUE"""),"P2 - High")</f>
        <v>P2 - High</v>
      </c>
      <c r="C81" s="5">
        <f>IFERROR(__xludf.DUMMYFUNCTION("""COMPUTED_VALUE"""),43628.5165162037)</f>
        <v>43628.51652</v>
      </c>
      <c r="D81" s="4" t="str">
        <f>IFERROR(__xludf.DUMMYFUNCTION("""COMPUTED_VALUE"""),"RESOLVED")</f>
        <v>RESOLVED</v>
      </c>
      <c r="E81" s="6">
        <f>IFERROR(__xludf.DUMMYFUNCTION("""COMPUTED_VALUE"""),43844.99271990741)</f>
        <v>43844.99272</v>
      </c>
      <c r="F81" s="4" t="str">
        <f>IFERROR(__xludf.DUMMYFUNCTION("""COMPUTED_VALUE""")," ---")</f>
        <v> ---</v>
      </c>
      <c r="G81" s="4" t="str">
        <f>IFERROR(__xludf.DUMMYFUNCTION("""COMPUTED_VALUE"""),"SUSE Linux Enterprise Server 15 SP1")</f>
        <v>SUSE Linux Enterprise Server 15 SP1</v>
      </c>
      <c r="H81" s="7" t="str">
        <f t="shared" si="2"/>
        <v>NO</v>
      </c>
      <c r="I81" s="7" t="str">
        <f t="shared" si="3"/>
        <v>NO</v>
      </c>
    </row>
    <row r="82">
      <c r="A82" s="4">
        <f>IFERROR(__xludf.DUMMYFUNCTION("""COMPUTED_VALUE"""),1112682.0)</f>
        <v>1112682</v>
      </c>
      <c r="B82" s="4" t="str">
        <f>IFERROR(__xludf.DUMMYFUNCTION("""COMPUTED_VALUE"""),"P2 - High")</f>
        <v>P2 - High</v>
      </c>
      <c r="C82" s="5">
        <f>IFERROR(__xludf.DUMMYFUNCTION("""COMPUTED_VALUE"""),43395.318715277775)</f>
        <v>43395.31872</v>
      </c>
      <c r="D82" s="4" t="str">
        <f>IFERROR(__xludf.DUMMYFUNCTION("""COMPUTED_VALUE"""),"RESOLVED")</f>
        <v>RESOLVED</v>
      </c>
      <c r="E82" s="6">
        <f>IFERROR(__xludf.DUMMYFUNCTION("""COMPUTED_VALUE"""),44005.347766203704)</f>
        <v>44005.34777</v>
      </c>
      <c r="F82" s="4" t="str">
        <f>IFERROR(__xludf.DUMMYFUNCTION("""COMPUTED_VALUE""")," ---")</f>
        <v> ---</v>
      </c>
      <c r="G82" s="4" t="str">
        <f>IFERROR(__xludf.DUMMYFUNCTION("""COMPUTED_VALUE"""),"SUSE Linux Enterprise Server 15 SP1")</f>
        <v>SUSE Linux Enterprise Server 15 SP1</v>
      </c>
      <c r="H82" s="7" t="str">
        <f t="shared" si="2"/>
        <v>NO</v>
      </c>
      <c r="I82" s="7" t="str">
        <f t="shared" si="3"/>
        <v>NO</v>
      </c>
    </row>
    <row r="83">
      <c r="A83" s="4">
        <f>IFERROR(__xludf.DUMMYFUNCTION("""COMPUTED_VALUE"""),1120320.0)</f>
        <v>1120320</v>
      </c>
      <c r="B83" s="4" t="str">
        <f>IFERROR(__xludf.DUMMYFUNCTION("""COMPUTED_VALUE"""),"P2 - High")</f>
        <v>P2 - High</v>
      </c>
      <c r="C83" s="5">
        <f>IFERROR(__xludf.DUMMYFUNCTION("""COMPUTED_VALUE"""),43461.24800925926)</f>
        <v>43461.24801</v>
      </c>
      <c r="D83" s="4" t="str">
        <f>IFERROR(__xludf.DUMMYFUNCTION("""COMPUTED_VALUE"""),"RESOLVED")</f>
        <v>RESOLVED</v>
      </c>
      <c r="E83" s="6">
        <f>IFERROR(__xludf.DUMMYFUNCTION("""COMPUTED_VALUE"""),43498.897048611114)</f>
        <v>43498.89705</v>
      </c>
      <c r="F83" s="4" t="str">
        <f>IFERROR(__xludf.DUMMYFUNCTION("""COMPUTED_VALUE""")," ---")</f>
        <v> ---</v>
      </c>
      <c r="G83" s="4" t="str">
        <f>IFERROR(__xludf.DUMMYFUNCTION("""COMPUTED_VALUE"""),"Beta SUSE Linux Enterprise Server 15 SP1")</f>
        <v>Beta SUSE Linux Enterprise Server 15 SP1</v>
      </c>
      <c r="H83" s="7" t="str">
        <f t="shared" si="2"/>
        <v>YES</v>
      </c>
      <c r="I83" s="7" t="str">
        <f t="shared" si="3"/>
        <v>NO</v>
      </c>
    </row>
    <row r="84">
      <c r="A84" s="4">
        <f>IFERROR(__xludf.DUMMYFUNCTION("""COMPUTED_VALUE"""),1120457.0)</f>
        <v>1120457</v>
      </c>
      <c r="B84" s="4" t="str">
        <f>IFERROR(__xludf.DUMMYFUNCTION("""COMPUTED_VALUE"""),"P2 - High")</f>
        <v>P2 - High</v>
      </c>
      <c r="C84" s="5">
        <f>IFERROR(__xludf.DUMMYFUNCTION("""COMPUTED_VALUE"""),43467.3578587963)</f>
        <v>43467.35786</v>
      </c>
      <c r="D84" s="4" t="str">
        <f>IFERROR(__xludf.DUMMYFUNCTION("""COMPUTED_VALUE"""),"RESOLVED")</f>
        <v>RESOLVED</v>
      </c>
      <c r="E84" s="6">
        <f>IFERROR(__xludf.DUMMYFUNCTION("""COMPUTED_VALUE"""),43507.37888888889)</f>
        <v>43507.37889</v>
      </c>
      <c r="F84" s="4" t="str">
        <f>IFERROR(__xludf.DUMMYFUNCTION("""COMPUTED_VALUE""")," ---")</f>
        <v> ---</v>
      </c>
      <c r="G84" s="4" t="str">
        <f>IFERROR(__xludf.DUMMYFUNCTION("""COMPUTED_VALUE"""),"Beta SUSE Linux Enterprise Server 15 SP1")</f>
        <v>Beta SUSE Linux Enterprise Server 15 SP1</v>
      </c>
      <c r="H84" s="7" t="str">
        <f t="shared" si="2"/>
        <v>YES</v>
      </c>
      <c r="I84" s="7" t="str">
        <f t="shared" si="3"/>
        <v>NO</v>
      </c>
    </row>
    <row r="85">
      <c r="A85" s="4">
        <f>IFERROR(__xludf.DUMMYFUNCTION("""COMPUTED_VALUE"""),1120469.0)</f>
        <v>1120469</v>
      </c>
      <c r="B85" s="4" t="str">
        <f>IFERROR(__xludf.DUMMYFUNCTION("""COMPUTED_VALUE"""),"P2 - High")</f>
        <v>P2 - High</v>
      </c>
      <c r="C85" s="5">
        <f>IFERROR(__xludf.DUMMYFUNCTION("""COMPUTED_VALUE"""),43467.42134259259)</f>
        <v>43467.42134</v>
      </c>
      <c r="D85" s="4" t="str">
        <f>IFERROR(__xludf.DUMMYFUNCTION("""COMPUTED_VALUE"""),"RESOLVED")</f>
        <v>RESOLVED</v>
      </c>
      <c r="E85" s="6">
        <f>IFERROR(__xludf.DUMMYFUNCTION("""COMPUTED_VALUE"""),43704.35943287037)</f>
        <v>43704.35943</v>
      </c>
      <c r="F85" s="4" t="str">
        <f>IFERROR(__xludf.DUMMYFUNCTION("""COMPUTED_VALUE""")," ---")</f>
        <v> ---</v>
      </c>
      <c r="G85" s="4" t="str">
        <f>IFERROR(__xludf.DUMMYFUNCTION("""COMPUTED_VALUE"""),"SUSE Linux Enterprise Server 15 SP1")</f>
        <v>SUSE Linux Enterprise Server 15 SP1</v>
      </c>
      <c r="H85" s="7" t="str">
        <f t="shared" si="2"/>
        <v>YES</v>
      </c>
      <c r="I85" s="7" t="str">
        <f t="shared" si="3"/>
        <v>NO</v>
      </c>
    </row>
    <row r="86">
      <c r="A86" s="4">
        <f>IFERROR(__xludf.DUMMYFUNCTION("""COMPUTED_VALUE"""),1120888.0)</f>
        <v>1120888</v>
      </c>
      <c r="B86" s="4" t="str">
        <f>IFERROR(__xludf.DUMMYFUNCTION("""COMPUTED_VALUE"""),"P2 - High")</f>
        <v>P2 - High</v>
      </c>
      <c r="C86" s="5">
        <f>IFERROR(__xludf.DUMMYFUNCTION("""COMPUTED_VALUE"""),43472.33207175926)</f>
        <v>43472.33207</v>
      </c>
      <c r="D86" s="4" t="str">
        <f>IFERROR(__xludf.DUMMYFUNCTION("""COMPUTED_VALUE"""),"RESOLVED")</f>
        <v>RESOLVED</v>
      </c>
      <c r="E86" s="6">
        <f>IFERROR(__xludf.DUMMYFUNCTION("""COMPUTED_VALUE"""),43480.138877314814)</f>
        <v>43480.13888</v>
      </c>
      <c r="F86" s="4" t="str">
        <f>IFERROR(__xludf.DUMMYFUNCTION("""COMPUTED_VALUE""")," ---")</f>
        <v> ---</v>
      </c>
      <c r="G86" s="4" t="str">
        <f>IFERROR(__xludf.DUMMYFUNCTION("""COMPUTED_VALUE"""),"Beta SUSE Linux Enterprise Server 15 SP1")</f>
        <v>Beta SUSE Linux Enterprise Server 15 SP1</v>
      </c>
      <c r="H86" s="7" t="str">
        <f t="shared" si="2"/>
        <v>NO</v>
      </c>
      <c r="I86" s="7" t="str">
        <f t="shared" si="3"/>
        <v>NO</v>
      </c>
    </row>
    <row r="87">
      <c r="A87" s="4">
        <f>IFERROR(__xludf.DUMMYFUNCTION("""COMPUTED_VALUE"""),1122972.0)</f>
        <v>1122972</v>
      </c>
      <c r="B87" s="4" t="str">
        <f>IFERROR(__xludf.DUMMYFUNCTION("""COMPUTED_VALUE"""),"P2 - High")</f>
        <v>P2 - High</v>
      </c>
      <c r="C87" s="5">
        <f>IFERROR(__xludf.DUMMYFUNCTION("""COMPUTED_VALUE"""),43489.28078703704)</f>
        <v>43489.28079</v>
      </c>
      <c r="D87" s="4" t="str">
        <f>IFERROR(__xludf.DUMMYFUNCTION("""COMPUTED_VALUE"""),"RESOLVED")</f>
        <v>RESOLVED</v>
      </c>
      <c r="E87" s="6">
        <f>IFERROR(__xludf.DUMMYFUNCTION("""COMPUTED_VALUE"""),43630.63181712963)</f>
        <v>43630.63182</v>
      </c>
      <c r="F87" s="4" t="str">
        <f>IFERROR(__xludf.DUMMYFUNCTION("""COMPUTED_VALUE""")," ---")</f>
        <v> ---</v>
      </c>
      <c r="G87" s="4" t="str">
        <f>IFERROR(__xludf.DUMMYFUNCTION("""COMPUTED_VALUE"""),"SUSE Linux Enterprise Server 15 SP1")</f>
        <v>SUSE Linux Enterprise Server 15 SP1</v>
      </c>
      <c r="H87" s="7" t="str">
        <f t="shared" si="2"/>
        <v>NO</v>
      </c>
      <c r="I87" s="7" t="str">
        <f t="shared" si="3"/>
        <v>NO</v>
      </c>
    </row>
    <row r="88">
      <c r="A88" s="4">
        <f>IFERROR(__xludf.DUMMYFUNCTION("""COMPUTED_VALUE"""),1128319.0)</f>
        <v>1128319</v>
      </c>
      <c r="B88" s="4" t="str">
        <f>IFERROR(__xludf.DUMMYFUNCTION("""COMPUTED_VALUE"""),"P2 - High")</f>
        <v>P2 - High</v>
      </c>
      <c r="C88" s="5">
        <f>IFERROR(__xludf.DUMMYFUNCTION("""COMPUTED_VALUE"""),43531.46921296296)</f>
        <v>43531.46921</v>
      </c>
      <c r="D88" s="4" t="str">
        <f>IFERROR(__xludf.DUMMYFUNCTION("""COMPUTED_VALUE"""),"RESOLVED")</f>
        <v>RESOLVED</v>
      </c>
      <c r="E88" s="6">
        <f>IFERROR(__xludf.DUMMYFUNCTION("""COMPUTED_VALUE"""),43532.37834490741)</f>
        <v>43532.37834</v>
      </c>
      <c r="F88" s="4" t="str">
        <f>IFERROR(__xludf.DUMMYFUNCTION("""COMPUTED_VALUE""")," ---")</f>
        <v> ---</v>
      </c>
      <c r="G88" s="4" t="str">
        <f>IFERROR(__xludf.DUMMYFUNCTION("""COMPUTED_VALUE"""),"SUSE Linux Enterprise Server 15 SP1")</f>
        <v>SUSE Linux Enterprise Server 15 SP1</v>
      </c>
      <c r="H88" s="7" t="str">
        <f t="shared" si="2"/>
        <v>NO</v>
      </c>
      <c r="I88" s="7" t="str">
        <f t="shared" si="3"/>
        <v>NO</v>
      </c>
    </row>
    <row r="89">
      <c r="A89" s="4">
        <f>IFERROR(__xludf.DUMMYFUNCTION("""COMPUTED_VALUE"""),1128321.0)</f>
        <v>1128321</v>
      </c>
      <c r="B89" s="4" t="str">
        <f>IFERROR(__xludf.DUMMYFUNCTION("""COMPUTED_VALUE"""),"P2 - High")</f>
        <v>P2 - High</v>
      </c>
      <c r="C89" s="5">
        <f>IFERROR(__xludf.DUMMYFUNCTION("""COMPUTED_VALUE"""),43531.47258101852)</f>
        <v>43531.47258</v>
      </c>
      <c r="D89" s="4" t="str">
        <f>IFERROR(__xludf.DUMMYFUNCTION("""COMPUTED_VALUE"""),"RESOLVED")</f>
        <v>RESOLVED</v>
      </c>
      <c r="E89" s="6">
        <f>IFERROR(__xludf.DUMMYFUNCTION("""COMPUTED_VALUE"""),43532.37465277778)</f>
        <v>43532.37465</v>
      </c>
      <c r="F89" s="4" t="str">
        <f>IFERROR(__xludf.DUMMYFUNCTION("""COMPUTED_VALUE""")," ---")</f>
        <v> ---</v>
      </c>
      <c r="G89" s="4" t="str">
        <f>IFERROR(__xludf.DUMMYFUNCTION("""COMPUTED_VALUE"""),"SUSE Linux Enterprise Server 15 SP1")</f>
        <v>SUSE Linux Enterprise Server 15 SP1</v>
      </c>
      <c r="H89" s="7" t="str">
        <f t="shared" si="2"/>
        <v>NO</v>
      </c>
      <c r="I89" s="7" t="str">
        <f t="shared" si="3"/>
        <v>NO</v>
      </c>
    </row>
    <row r="90">
      <c r="A90" s="4">
        <f>IFERROR(__xludf.DUMMYFUNCTION("""COMPUTED_VALUE"""),1129378.0)</f>
        <v>1129378</v>
      </c>
      <c r="B90" s="4" t="str">
        <f>IFERROR(__xludf.DUMMYFUNCTION("""COMPUTED_VALUE"""),"P2 - High")</f>
        <v>P2 - High</v>
      </c>
      <c r="C90" s="5">
        <f>IFERROR(__xludf.DUMMYFUNCTION("""COMPUTED_VALUE"""),43539.39011574074)</f>
        <v>43539.39012</v>
      </c>
      <c r="D90" s="4" t="str">
        <f>IFERROR(__xludf.DUMMYFUNCTION("""COMPUTED_VALUE"""),"RESOLVED")</f>
        <v>RESOLVED</v>
      </c>
      <c r="E90" s="6">
        <f>IFERROR(__xludf.DUMMYFUNCTION("""COMPUTED_VALUE"""),43565.302824074075)</f>
        <v>43565.30282</v>
      </c>
      <c r="F90" s="4" t="str">
        <f>IFERROR(__xludf.DUMMYFUNCTION("""COMPUTED_VALUE"""),"No")</f>
        <v>No</v>
      </c>
      <c r="G90" s="4" t="str">
        <f>IFERROR(__xludf.DUMMYFUNCTION("""COMPUTED_VALUE"""),"SUSE Linux Enterprise Server 15 SP1")</f>
        <v>SUSE Linux Enterprise Server 15 SP1</v>
      </c>
      <c r="H90" s="7" t="str">
        <f t="shared" si="2"/>
        <v>NO</v>
      </c>
      <c r="I90" s="7" t="str">
        <f t="shared" si="3"/>
        <v>NO</v>
      </c>
    </row>
    <row r="91">
      <c r="A91" s="4">
        <f>IFERROR(__xludf.DUMMYFUNCTION("""COMPUTED_VALUE"""),1132083.0)</f>
        <v>1132083</v>
      </c>
      <c r="B91" s="4" t="str">
        <f>IFERROR(__xludf.DUMMYFUNCTION("""COMPUTED_VALUE"""),"P2 - High")</f>
        <v>P2 - High</v>
      </c>
      <c r="C91" s="5">
        <f>IFERROR(__xludf.DUMMYFUNCTION("""COMPUTED_VALUE"""),43565.45365740741)</f>
        <v>43565.45366</v>
      </c>
      <c r="D91" s="4" t="str">
        <f>IFERROR(__xludf.DUMMYFUNCTION("""COMPUTED_VALUE"""),"RESOLVED")</f>
        <v>RESOLVED</v>
      </c>
      <c r="E91" s="6">
        <f>IFERROR(__xludf.DUMMYFUNCTION("""COMPUTED_VALUE"""),44624.89246527778)</f>
        <v>44624.89247</v>
      </c>
      <c r="F91" s="4" t="str">
        <f>IFERROR(__xludf.DUMMYFUNCTION("""COMPUTED_VALUE""")," ---")</f>
        <v> ---</v>
      </c>
      <c r="G91" s="4" t="str">
        <f>IFERROR(__xludf.DUMMYFUNCTION("""COMPUTED_VALUE"""),"SUSE Linux Enterprise Server 15 SP1")</f>
        <v>SUSE Linux Enterprise Server 15 SP1</v>
      </c>
      <c r="H91" s="7" t="str">
        <f t="shared" si="2"/>
        <v>NO</v>
      </c>
      <c r="I91" s="7" t="str">
        <f t="shared" si="3"/>
        <v>NO</v>
      </c>
    </row>
    <row r="92">
      <c r="A92" s="4">
        <f>IFERROR(__xludf.DUMMYFUNCTION("""COMPUTED_VALUE"""),1133074.0)</f>
        <v>1133074</v>
      </c>
      <c r="B92" s="4" t="str">
        <f>IFERROR(__xludf.DUMMYFUNCTION("""COMPUTED_VALUE"""),"P2 - High")</f>
        <v>P2 - High</v>
      </c>
      <c r="C92" s="5">
        <f>IFERROR(__xludf.DUMMYFUNCTION("""COMPUTED_VALUE"""),43578.44106481481)</f>
        <v>43578.44106</v>
      </c>
      <c r="D92" s="4" t="str">
        <f>IFERROR(__xludf.DUMMYFUNCTION("""COMPUTED_VALUE"""),"RESOLVED")</f>
        <v>RESOLVED</v>
      </c>
      <c r="E92" s="6">
        <f>IFERROR(__xludf.DUMMYFUNCTION("""COMPUTED_VALUE"""),43595.44328703704)</f>
        <v>43595.44329</v>
      </c>
      <c r="F92" s="4" t="str">
        <f>IFERROR(__xludf.DUMMYFUNCTION("""COMPUTED_VALUE""")," ---")</f>
        <v> ---</v>
      </c>
      <c r="G92" s="4" t="str">
        <f>IFERROR(__xludf.DUMMYFUNCTION("""COMPUTED_VALUE"""),"SUSE Linux Enterprise Server 15 SP1")</f>
        <v>SUSE Linux Enterprise Server 15 SP1</v>
      </c>
      <c r="H92" s="7" t="str">
        <f t="shared" si="2"/>
        <v>NO</v>
      </c>
      <c r="I92" s="7" t="str">
        <f t="shared" si="3"/>
        <v>NO</v>
      </c>
    </row>
    <row r="93">
      <c r="A93" s="4">
        <f>IFERROR(__xludf.DUMMYFUNCTION("""COMPUTED_VALUE"""),1133480.0)</f>
        <v>1133480</v>
      </c>
      <c r="B93" s="4" t="str">
        <f>IFERROR(__xludf.DUMMYFUNCTION("""COMPUTED_VALUE"""),"P2 - High")</f>
        <v>P2 - High</v>
      </c>
      <c r="C93" s="5">
        <f>IFERROR(__xludf.DUMMYFUNCTION("""COMPUTED_VALUE"""),43581.305983796294)</f>
        <v>43581.30598</v>
      </c>
      <c r="D93" s="4" t="str">
        <f>IFERROR(__xludf.DUMMYFUNCTION("""COMPUTED_VALUE"""),"RESOLVED")</f>
        <v>RESOLVED</v>
      </c>
      <c r="E93" s="6">
        <f>IFERROR(__xludf.DUMMYFUNCTION("""COMPUTED_VALUE"""),43606.48018518519)</f>
        <v>43606.48019</v>
      </c>
      <c r="F93" s="4" t="str">
        <f>IFERROR(__xludf.DUMMYFUNCTION("""COMPUTED_VALUE""")," ---")</f>
        <v> ---</v>
      </c>
      <c r="G93" s="4" t="str">
        <f>IFERROR(__xludf.DUMMYFUNCTION("""COMPUTED_VALUE"""),"SUSE Linux Enterprise Server 15 SP1")</f>
        <v>SUSE Linux Enterprise Server 15 SP1</v>
      </c>
      <c r="H93" s="7" t="str">
        <f t="shared" si="2"/>
        <v>NO</v>
      </c>
      <c r="I93" s="7" t="str">
        <f t="shared" si="3"/>
        <v>NO</v>
      </c>
    </row>
    <row r="94">
      <c r="A94" s="4">
        <f>IFERROR(__xludf.DUMMYFUNCTION("""COMPUTED_VALUE"""),1135297.0)</f>
        <v>1135297</v>
      </c>
      <c r="B94" s="4" t="str">
        <f>IFERROR(__xludf.DUMMYFUNCTION("""COMPUTED_VALUE"""),"P2 - High")</f>
        <v>P2 - High</v>
      </c>
      <c r="C94" s="5">
        <f>IFERROR(__xludf.DUMMYFUNCTION("""COMPUTED_VALUE"""),43601.33925925926)</f>
        <v>43601.33926</v>
      </c>
      <c r="D94" s="4" t="str">
        <f>IFERROR(__xludf.DUMMYFUNCTION("""COMPUTED_VALUE"""),"RESOLVED")</f>
        <v>RESOLVED</v>
      </c>
      <c r="E94" s="6">
        <f>IFERROR(__xludf.DUMMYFUNCTION("""COMPUTED_VALUE"""),43781.32832175926)</f>
        <v>43781.32832</v>
      </c>
      <c r="F94" s="4" t="str">
        <f>IFERROR(__xludf.DUMMYFUNCTION("""COMPUTED_VALUE""")," ---")</f>
        <v> ---</v>
      </c>
      <c r="G94" s="4" t="str">
        <f>IFERROR(__xludf.DUMMYFUNCTION("""COMPUTED_VALUE"""),"SUSE Linux Enterprise Server 15 SP1")</f>
        <v>SUSE Linux Enterprise Server 15 SP1</v>
      </c>
      <c r="H94" s="7" t="str">
        <f t="shared" si="2"/>
        <v>NO</v>
      </c>
      <c r="I94" s="7" t="str">
        <f t="shared" si="3"/>
        <v>NO</v>
      </c>
    </row>
    <row r="95">
      <c r="A95" s="4">
        <f>IFERROR(__xludf.DUMMYFUNCTION("""COMPUTED_VALUE"""),1135480.0)</f>
        <v>1135480</v>
      </c>
      <c r="B95" s="4" t="str">
        <f>IFERROR(__xludf.DUMMYFUNCTION("""COMPUTED_VALUE"""),"P2 - High")</f>
        <v>P2 - High</v>
      </c>
      <c r="C95" s="5">
        <f>IFERROR(__xludf.DUMMYFUNCTION("""COMPUTED_VALUE"""),43602.475810185184)</f>
        <v>43602.47581</v>
      </c>
      <c r="D95" s="4" t="str">
        <f>IFERROR(__xludf.DUMMYFUNCTION("""COMPUTED_VALUE"""),"RESOLVED")</f>
        <v>RESOLVED</v>
      </c>
      <c r="E95" s="6">
        <f>IFERROR(__xludf.DUMMYFUNCTION("""COMPUTED_VALUE"""),43866.8908912037)</f>
        <v>43866.89089</v>
      </c>
      <c r="F95" s="4" t="str">
        <f>IFERROR(__xludf.DUMMYFUNCTION("""COMPUTED_VALUE""")," ---")</f>
        <v> ---</v>
      </c>
      <c r="G95" s="4" t="str">
        <f>IFERROR(__xludf.DUMMYFUNCTION("""COMPUTED_VALUE"""),"SUSE Linux Enterprise Server 15 SP1")</f>
        <v>SUSE Linux Enterprise Server 15 SP1</v>
      </c>
      <c r="H95" s="7" t="str">
        <f t="shared" si="2"/>
        <v>NO</v>
      </c>
      <c r="I95" s="7" t="str">
        <f t="shared" si="3"/>
        <v>NO</v>
      </c>
    </row>
    <row r="96">
      <c r="A96" s="4">
        <f>IFERROR(__xludf.DUMMYFUNCTION("""COMPUTED_VALUE"""),1136060.0)</f>
        <v>1136060</v>
      </c>
      <c r="B96" s="4" t="str">
        <f>IFERROR(__xludf.DUMMYFUNCTION("""COMPUTED_VALUE"""),"P2 - High")</f>
        <v>P2 - High</v>
      </c>
      <c r="C96" s="5">
        <f>IFERROR(__xludf.DUMMYFUNCTION("""COMPUTED_VALUE"""),43608.47268518519)</f>
        <v>43608.47269</v>
      </c>
      <c r="D96" s="4" t="str">
        <f>IFERROR(__xludf.DUMMYFUNCTION("""COMPUTED_VALUE"""),"RESOLVED")</f>
        <v>RESOLVED</v>
      </c>
      <c r="E96" s="6">
        <f>IFERROR(__xludf.DUMMYFUNCTION("""COMPUTED_VALUE"""),43781.67868055555)</f>
        <v>43781.67868</v>
      </c>
      <c r="F96" s="4" t="str">
        <f>IFERROR(__xludf.DUMMYFUNCTION("""COMPUTED_VALUE""")," ---")</f>
        <v> ---</v>
      </c>
      <c r="G96" s="4" t="str">
        <f>IFERROR(__xludf.DUMMYFUNCTION("""COMPUTED_VALUE"""),"SUSE Linux Enterprise Server 15 SP1")</f>
        <v>SUSE Linux Enterprise Server 15 SP1</v>
      </c>
      <c r="H96" s="7" t="str">
        <f t="shared" si="2"/>
        <v>NO</v>
      </c>
      <c r="I96" s="7" t="str">
        <f t="shared" si="3"/>
        <v>NO</v>
      </c>
    </row>
    <row r="97">
      <c r="A97" s="4">
        <f>IFERROR(__xludf.DUMMYFUNCTION("""COMPUTED_VALUE"""),1137223.0)</f>
        <v>1137223</v>
      </c>
      <c r="B97" s="4" t="str">
        <f>IFERROR(__xludf.DUMMYFUNCTION("""COMPUTED_VALUE"""),"P2 - High")</f>
        <v>P2 - High</v>
      </c>
      <c r="C97" s="5">
        <f>IFERROR(__xludf.DUMMYFUNCTION("""COMPUTED_VALUE"""),43620.45274305555)</f>
        <v>43620.45274</v>
      </c>
      <c r="D97" s="4" t="str">
        <f>IFERROR(__xludf.DUMMYFUNCTION("""COMPUTED_VALUE"""),"RESOLVED")</f>
        <v>RESOLVED</v>
      </c>
      <c r="E97" s="6">
        <f>IFERROR(__xludf.DUMMYFUNCTION("""COMPUTED_VALUE"""),43899.599490740744)</f>
        <v>43899.59949</v>
      </c>
      <c r="F97" s="4" t="str">
        <f>IFERROR(__xludf.DUMMYFUNCTION("""COMPUTED_VALUE""")," ---")</f>
        <v> ---</v>
      </c>
      <c r="G97" s="4" t="str">
        <f>IFERROR(__xludf.DUMMYFUNCTION("""COMPUTED_VALUE"""),"SUSE Linux Enterprise Server 15 SP1")</f>
        <v>SUSE Linux Enterprise Server 15 SP1</v>
      </c>
      <c r="H97" s="7" t="str">
        <f t="shared" si="2"/>
        <v>NO</v>
      </c>
      <c r="I97" s="7" t="str">
        <f t="shared" si="3"/>
        <v>NO</v>
      </c>
    </row>
    <row r="98">
      <c r="A98" s="4">
        <f>IFERROR(__xludf.DUMMYFUNCTION("""COMPUTED_VALUE"""),1139137.0)</f>
        <v>1139137</v>
      </c>
      <c r="B98" s="4" t="str">
        <f>IFERROR(__xludf.DUMMYFUNCTION("""COMPUTED_VALUE"""),"P2 - High")</f>
        <v>P2 - High</v>
      </c>
      <c r="C98" s="5">
        <f>IFERROR(__xludf.DUMMYFUNCTION("""COMPUTED_VALUE"""),43640.522569444445)</f>
        <v>43640.52257</v>
      </c>
      <c r="D98" s="4" t="str">
        <f>IFERROR(__xludf.DUMMYFUNCTION("""COMPUTED_VALUE"""),"RESOLVED")</f>
        <v>RESOLVED</v>
      </c>
      <c r="E98" s="6">
        <f>IFERROR(__xludf.DUMMYFUNCTION("""COMPUTED_VALUE"""),43747.57456018519)</f>
        <v>43747.57456</v>
      </c>
      <c r="F98" s="4" t="str">
        <f>IFERROR(__xludf.DUMMYFUNCTION("""COMPUTED_VALUE""")," ---")</f>
        <v> ---</v>
      </c>
      <c r="G98" s="4" t="str">
        <f>IFERROR(__xludf.DUMMYFUNCTION("""COMPUTED_VALUE"""),"SUSE Linux Enterprise Server 15 SP1")</f>
        <v>SUSE Linux Enterprise Server 15 SP1</v>
      </c>
      <c r="H98" s="7" t="str">
        <f t="shared" si="2"/>
        <v>NO</v>
      </c>
      <c r="I98" s="7" t="str">
        <f t="shared" si="3"/>
        <v>NO</v>
      </c>
    </row>
    <row r="99">
      <c r="A99" s="4">
        <f>IFERROR(__xludf.DUMMYFUNCTION("""COMPUTED_VALUE"""),1122952.0)</f>
        <v>1122952</v>
      </c>
      <c r="B99" s="4" t="str">
        <f>IFERROR(__xludf.DUMMYFUNCTION("""COMPUTED_VALUE"""),"P2 - High")</f>
        <v>P2 - High</v>
      </c>
      <c r="C99" s="5">
        <f>IFERROR(__xludf.DUMMYFUNCTION("""COMPUTED_VALUE"""),43489.00997685185)</f>
        <v>43489.00998</v>
      </c>
      <c r="D99" s="4" t="str">
        <f>IFERROR(__xludf.DUMMYFUNCTION("""COMPUTED_VALUE"""),"RESOLVED")</f>
        <v>RESOLVED</v>
      </c>
      <c r="E99" s="6">
        <f>IFERROR(__xludf.DUMMYFUNCTION("""COMPUTED_VALUE"""),43630.63177083333)</f>
        <v>43630.63177</v>
      </c>
      <c r="F99" s="4" t="str">
        <f>IFERROR(__xludf.DUMMYFUNCTION("""COMPUTED_VALUE""")," ---")</f>
        <v> ---</v>
      </c>
      <c r="G99" s="4" t="str">
        <f>IFERROR(__xludf.DUMMYFUNCTION("""COMPUTED_VALUE"""),"SUSE Linux Enterprise Server 15 SP1")</f>
        <v>SUSE Linux Enterprise Server 15 SP1</v>
      </c>
      <c r="H99" s="7" t="str">
        <f t="shared" si="2"/>
        <v>NO</v>
      </c>
      <c r="I99" s="7" t="str">
        <f t="shared" si="3"/>
        <v>NO</v>
      </c>
    </row>
    <row r="100">
      <c r="A100" s="4">
        <f>IFERROR(__xludf.DUMMYFUNCTION("""COMPUTED_VALUE"""),1125704.0)</f>
        <v>1125704</v>
      </c>
      <c r="B100" s="4" t="str">
        <f>IFERROR(__xludf.DUMMYFUNCTION("""COMPUTED_VALUE"""),"P2 - High")</f>
        <v>P2 - High</v>
      </c>
      <c r="C100" s="5">
        <f>IFERROR(__xludf.DUMMYFUNCTION("""COMPUTED_VALUE"""),43514.2528125)</f>
        <v>43514.25281</v>
      </c>
      <c r="D100" s="4" t="str">
        <f>IFERROR(__xludf.DUMMYFUNCTION("""COMPUTED_VALUE"""),"RESOLVED")</f>
        <v>RESOLVED</v>
      </c>
      <c r="E100" s="6">
        <f>IFERROR(__xludf.DUMMYFUNCTION("""COMPUTED_VALUE"""),43525.81454861111)</f>
        <v>43525.81455</v>
      </c>
      <c r="F100" s="4" t="str">
        <f>IFERROR(__xludf.DUMMYFUNCTION("""COMPUTED_VALUE""")," ---")</f>
        <v> ---</v>
      </c>
      <c r="G100" s="4" t="str">
        <f>IFERROR(__xludf.DUMMYFUNCTION("""COMPUTED_VALUE"""),"Beta SUSE Linux Enterprise Server 15 SP1")</f>
        <v>Beta SUSE Linux Enterprise Server 15 SP1</v>
      </c>
      <c r="H100" s="7" t="str">
        <f t="shared" si="2"/>
        <v>NO</v>
      </c>
      <c r="I100" s="7" t="str">
        <f t="shared" si="3"/>
        <v>NO</v>
      </c>
    </row>
    <row r="101">
      <c r="A101" s="4">
        <f>IFERROR(__xludf.DUMMYFUNCTION("""COMPUTED_VALUE"""),1127363.0)</f>
        <v>1127363</v>
      </c>
      <c r="B101" s="4" t="str">
        <f>IFERROR(__xludf.DUMMYFUNCTION("""COMPUTED_VALUE"""),"P2 - High")</f>
        <v>P2 - High</v>
      </c>
      <c r="C101" s="5">
        <f>IFERROR(__xludf.DUMMYFUNCTION("""COMPUTED_VALUE"""),43524.525555555556)</f>
        <v>43524.52556</v>
      </c>
      <c r="D101" s="4" t="str">
        <f>IFERROR(__xludf.DUMMYFUNCTION("""COMPUTED_VALUE"""),"RESOLVED")</f>
        <v>RESOLVED</v>
      </c>
      <c r="E101" s="6">
        <f>IFERROR(__xludf.DUMMYFUNCTION("""COMPUTED_VALUE"""),44624.88805555556)</f>
        <v>44624.88806</v>
      </c>
      <c r="F101" s="4" t="str">
        <f>IFERROR(__xludf.DUMMYFUNCTION("""COMPUTED_VALUE""")," ---")</f>
        <v> ---</v>
      </c>
      <c r="G101" s="4" t="str">
        <f>IFERROR(__xludf.DUMMYFUNCTION("""COMPUTED_VALUE"""),"SUSE Linux Enterprise Server 15 SP1")</f>
        <v>SUSE Linux Enterprise Server 15 SP1</v>
      </c>
      <c r="H101" s="7" t="str">
        <f t="shared" si="2"/>
        <v>NO</v>
      </c>
      <c r="I101" s="7" t="str">
        <f t="shared" si="3"/>
        <v>NO</v>
      </c>
    </row>
    <row r="102">
      <c r="A102" s="4">
        <f>IFERROR(__xludf.DUMMYFUNCTION("""COMPUTED_VALUE"""),1127913.0)</f>
        <v>1127913</v>
      </c>
      <c r="B102" s="4" t="str">
        <f>IFERROR(__xludf.DUMMYFUNCTION("""COMPUTED_VALUE"""),"P2 - High")</f>
        <v>P2 - High</v>
      </c>
      <c r="C102" s="5">
        <f>IFERROR(__xludf.DUMMYFUNCTION("""COMPUTED_VALUE"""),43529.516493055555)</f>
        <v>43529.51649</v>
      </c>
      <c r="D102" s="4" t="str">
        <f>IFERROR(__xludf.DUMMYFUNCTION("""COMPUTED_VALUE"""),"RESOLVED")</f>
        <v>RESOLVED</v>
      </c>
      <c r="E102" s="6">
        <f>IFERROR(__xludf.DUMMYFUNCTION("""COMPUTED_VALUE"""),43593.67460648148)</f>
        <v>43593.67461</v>
      </c>
      <c r="F102" s="4" t="str">
        <f>IFERROR(__xludf.DUMMYFUNCTION("""COMPUTED_VALUE""")," ---")</f>
        <v> ---</v>
      </c>
      <c r="G102" s="4" t="str">
        <f>IFERROR(__xludf.DUMMYFUNCTION("""COMPUTED_VALUE"""),"SUSE Linux Enterprise Server 15 SP1")</f>
        <v>SUSE Linux Enterprise Server 15 SP1</v>
      </c>
      <c r="H102" s="7" t="str">
        <f t="shared" si="2"/>
        <v>NO</v>
      </c>
      <c r="I102" s="7" t="str">
        <f t="shared" si="3"/>
        <v>NO</v>
      </c>
    </row>
    <row r="103">
      <c r="A103" s="4">
        <f>IFERROR(__xludf.DUMMYFUNCTION("""COMPUTED_VALUE"""),1137454.0)</f>
        <v>1137454</v>
      </c>
      <c r="B103" s="4" t="str">
        <f>IFERROR(__xludf.DUMMYFUNCTION("""COMPUTED_VALUE"""),"P2 - High")</f>
        <v>P2 - High</v>
      </c>
      <c r="C103" s="5">
        <f>IFERROR(__xludf.DUMMYFUNCTION("""COMPUTED_VALUE"""),43622.370300925926)</f>
        <v>43622.3703</v>
      </c>
      <c r="D103" s="4" t="str">
        <f>IFERROR(__xludf.DUMMYFUNCTION("""COMPUTED_VALUE"""),"RESOLVED")</f>
        <v>RESOLVED</v>
      </c>
      <c r="E103" s="6">
        <f>IFERROR(__xludf.DUMMYFUNCTION("""COMPUTED_VALUE"""),43635.68604166667)</f>
        <v>43635.68604</v>
      </c>
      <c r="F103" s="4" t="str">
        <f>IFERROR(__xludf.DUMMYFUNCTION("""COMPUTED_VALUE""")," ---")</f>
        <v> ---</v>
      </c>
      <c r="G103" s="4" t="str">
        <f>IFERROR(__xludf.DUMMYFUNCTION("""COMPUTED_VALUE"""),"Beta SUSE Linux Enterprise Server 15 SP1")</f>
        <v>Beta SUSE Linux Enterprise Server 15 SP1</v>
      </c>
      <c r="H103" s="7" t="str">
        <f t="shared" si="2"/>
        <v>NO</v>
      </c>
      <c r="I103" s="7" t="str">
        <f t="shared" si="3"/>
        <v>NO</v>
      </c>
    </row>
    <row r="104">
      <c r="A104" s="4">
        <f>IFERROR(__xludf.DUMMYFUNCTION("""COMPUTED_VALUE"""),1125803.0)</f>
        <v>1125803</v>
      </c>
      <c r="B104" s="4" t="str">
        <f>IFERROR(__xludf.DUMMYFUNCTION("""COMPUTED_VALUE"""),"P2 - High")</f>
        <v>P2 - High</v>
      </c>
      <c r="C104" s="5">
        <f>IFERROR(__xludf.DUMMYFUNCTION("""COMPUTED_VALUE"""),43514.64519675926)</f>
        <v>43514.6452</v>
      </c>
      <c r="D104" s="4" t="str">
        <f>IFERROR(__xludf.DUMMYFUNCTION("""COMPUTED_VALUE"""),"RESOLVED")</f>
        <v>RESOLVED</v>
      </c>
      <c r="E104" s="6">
        <f>IFERROR(__xludf.DUMMYFUNCTION("""COMPUTED_VALUE"""),43630.63313657408)</f>
        <v>43630.63314</v>
      </c>
      <c r="F104" s="4" t="str">
        <f>IFERROR(__xludf.DUMMYFUNCTION("""COMPUTED_VALUE""")," ---")</f>
        <v> ---</v>
      </c>
      <c r="G104" s="4" t="str">
        <f>IFERROR(__xludf.DUMMYFUNCTION("""COMPUTED_VALUE"""),"SUSE Linux Enterprise Server 15 SP1")</f>
        <v>SUSE Linux Enterprise Server 15 SP1</v>
      </c>
      <c r="H104" s="7" t="str">
        <f t="shared" si="2"/>
        <v>NO</v>
      </c>
      <c r="I104" s="7" t="str">
        <f t="shared" si="3"/>
        <v>NO</v>
      </c>
    </row>
    <row r="105">
      <c r="A105" s="4">
        <f>IFERROR(__xludf.DUMMYFUNCTION("""COMPUTED_VALUE"""),1125805.0)</f>
        <v>1125805</v>
      </c>
      <c r="B105" s="4" t="str">
        <f>IFERROR(__xludf.DUMMYFUNCTION("""COMPUTED_VALUE"""),"P2 - High")</f>
        <v>P2 - High</v>
      </c>
      <c r="C105" s="5">
        <f>IFERROR(__xludf.DUMMYFUNCTION("""COMPUTED_VALUE"""),43514.645462962966)</f>
        <v>43514.64546</v>
      </c>
      <c r="D105" s="4" t="str">
        <f>IFERROR(__xludf.DUMMYFUNCTION("""COMPUTED_VALUE"""),"RESOLVED")</f>
        <v>RESOLVED</v>
      </c>
      <c r="E105" s="6">
        <f>IFERROR(__xludf.DUMMYFUNCTION("""COMPUTED_VALUE"""),43630.63317129629)</f>
        <v>43630.63317</v>
      </c>
      <c r="F105" s="4" t="str">
        <f>IFERROR(__xludf.DUMMYFUNCTION("""COMPUTED_VALUE""")," ---")</f>
        <v> ---</v>
      </c>
      <c r="G105" s="4" t="str">
        <f>IFERROR(__xludf.DUMMYFUNCTION("""COMPUTED_VALUE"""),"SUSE Linux Enterprise Server 15 SP1")</f>
        <v>SUSE Linux Enterprise Server 15 SP1</v>
      </c>
      <c r="H105" s="7" t="str">
        <f t="shared" si="2"/>
        <v>NO</v>
      </c>
      <c r="I105" s="7" t="str">
        <f t="shared" si="3"/>
        <v>NO</v>
      </c>
    </row>
    <row r="106">
      <c r="A106" s="4">
        <f>IFERROR(__xludf.DUMMYFUNCTION("""COMPUTED_VALUE"""),1125806.0)</f>
        <v>1125806</v>
      </c>
      <c r="B106" s="4" t="str">
        <f>IFERROR(__xludf.DUMMYFUNCTION("""COMPUTED_VALUE"""),"P2 - High")</f>
        <v>P2 - High</v>
      </c>
      <c r="C106" s="5">
        <f>IFERROR(__xludf.DUMMYFUNCTION("""COMPUTED_VALUE"""),43514.64569444444)</f>
        <v>43514.64569</v>
      </c>
      <c r="D106" s="4" t="str">
        <f>IFERROR(__xludf.DUMMYFUNCTION("""COMPUTED_VALUE"""),"RESOLVED")</f>
        <v>RESOLVED</v>
      </c>
      <c r="E106" s="6">
        <f>IFERROR(__xludf.DUMMYFUNCTION("""COMPUTED_VALUE"""),43630.633206018516)</f>
        <v>43630.63321</v>
      </c>
      <c r="F106" s="4" t="str">
        <f>IFERROR(__xludf.DUMMYFUNCTION("""COMPUTED_VALUE""")," ---")</f>
        <v> ---</v>
      </c>
      <c r="G106" s="4" t="str">
        <f>IFERROR(__xludf.DUMMYFUNCTION("""COMPUTED_VALUE"""),"SUSE Linux Enterprise Server 15 SP1")</f>
        <v>SUSE Linux Enterprise Server 15 SP1</v>
      </c>
      <c r="H106" s="7" t="str">
        <f t="shared" si="2"/>
        <v>NO</v>
      </c>
      <c r="I106" s="7" t="str">
        <f t="shared" si="3"/>
        <v>NO</v>
      </c>
    </row>
    <row r="107">
      <c r="A107" s="4">
        <f>IFERROR(__xludf.DUMMYFUNCTION("""COMPUTED_VALUE"""),1134743.0)</f>
        <v>1134743</v>
      </c>
      <c r="B107" s="4" t="str">
        <f>IFERROR(__xludf.DUMMYFUNCTION("""COMPUTED_VALUE"""),"P2 - High")</f>
        <v>P2 - High</v>
      </c>
      <c r="C107" s="5">
        <f>IFERROR(__xludf.DUMMYFUNCTION("""COMPUTED_VALUE"""),43595.60710648148)</f>
        <v>43595.60711</v>
      </c>
      <c r="D107" s="4" t="str">
        <f>IFERROR(__xludf.DUMMYFUNCTION("""COMPUTED_VALUE"""),"RESOLVED")</f>
        <v>RESOLVED</v>
      </c>
      <c r="E107" s="6">
        <f>IFERROR(__xludf.DUMMYFUNCTION("""COMPUTED_VALUE"""),43731.94358796296)</f>
        <v>43731.94359</v>
      </c>
      <c r="F107" s="4" t="str">
        <f>IFERROR(__xludf.DUMMYFUNCTION("""COMPUTED_VALUE""")," ---")</f>
        <v> ---</v>
      </c>
      <c r="G107" s="4" t="str">
        <f>IFERROR(__xludf.DUMMYFUNCTION("""COMPUTED_VALUE"""),"SUSE Linux Enterprise Server 15 SP1")</f>
        <v>SUSE Linux Enterprise Server 15 SP1</v>
      </c>
      <c r="H107" s="7" t="str">
        <f t="shared" si="2"/>
        <v>NO</v>
      </c>
      <c r="I107" s="7" t="str">
        <f t="shared" si="3"/>
        <v>NO</v>
      </c>
    </row>
    <row r="108">
      <c r="A108" s="4">
        <f>IFERROR(__xludf.DUMMYFUNCTION("""COMPUTED_VALUE"""),1116665.0)</f>
        <v>1116665</v>
      </c>
      <c r="B108" s="4" t="str">
        <f>IFERROR(__xludf.DUMMYFUNCTION("""COMPUTED_VALUE"""),"P2 - High")</f>
        <v>P2 - High</v>
      </c>
      <c r="C108" s="5">
        <f>IFERROR(__xludf.DUMMYFUNCTION("""COMPUTED_VALUE"""),43424.37563657408)</f>
        <v>43424.37564</v>
      </c>
      <c r="D108" s="4" t="str">
        <f>IFERROR(__xludf.DUMMYFUNCTION("""COMPUTED_VALUE"""),"RESOLVED")</f>
        <v>RESOLVED</v>
      </c>
      <c r="E108" s="6">
        <f>IFERROR(__xludf.DUMMYFUNCTION("""COMPUTED_VALUE"""),43508.438043981485)</f>
        <v>43508.43804</v>
      </c>
      <c r="F108" s="4" t="str">
        <f>IFERROR(__xludf.DUMMYFUNCTION("""COMPUTED_VALUE""")," ---")</f>
        <v> ---</v>
      </c>
      <c r="G108" s="4" t="str">
        <f>IFERROR(__xludf.DUMMYFUNCTION("""COMPUTED_VALUE"""),"SUSE Linux Enterprise Server 15 SP1")</f>
        <v>SUSE Linux Enterprise Server 15 SP1</v>
      </c>
      <c r="H108" s="7" t="str">
        <f t="shared" si="2"/>
        <v>NO</v>
      </c>
      <c r="I108" s="7" t="str">
        <f t="shared" si="3"/>
        <v>NO</v>
      </c>
    </row>
    <row r="109">
      <c r="A109" s="4">
        <f>IFERROR(__xludf.DUMMYFUNCTION("""COMPUTED_VALUE"""),1119546.0)</f>
        <v>1119546</v>
      </c>
      <c r="B109" s="4" t="str">
        <f>IFERROR(__xludf.DUMMYFUNCTION("""COMPUTED_VALUE"""),"P2 - High")</f>
        <v>P2 - High</v>
      </c>
      <c r="C109" s="5">
        <f>IFERROR(__xludf.DUMMYFUNCTION("""COMPUTED_VALUE"""),43448.625127314815)</f>
        <v>43448.62513</v>
      </c>
      <c r="D109" s="4" t="str">
        <f>IFERROR(__xludf.DUMMYFUNCTION("""COMPUTED_VALUE"""),"RESOLVED")</f>
        <v>RESOLVED</v>
      </c>
      <c r="E109" s="6">
        <f>IFERROR(__xludf.DUMMYFUNCTION("""COMPUTED_VALUE"""),43630.6300462963)</f>
        <v>43630.63005</v>
      </c>
      <c r="F109" s="4" t="str">
        <f>IFERROR(__xludf.DUMMYFUNCTION("""COMPUTED_VALUE"""),"Yes")</f>
        <v>Yes</v>
      </c>
      <c r="G109" s="4" t="str">
        <f>IFERROR(__xludf.DUMMYFUNCTION("""COMPUTED_VALUE"""),"SUSE Linux Enterprise Server 15 SP1")</f>
        <v>SUSE Linux Enterprise Server 15 SP1</v>
      </c>
      <c r="H109" s="7" t="str">
        <f t="shared" si="2"/>
        <v>NO</v>
      </c>
      <c r="I109" s="7" t="str">
        <f t="shared" si="3"/>
        <v>NO</v>
      </c>
    </row>
    <row r="110">
      <c r="A110" s="4">
        <f>IFERROR(__xludf.DUMMYFUNCTION("""COMPUTED_VALUE"""),1121996.0)</f>
        <v>1121996</v>
      </c>
      <c r="B110" s="4" t="str">
        <f>IFERROR(__xludf.DUMMYFUNCTION("""COMPUTED_VALUE"""),"P2 - High")</f>
        <v>P2 - High</v>
      </c>
      <c r="C110" s="5">
        <f>IFERROR(__xludf.DUMMYFUNCTION("""COMPUTED_VALUE"""),43480.54194444444)</f>
        <v>43480.54194</v>
      </c>
      <c r="D110" s="4" t="str">
        <f>IFERROR(__xludf.DUMMYFUNCTION("""COMPUTED_VALUE"""),"RESOLVED")</f>
        <v>RESOLVED</v>
      </c>
      <c r="E110" s="6">
        <f>IFERROR(__xludf.DUMMYFUNCTION("""COMPUTED_VALUE"""),43630.631273148145)</f>
        <v>43630.63127</v>
      </c>
      <c r="F110" s="4" t="str">
        <f>IFERROR(__xludf.DUMMYFUNCTION("""COMPUTED_VALUE""")," ---")</f>
        <v> ---</v>
      </c>
      <c r="G110" s="4" t="str">
        <f>IFERROR(__xludf.DUMMYFUNCTION("""COMPUTED_VALUE"""),"SUSE Linux Enterprise Server 15 SP1")</f>
        <v>SUSE Linux Enterprise Server 15 SP1</v>
      </c>
      <c r="H110" s="7" t="str">
        <f t="shared" si="2"/>
        <v>NO</v>
      </c>
      <c r="I110" s="7" t="str">
        <f t="shared" si="3"/>
        <v>NO</v>
      </c>
    </row>
    <row r="111">
      <c r="A111" s="4">
        <f>IFERROR(__xludf.DUMMYFUNCTION("""COMPUTED_VALUE"""),1131634.0)</f>
        <v>1131634</v>
      </c>
      <c r="B111" s="4" t="str">
        <f>IFERROR(__xludf.DUMMYFUNCTION("""COMPUTED_VALUE"""),"P2 - High")</f>
        <v>P2 - High</v>
      </c>
      <c r="C111" s="5">
        <f>IFERROR(__xludf.DUMMYFUNCTION("""COMPUTED_VALUE"""),43560.19337962963)</f>
        <v>43560.19338</v>
      </c>
      <c r="D111" s="4" t="str">
        <f>IFERROR(__xludf.DUMMYFUNCTION("""COMPUTED_VALUE"""),"RESOLVED")</f>
        <v>RESOLVED</v>
      </c>
      <c r="E111" s="6">
        <f>IFERROR(__xludf.DUMMYFUNCTION("""COMPUTED_VALUE"""),43606.272372685184)</f>
        <v>43606.27237</v>
      </c>
      <c r="F111" s="4" t="str">
        <f>IFERROR(__xludf.DUMMYFUNCTION("""COMPUTED_VALUE""")," ---")</f>
        <v> ---</v>
      </c>
      <c r="G111" s="4" t="str">
        <f>IFERROR(__xludf.DUMMYFUNCTION("""COMPUTED_VALUE"""),"SUSE Linux Enterprise Server 15 SP1")</f>
        <v>SUSE Linux Enterprise Server 15 SP1</v>
      </c>
      <c r="H111" s="7" t="str">
        <f t="shared" si="2"/>
        <v>NO</v>
      </c>
      <c r="I111" s="7" t="str">
        <f t="shared" si="3"/>
        <v>NO</v>
      </c>
    </row>
    <row r="112">
      <c r="A112" s="4">
        <f>IFERROR(__xludf.DUMMYFUNCTION("""COMPUTED_VALUE"""),1106612.0)</f>
        <v>1106612</v>
      </c>
      <c r="B112" s="4" t="str">
        <f>IFERROR(__xludf.DUMMYFUNCTION("""COMPUTED_VALUE"""),"P2 - High")</f>
        <v>P2 - High</v>
      </c>
      <c r="C112" s="5">
        <f>IFERROR(__xludf.DUMMYFUNCTION("""COMPUTED_VALUE"""),43342.63538194444)</f>
        <v>43342.63538</v>
      </c>
      <c r="D112" s="4" t="str">
        <f>IFERROR(__xludf.DUMMYFUNCTION("""COMPUTED_VALUE"""),"RESOLVED")</f>
        <v>RESOLVED</v>
      </c>
      <c r="E112" s="6">
        <f>IFERROR(__xludf.DUMMYFUNCTION("""COMPUTED_VALUE"""),43532.59)</f>
        <v>43532.59</v>
      </c>
      <c r="F112" s="4" t="str">
        <f>IFERROR(__xludf.DUMMYFUNCTION("""COMPUTED_VALUE""")," ---")</f>
        <v> ---</v>
      </c>
      <c r="G112" s="4" t="str">
        <f>IFERROR(__xludf.DUMMYFUNCTION("""COMPUTED_VALUE"""),"SUSE Linux Enterprise Server 15 SP1")</f>
        <v>SUSE Linux Enterprise Server 15 SP1</v>
      </c>
      <c r="H112" s="7" t="str">
        <f t="shared" si="2"/>
        <v>NO</v>
      </c>
      <c r="I112" s="7" t="str">
        <f t="shared" si="3"/>
        <v>NO</v>
      </c>
    </row>
    <row r="113">
      <c r="A113" s="4">
        <f>IFERROR(__xludf.DUMMYFUNCTION("""COMPUTED_VALUE"""),1126215.0)</f>
        <v>1126215</v>
      </c>
      <c r="B113" s="4" t="str">
        <f>IFERROR(__xludf.DUMMYFUNCTION("""COMPUTED_VALUE"""),"P2 - High")</f>
        <v>P2 - High</v>
      </c>
      <c r="C113" s="5">
        <f>IFERROR(__xludf.DUMMYFUNCTION("""COMPUTED_VALUE"""),43517.33435185185)</f>
        <v>43517.33435</v>
      </c>
      <c r="D113" s="4" t="str">
        <f>IFERROR(__xludf.DUMMYFUNCTION("""COMPUTED_VALUE"""),"RESOLVED")</f>
        <v>RESOLVED</v>
      </c>
      <c r="E113" s="6">
        <f>IFERROR(__xludf.DUMMYFUNCTION("""COMPUTED_VALUE"""),44595.48159722222)</f>
        <v>44595.4816</v>
      </c>
      <c r="F113" s="4" t="str">
        <f>IFERROR(__xludf.DUMMYFUNCTION("""COMPUTED_VALUE""")," ---")</f>
        <v> ---</v>
      </c>
      <c r="G113" s="4" t="str">
        <f>IFERROR(__xludf.DUMMYFUNCTION("""COMPUTED_VALUE"""),"Beta SUSE Linux Enterprise Server 15 SP1")</f>
        <v>Beta SUSE Linux Enterprise Server 15 SP1</v>
      </c>
      <c r="H113" s="7" t="str">
        <f t="shared" si="2"/>
        <v>NO</v>
      </c>
      <c r="I113" s="7" t="str">
        <f t="shared" si="3"/>
        <v>NO</v>
      </c>
    </row>
    <row r="114">
      <c r="A114" s="4">
        <f>IFERROR(__xludf.DUMMYFUNCTION("""COMPUTED_VALUE"""),1126388.0)</f>
        <v>1126388</v>
      </c>
      <c r="B114" s="4" t="str">
        <f>IFERROR(__xludf.DUMMYFUNCTION("""COMPUTED_VALUE"""),"P2 - High")</f>
        <v>P2 - High</v>
      </c>
      <c r="C114" s="5">
        <f>IFERROR(__xludf.DUMMYFUNCTION("""COMPUTED_VALUE"""),43518.054756944446)</f>
        <v>43518.05476</v>
      </c>
      <c r="D114" s="4" t="str">
        <f>IFERROR(__xludf.DUMMYFUNCTION("""COMPUTED_VALUE"""),"RESOLVED")</f>
        <v>RESOLVED</v>
      </c>
      <c r="E114" s="6">
        <f>IFERROR(__xludf.DUMMYFUNCTION("""COMPUTED_VALUE"""),44595.48090277778)</f>
        <v>44595.4809</v>
      </c>
      <c r="F114" s="4" t="str">
        <f>IFERROR(__xludf.DUMMYFUNCTION("""COMPUTED_VALUE""")," ---")</f>
        <v> ---</v>
      </c>
      <c r="G114" s="4" t="str">
        <f>IFERROR(__xludf.DUMMYFUNCTION("""COMPUTED_VALUE"""),"SUSE Linux Enterprise Server 15 SP1")</f>
        <v>SUSE Linux Enterprise Server 15 SP1</v>
      </c>
      <c r="H114" s="7" t="str">
        <f t="shared" si="2"/>
        <v>NO</v>
      </c>
      <c r="I114" s="7" t="str">
        <f t="shared" si="3"/>
        <v>NO</v>
      </c>
    </row>
    <row r="115">
      <c r="A115" s="4">
        <f>IFERROR(__xludf.DUMMYFUNCTION("""COMPUTED_VALUE"""),1125240.0)</f>
        <v>1125240</v>
      </c>
      <c r="B115" s="4" t="str">
        <f>IFERROR(__xludf.DUMMYFUNCTION("""COMPUTED_VALUE"""),"P2 - High")</f>
        <v>P2 - High</v>
      </c>
      <c r="C115" s="5">
        <f>IFERROR(__xludf.DUMMYFUNCTION("""COMPUTED_VALUE"""),43509.32164351852)</f>
        <v>43509.32164</v>
      </c>
      <c r="D115" s="4" t="str">
        <f>IFERROR(__xludf.DUMMYFUNCTION("""COMPUTED_VALUE"""),"RESOLVED")</f>
        <v>RESOLVED</v>
      </c>
      <c r="E115" s="6">
        <f>IFERROR(__xludf.DUMMYFUNCTION("""COMPUTED_VALUE"""),44365.26228009259)</f>
        <v>44365.26228</v>
      </c>
      <c r="F115" s="4" t="str">
        <f>IFERROR(__xludf.DUMMYFUNCTION("""COMPUTED_VALUE""")," ---")</f>
        <v> ---</v>
      </c>
      <c r="G115" s="4" t="str">
        <f>IFERROR(__xludf.DUMMYFUNCTION("""COMPUTED_VALUE"""),"SUSE Linux Enterprise Server 15 SP1")</f>
        <v>SUSE Linux Enterprise Server 15 SP1</v>
      </c>
      <c r="H115" s="7" t="str">
        <f t="shared" si="2"/>
        <v>NO</v>
      </c>
      <c r="I115" s="7" t="str">
        <f t="shared" si="3"/>
        <v>NO</v>
      </c>
    </row>
    <row r="116">
      <c r="A116" s="4">
        <f>IFERROR(__xludf.DUMMYFUNCTION("""COMPUTED_VALUE"""),1129467.0)</f>
        <v>1129467</v>
      </c>
      <c r="B116" s="4" t="str">
        <f>IFERROR(__xludf.DUMMYFUNCTION("""COMPUTED_VALUE"""),"P2 - High")</f>
        <v>P2 - High</v>
      </c>
      <c r="C116" s="5">
        <f>IFERROR(__xludf.DUMMYFUNCTION("""COMPUTED_VALUE"""),43539.94293981481)</f>
        <v>43539.94294</v>
      </c>
      <c r="D116" s="4" t="str">
        <f>IFERROR(__xludf.DUMMYFUNCTION("""COMPUTED_VALUE"""),"RESOLVED")</f>
        <v>RESOLVED</v>
      </c>
      <c r="E116" s="6">
        <f>IFERROR(__xludf.DUMMYFUNCTION("""COMPUTED_VALUE"""),43574.302349537036)</f>
        <v>43574.30235</v>
      </c>
      <c r="F116" s="4" t="str">
        <f>IFERROR(__xludf.DUMMYFUNCTION("""COMPUTED_VALUE""")," ---")</f>
        <v> ---</v>
      </c>
      <c r="G116" s="4" t="str">
        <f>IFERROR(__xludf.DUMMYFUNCTION("""COMPUTED_VALUE"""),"SUSE Linux Enterprise Server 15 SP1")</f>
        <v>SUSE Linux Enterprise Server 15 SP1</v>
      </c>
      <c r="H116" s="7" t="str">
        <f t="shared" si="2"/>
        <v>NO</v>
      </c>
      <c r="I116" s="7" t="str">
        <f t="shared" si="3"/>
        <v>NO</v>
      </c>
    </row>
    <row r="117">
      <c r="A117" s="4">
        <f>IFERROR(__xludf.DUMMYFUNCTION("""COMPUTED_VALUE"""),1121581.0)</f>
        <v>1121581</v>
      </c>
      <c r="B117" s="4" t="str">
        <f>IFERROR(__xludf.DUMMYFUNCTION("""COMPUTED_VALUE"""),"P2 - High")</f>
        <v>P2 - High</v>
      </c>
      <c r="C117" s="5">
        <f>IFERROR(__xludf.DUMMYFUNCTION("""COMPUTED_VALUE"""),43476.44480324074)</f>
        <v>43476.4448</v>
      </c>
      <c r="D117" s="4" t="str">
        <f>IFERROR(__xludf.DUMMYFUNCTION("""COMPUTED_VALUE"""),"RESOLVED")</f>
        <v>RESOLVED</v>
      </c>
      <c r="E117" s="6">
        <f>IFERROR(__xludf.DUMMYFUNCTION("""COMPUTED_VALUE"""),43630.631157407406)</f>
        <v>43630.63116</v>
      </c>
      <c r="F117" s="4" t="str">
        <f>IFERROR(__xludf.DUMMYFUNCTION("""COMPUTED_VALUE""")," ---")</f>
        <v> ---</v>
      </c>
      <c r="G117" s="4" t="str">
        <f>IFERROR(__xludf.DUMMYFUNCTION("""COMPUTED_VALUE"""),"SUSE Linux Enterprise Server 15 SP1")</f>
        <v>SUSE Linux Enterprise Server 15 SP1</v>
      </c>
      <c r="H117" s="7" t="str">
        <f t="shared" si="2"/>
        <v>NO</v>
      </c>
      <c r="I117" s="7" t="str">
        <f t="shared" si="3"/>
        <v>NO</v>
      </c>
    </row>
    <row r="118">
      <c r="A118" s="4">
        <f>IFERROR(__xludf.DUMMYFUNCTION("""COMPUTED_VALUE"""),1127134.0)</f>
        <v>1127134</v>
      </c>
      <c r="B118" s="4" t="str">
        <f>IFERROR(__xludf.DUMMYFUNCTION("""COMPUTED_VALUE"""),"P2 - High")</f>
        <v>P2 - High</v>
      </c>
      <c r="C118" s="5">
        <f>IFERROR(__xludf.DUMMYFUNCTION("""COMPUTED_VALUE"""),43523.397731481484)</f>
        <v>43523.39773</v>
      </c>
      <c r="D118" s="4" t="str">
        <f>IFERROR(__xludf.DUMMYFUNCTION("""COMPUTED_VALUE"""),"RESOLVED")</f>
        <v>RESOLVED</v>
      </c>
      <c r="E118" s="6">
        <f>IFERROR(__xludf.DUMMYFUNCTION("""COMPUTED_VALUE"""),43538.3777662037)</f>
        <v>43538.37777</v>
      </c>
      <c r="F118" s="4" t="str">
        <f>IFERROR(__xludf.DUMMYFUNCTION("""COMPUTED_VALUE""")," ---")</f>
        <v> ---</v>
      </c>
      <c r="G118" s="4" t="str">
        <f>IFERROR(__xludf.DUMMYFUNCTION("""COMPUTED_VALUE"""),"SUSE Linux Enterprise Server 15 SP1")</f>
        <v>SUSE Linux Enterprise Server 15 SP1</v>
      </c>
      <c r="H118" s="7" t="str">
        <f t="shared" si="2"/>
        <v>NO</v>
      </c>
      <c r="I118" s="7" t="str">
        <f t="shared" si="3"/>
        <v>NO</v>
      </c>
    </row>
    <row r="119">
      <c r="A119" s="4">
        <f>IFERROR(__xludf.DUMMYFUNCTION("""COMPUTED_VALUE"""),1123751.0)</f>
        <v>1123751</v>
      </c>
      <c r="B119" s="4" t="str">
        <f>IFERROR(__xludf.DUMMYFUNCTION("""COMPUTED_VALUE"""),"P2 - High")</f>
        <v>P2 - High</v>
      </c>
      <c r="C119" s="5">
        <f>IFERROR(__xludf.DUMMYFUNCTION("""COMPUTED_VALUE"""),43495.95805555556)</f>
        <v>43495.95806</v>
      </c>
      <c r="D119" s="4" t="str">
        <f>IFERROR(__xludf.DUMMYFUNCTION("""COMPUTED_VALUE"""),"RESOLVED")</f>
        <v>RESOLVED</v>
      </c>
      <c r="E119" s="6">
        <f>IFERROR(__xludf.DUMMYFUNCTION("""COMPUTED_VALUE"""),43570.392384259256)</f>
        <v>43570.39238</v>
      </c>
      <c r="F119" s="4" t="str">
        <f>IFERROR(__xludf.DUMMYFUNCTION("""COMPUTED_VALUE""")," ---")</f>
        <v> ---</v>
      </c>
      <c r="G119" s="4" t="str">
        <f>IFERROR(__xludf.DUMMYFUNCTION("""COMPUTED_VALUE"""),"Beta SUSE Linux Enterprise Server 15 SP1")</f>
        <v>Beta SUSE Linux Enterprise Server 15 SP1</v>
      </c>
      <c r="H119" s="7" t="str">
        <f t="shared" si="2"/>
        <v>NO</v>
      </c>
      <c r="I119" s="7" t="str">
        <f t="shared" si="3"/>
        <v>NO</v>
      </c>
    </row>
    <row r="120">
      <c r="A120" s="4">
        <f>IFERROR(__xludf.DUMMYFUNCTION("""COMPUTED_VALUE"""),1136417.0)</f>
        <v>1136417</v>
      </c>
      <c r="B120" s="4" t="str">
        <f>IFERROR(__xludf.DUMMYFUNCTION("""COMPUTED_VALUE"""),"P2 - High")</f>
        <v>P2 - High</v>
      </c>
      <c r="C120" s="5">
        <f>IFERROR(__xludf.DUMMYFUNCTION("""COMPUTED_VALUE"""),43612.506689814814)</f>
        <v>43612.50669</v>
      </c>
      <c r="D120" s="4" t="str">
        <f>IFERROR(__xludf.DUMMYFUNCTION("""COMPUTED_VALUE"""),"RESOLVED")</f>
        <v>RESOLVED</v>
      </c>
      <c r="E120" s="6">
        <f>IFERROR(__xludf.DUMMYFUNCTION("""COMPUTED_VALUE"""),43689.60900462963)</f>
        <v>43689.609</v>
      </c>
      <c r="F120" s="4" t="str">
        <f>IFERROR(__xludf.DUMMYFUNCTION("""COMPUTED_VALUE""")," ---")</f>
        <v> ---</v>
      </c>
      <c r="G120" s="4" t="str">
        <f>IFERROR(__xludf.DUMMYFUNCTION("""COMPUTED_VALUE"""),"Beta SUSE Linux Enterprise Server 15 SP1")</f>
        <v>Beta SUSE Linux Enterprise Server 15 SP1</v>
      </c>
      <c r="H120" s="7" t="str">
        <f t="shared" si="2"/>
        <v>NO</v>
      </c>
      <c r="I120" s="7" t="str">
        <f t="shared" si="3"/>
        <v>NO</v>
      </c>
    </row>
    <row r="121">
      <c r="A121" s="4">
        <f>IFERROR(__xludf.DUMMYFUNCTION("""COMPUTED_VALUE"""),1120955.0)</f>
        <v>1120955</v>
      </c>
      <c r="B121" s="4" t="str">
        <f>IFERROR(__xludf.DUMMYFUNCTION("""COMPUTED_VALUE"""),"P2 - High")</f>
        <v>P2 - High</v>
      </c>
      <c r="C121" s="5">
        <f>IFERROR(__xludf.DUMMYFUNCTION("""COMPUTED_VALUE"""),43472.67387731482)</f>
        <v>43472.67388</v>
      </c>
      <c r="D121" s="4" t="str">
        <f>IFERROR(__xludf.DUMMYFUNCTION("""COMPUTED_VALUE"""),"RESOLVED")</f>
        <v>RESOLVED</v>
      </c>
      <c r="E121" s="6">
        <f>IFERROR(__xludf.DUMMYFUNCTION("""COMPUTED_VALUE"""),44624.883877314816)</f>
        <v>44624.88388</v>
      </c>
      <c r="F121" s="4" t="str">
        <f>IFERROR(__xludf.DUMMYFUNCTION("""COMPUTED_VALUE""")," ---")</f>
        <v> ---</v>
      </c>
      <c r="G121" s="4" t="str">
        <f>IFERROR(__xludf.DUMMYFUNCTION("""COMPUTED_VALUE"""),"SUSE Linux Enterprise Server 15 SP1")</f>
        <v>SUSE Linux Enterprise Server 15 SP1</v>
      </c>
      <c r="H121" s="7" t="str">
        <f t="shared" si="2"/>
        <v>NO</v>
      </c>
      <c r="I121" s="7" t="str">
        <f t="shared" si="3"/>
        <v>NO</v>
      </c>
    </row>
    <row r="122">
      <c r="A122" s="4">
        <f>IFERROR(__xludf.DUMMYFUNCTION("""COMPUTED_VALUE"""),1124167.0)</f>
        <v>1124167</v>
      </c>
      <c r="B122" s="4" t="str">
        <f>IFERROR(__xludf.DUMMYFUNCTION("""COMPUTED_VALUE"""),"P2 - High")</f>
        <v>P2 - High</v>
      </c>
      <c r="C122" s="5">
        <f>IFERROR(__xludf.DUMMYFUNCTION("""COMPUTED_VALUE"""),43500.57915509259)</f>
        <v>43500.57916</v>
      </c>
      <c r="D122" s="4" t="str">
        <f>IFERROR(__xludf.DUMMYFUNCTION("""COMPUTED_VALUE"""),"RESOLVED")</f>
        <v>RESOLVED</v>
      </c>
      <c r="E122" s="6">
        <f>IFERROR(__xludf.DUMMYFUNCTION("""COMPUTED_VALUE"""),44624.885613425926)</f>
        <v>44624.88561</v>
      </c>
      <c r="F122" s="4" t="str">
        <f>IFERROR(__xludf.DUMMYFUNCTION("""COMPUTED_VALUE"""),"Yes")</f>
        <v>Yes</v>
      </c>
      <c r="G122" s="4" t="str">
        <f>IFERROR(__xludf.DUMMYFUNCTION("""COMPUTED_VALUE"""),"SUSE Linux Enterprise Server 15 SP1")</f>
        <v>SUSE Linux Enterprise Server 15 SP1</v>
      </c>
      <c r="H122" s="7" t="str">
        <f t="shared" si="2"/>
        <v>NO</v>
      </c>
      <c r="I122" s="7" t="str">
        <f t="shared" si="3"/>
        <v>YES</v>
      </c>
    </row>
    <row r="123">
      <c r="A123" s="4">
        <f>IFERROR(__xludf.DUMMYFUNCTION("""COMPUTED_VALUE"""),1129923.0)</f>
        <v>1129923</v>
      </c>
      <c r="B123" s="4" t="str">
        <f>IFERROR(__xludf.DUMMYFUNCTION("""COMPUTED_VALUE"""),"P2 - High")</f>
        <v>P2 - High</v>
      </c>
      <c r="C123" s="5">
        <f>IFERROR(__xludf.DUMMYFUNCTION("""COMPUTED_VALUE"""),43544.56296296296)</f>
        <v>43544.56296</v>
      </c>
      <c r="D123" s="4" t="str">
        <f>IFERROR(__xludf.DUMMYFUNCTION("""COMPUTED_VALUE"""),"RESOLVED")</f>
        <v>RESOLVED</v>
      </c>
      <c r="E123" s="6">
        <f>IFERROR(__xludf.DUMMYFUNCTION("""COMPUTED_VALUE"""),44362.503657407404)</f>
        <v>44362.50366</v>
      </c>
      <c r="F123" s="4" t="str">
        <f>IFERROR(__xludf.DUMMYFUNCTION("""COMPUTED_VALUE""")," ---")</f>
        <v> ---</v>
      </c>
      <c r="G123" s="4" t="str">
        <f>IFERROR(__xludf.DUMMYFUNCTION("""COMPUTED_VALUE"""),"SUSE Linux Enterprise Server 15 SP1")</f>
        <v>SUSE Linux Enterprise Server 15 SP1</v>
      </c>
      <c r="H123" s="7" t="str">
        <f t="shared" si="2"/>
        <v>NO</v>
      </c>
      <c r="I123" s="7" t="str">
        <f t="shared" si="3"/>
        <v>NO</v>
      </c>
    </row>
    <row r="124">
      <c r="A124" s="4">
        <f>IFERROR(__xludf.DUMMYFUNCTION("""COMPUTED_VALUE"""),1131107.0)</f>
        <v>1131107</v>
      </c>
      <c r="B124" s="4" t="str">
        <f>IFERROR(__xludf.DUMMYFUNCTION("""COMPUTED_VALUE"""),"P2 - High")</f>
        <v>P2 - High</v>
      </c>
      <c r="C124" s="5">
        <f>IFERROR(__xludf.DUMMYFUNCTION("""COMPUTED_VALUE"""),43556.347766203704)</f>
        <v>43556.34777</v>
      </c>
      <c r="D124" s="4" t="str">
        <f>IFERROR(__xludf.DUMMYFUNCTION("""COMPUTED_VALUE"""),"RESOLVED")</f>
        <v>RESOLVED</v>
      </c>
      <c r="E124" s="6">
        <f>IFERROR(__xludf.DUMMYFUNCTION("""COMPUTED_VALUE"""),44362.503900462965)</f>
        <v>44362.5039</v>
      </c>
      <c r="F124" s="4" t="str">
        <f>IFERROR(__xludf.DUMMYFUNCTION("""COMPUTED_VALUE""")," ---")</f>
        <v> ---</v>
      </c>
      <c r="G124" s="4" t="str">
        <f>IFERROR(__xludf.DUMMYFUNCTION("""COMPUTED_VALUE"""),"SUSE Linux Enterprise Server 15 SP1")</f>
        <v>SUSE Linux Enterprise Server 15 SP1</v>
      </c>
      <c r="H124" s="7" t="str">
        <f t="shared" si="2"/>
        <v>NO</v>
      </c>
      <c r="I124" s="7" t="str">
        <f t="shared" si="3"/>
        <v>NO</v>
      </c>
    </row>
    <row r="125">
      <c r="A125" s="4">
        <f>IFERROR(__xludf.DUMMYFUNCTION("""COMPUTED_VALUE"""),1131326.0)</f>
        <v>1131326</v>
      </c>
      <c r="B125" s="4" t="str">
        <f>IFERROR(__xludf.DUMMYFUNCTION("""COMPUTED_VALUE"""),"P2 - High")</f>
        <v>P2 - High</v>
      </c>
      <c r="C125" s="5">
        <f>IFERROR(__xludf.DUMMYFUNCTION("""COMPUTED_VALUE"""),43557.67390046296)</f>
        <v>43557.6739</v>
      </c>
      <c r="D125" s="4" t="str">
        <f>IFERROR(__xludf.DUMMYFUNCTION("""COMPUTED_VALUE"""),"RESOLVED")</f>
        <v>RESOLVED</v>
      </c>
      <c r="E125" s="6">
        <f>IFERROR(__xludf.DUMMYFUNCTION("""COMPUTED_VALUE"""),44624.89203703704)</f>
        <v>44624.89204</v>
      </c>
      <c r="F125" s="4" t="str">
        <f>IFERROR(__xludf.DUMMYFUNCTION("""COMPUTED_VALUE""")," ---")</f>
        <v> ---</v>
      </c>
      <c r="G125" s="4" t="str">
        <f>IFERROR(__xludf.DUMMYFUNCTION("""COMPUTED_VALUE"""),"SUSE Linux Enterprise Server 15 SP1")</f>
        <v>SUSE Linux Enterprise Server 15 SP1</v>
      </c>
      <c r="H125" s="7" t="str">
        <f t="shared" si="2"/>
        <v>NO</v>
      </c>
      <c r="I125" s="7" t="str">
        <f t="shared" si="3"/>
        <v>NO</v>
      </c>
    </row>
    <row r="126">
      <c r="A126" s="4">
        <f>IFERROR(__xludf.DUMMYFUNCTION("""COMPUTED_VALUE"""),1132589.0)</f>
        <v>1132589</v>
      </c>
      <c r="B126" s="4" t="str">
        <f>IFERROR(__xludf.DUMMYFUNCTION("""COMPUTED_VALUE"""),"P2 - High")</f>
        <v>P2 - High</v>
      </c>
      <c r="C126" s="5">
        <f>IFERROR(__xludf.DUMMYFUNCTION("""COMPUTED_VALUE"""),43570.868425925924)</f>
        <v>43570.86843</v>
      </c>
      <c r="D126" s="4" t="str">
        <f>IFERROR(__xludf.DUMMYFUNCTION("""COMPUTED_VALUE"""),"RESOLVED")</f>
        <v>RESOLVED</v>
      </c>
      <c r="E126" s="6">
        <f>IFERROR(__xludf.DUMMYFUNCTION("""COMPUTED_VALUE"""),43731.61885416666)</f>
        <v>43731.61885</v>
      </c>
      <c r="F126" s="4" t="str">
        <f>IFERROR(__xludf.DUMMYFUNCTION("""COMPUTED_VALUE""")," ---")</f>
        <v> ---</v>
      </c>
      <c r="G126" s="4" t="str">
        <f>IFERROR(__xludf.DUMMYFUNCTION("""COMPUTED_VALUE"""),"SUSE Linux Enterprise Server 15 SP1")</f>
        <v>SUSE Linux Enterprise Server 15 SP1</v>
      </c>
      <c r="H126" s="7" t="str">
        <f t="shared" si="2"/>
        <v>NO</v>
      </c>
      <c r="I126" s="7" t="str">
        <f t="shared" si="3"/>
        <v>NO</v>
      </c>
    </row>
    <row r="127">
      <c r="A127" s="4">
        <f>IFERROR(__xludf.DUMMYFUNCTION("""COMPUTED_VALUE"""),1134601.0)</f>
        <v>1134601</v>
      </c>
      <c r="B127" s="4" t="str">
        <f>IFERROR(__xludf.DUMMYFUNCTION("""COMPUTED_VALUE"""),"P2 - High")</f>
        <v>P2 - High</v>
      </c>
      <c r="C127" s="5">
        <f>IFERROR(__xludf.DUMMYFUNCTION("""COMPUTED_VALUE"""),43594.573333333334)</f>
        <v>43594.57333</v>
      </c>
      <c r="D127" s="4" t="str">
        <f>IFERROR(__xludf.DUMMYFUNCTION("""COMPUTED_VALUE"""),"RESOLVED")</f>
        <v>RESOLVED</v>
      </c>
      <c r="E127" s="6">
        <f>IFERROR(__xludf.DUMMYFUNCTION("""COMPUTED_VALUE"""),44432.642476851855)</f>
        <v>44432.64248</v>
      </c>
      <c r="F127" s="4" t="str">
        <f>IFERROR(__xludf.DUMMYFUNCTION("""COMPUTED_VALUE""")," ---")</f>
        <v> ---</v>
      </c>
      <c r="G127" s="4" t="str">
        <f>IFERROR(__xludf.DUMMYFUNCTION("""COMPUTED_VALUE"""),"SUSE Linux Enterprise Server for SAP Applications 15 SP1")</f>
        <v>SUSE Linux Enterprise Server for SAP Applications 15 SP1</v>
      </c>
      <c r="H127" s="7" t="str">
        <f t="shared" si="2"/>
        <v>NO</v>
      </c>
      <c r="I127" s="7" t="str">
        <f t="shared" si="3"/>
        <v>NO</v>
      </c>
    </row>
    <row r="128">
      <c r="A128" s="4">
        <f>IFERROR(__xludf.DUMMYFUNCTION("""COMPUTED_VALUE"""),1120051.0)</f>
        <v>1120051</v>
      </c>
      <c r="B128" s="4" t="str">
        <f>IFERROR(__xludf.DUMMYFUNCTION("""COMPUTED_VALUE"""),"P2 - High")</f>
        <v>P2 - High</v>
      </c>
      <c r="C128" s="5">
        <f>IFERROR(__xludf.DUMMYFUNCTION("""COMPUTED_VALUE"""),43454.40181712963)</f>
        <v>43454.40182</v>
      </c>
      <c r="D128" s="4" t="str">
        <f>IFERROR(__xludf.DUMMYFUNCTION("""COMPUTED_VALUE"""),"RESOLVED")</f>
        <v>RESOLVED</v>
      </c>
      <c r="E128" s="6">
        <f>IFERROR(__xludf.DUMMYFUNCTION("""COMPUTED_VALUE"""),43684.36827546296)</f>
        <v>43684.36828</v>
      </c>
      <c r="F128" s="4" t="str">
        <f>IFERROR(__xludf.DUMMYFUNCTION("""COMPUTED_VALUE""")," ---")</f>
        <v> ---</v>
      </c>
      <c r="G128" s="4" t="str">
        <f>IFERROR(__xludf.DUMMYFUNCTION("""COMPUTED_VALUE"""),"SUSE Linux Enterprise Server 15 SP1")</f>
        <v>SUSE Linux Enterprise Server 15 SP1</v>
      </c>
      <c r="H128" s="7" t="str">
        <f t="shared" si="2"/>
        <v>NO</v>
      </c>
      <c r="I128" s="7" t="str">
        <f t="shared" si="3"/>
        <v>NO</v>
      </c>
    </row>
    <row r="129">
      <c r="A129" s="4">
        <f>IFERROR(__xludf.DUMMYFUNCTION("""COMPUTED_VALUE"""),1135481.0)</f>
        <v>1135481</v>
      </c>
      <c r="B129" s="4" t="str">
        <f>IFERROR(__xludf.DUMMYFUNCTION("""COMPUTED_VALUE"""),"P2 - High")</f>
        <v>P2 - High</v>
      </c>
      <c r="C129" s="5">
        <f>IFERROR(__xludf.DUMMYFUNCTION("""COMPUTED_VALUE"""),43602.47583333333)</f>
        <v>43602.47583</v>
      </c>
      <c r="D129" s="4" t="str">
        <f>IFERROR(__xludf.DUMMYFUNCTION("""COMPUTED_VALUE"""),"RESOLVED")</f>
        <v>RESOLVED</v>
      </c>
      <c r="E129" s="6">
        <f>IFERROR(__xludf.DUMMYFUNCTION("""COMPUTED_VALUE"""),44482.67884259259)</f>
        <v>44482.67884</v>
      </c>
      <c r="F129" s="4" t="str">
        <f>IFERROR(__xludf.DUMMYFUNCTION("""COMPUTED_VALUE""")," ---")</f>
        <v> ---</v>
      </c>
      <c r="G129" s="4" t="str">
        <f>IFERROR(__xludf.DUMMYFUNCTION("""COMPUTED_VALUE"""),"SUSE Linux Enterprise Server 15 SP1")</f>
        <v>SUSE Linux Enterprise Server 15 SP1</v>
      </c>
      <c r="H129" s="7" t="str">
        <f t="shared" si="2"/>
        <v>NO</v>
      </c>
      <c r="I129" s="7" t="str">
        <f t="shared" si="3"/>
        <v>NO</v>
      </c>
    </row>
    <row r="130">
      <c r="A130" s="4">
        <f>IFERROR(__xludf.DUMMYFUNCTION("""COMPUTED_VALUE"""),1135483.0)</f>
        <v>1135483</v>
      </c>
      <c r="B130" s="4" t="str">
        <f>IFERROR(__xludf.DUMMYFUNCTION("""COMPUTED_VALUE"""),"P2 - High")</f>
        <v>P2 - High</v>
      </c>
      <c r="C130" s="5">
        <f>IFERROR(__xludf.DUMMYFUNCTION("""COMPUTED_VALUE"""),43602.47589120371)</f>
        <v>43602.47589</v>
      </c>
      <c r="D130" s="4" t="str">
        <f>IFERROR(__xludf.DUMMYFUNCTION("""COMPUTED_VALUE"""),"RESOLVED")</f>
        <v>RESOLVED</v>
      </c>
      <c r="E130" s="6">
        <f>IFERROR(__xludf.DUMMYFUNCTION("""COMPUTED_VALUE"""),43717.305601851855)</f>
        <v>43717.3056</v>
      </c>
      <c r="F130" s="4" t="str">
        <f>IFERROR(__xludf.DUMMYFUNCTION("""COMPUTED_VALUE""")," ---")</f>
        <v> ---</v>
      </c>
      <c r="G130" s="4" t="str">
        <f>IFERROR(__xludf.DUMMYFUNCTION("""COMPUTED_VALUE"""),"SUSE Linux Enterprise Server 15 SP1")</f>
        <v>SUSE Linux Enterprise Server 15 SP1</v>
      </c>
      <c r="H130" s="7" t="str">
        <f t="shared" si="2"/>
        <v>NO</v>
      </c>
      <c r="I130" s="7" t="str">
        <f t="shared" si="3"/>
        <v>NO</v>
      </c>
    </row>
    <row r="131">
      <c r="A131" s="4">
        <f>IFERROR(__xludf.DUMMYFUNCTION("""COMPUTED_VALUE"""),1103497.0)</f>
        <v>1103497</v>
      </c>
      <c r="B131" s="4" t="str">
        <f>IFERROR(__xludf.DUMMYFUNCTION("""COMPUTED_VALUE"""),"P2 - High")</f>
        <v>P2 - High</v>
      </c>
      <c r="C131" s="5">
        <f>IFERROR(__xludf.DUMMYFUNCTION("""COMPUTED_VALUE"""),43313.967256944445)</f>
        <v>43313.96726</v>
      </c>
      <c r="D131" s="4" t="str">
        <f>IFERROR(__xludf.DUMMYFUNCTION("""COMPUTED_VALUE"""),"RESOLVED")</f>
        <v>RESOLVED</v>
      </c>
      <c r="E131" s="6">
        <f>IFERROR(__xludf.DUMMYFUNCTION("""COMPUTED_VALUE"""),43613.3581712963)</f>
        <v>43613.35817</v>
      </c>
      <c r="F131" s="4" t="str">
        <f>IFERROR(__xludf.DUMMYFUNCTION("""COMPUTED_VALUE""")," ---")</f>
        <v> ---</v>
      </c>
      <c r="G131" s="4" t="str">
        <f>IFERROR(__xludf.DUMMYFUNCTION("""COMPUTED_VALUE"""),"SUSE Linux Enterprise Server 15 SP1")</f>
        <v>SUSE Linux Enterprise Server 15 SP1</v>
      </c>
      <c r="H131" s="7" t="str">
        <f t="shared" si="2"/>
        <v>NO</v>
      </c>
      <c r="I131" s="7" t="str">
        <f t="shared" si="3"/>
        <v>NO</v>
      </c>
    </row>
    <row r="132">
      <c r="A132" s="4">
        <f>IFERROR(__xludf.DUMMYFUNCTION("""COMPUTED_VALUE"""),1103550.0)</f>
        <v>1103550</v>
      </c>
      <c r="B132" s="4" t="str">
        <f>IFERROR(__xludf.DUMMYFUNCTION("""COMPUTED_VALUE"""),"P2 - High")</f>
        <v>P2 - High</v>
      </c>
      <c r="C132" s="5">
        <f>IFERROR(__xludf.DUMMYFUNCTION("""COMPUTED_VALUE"""),43314.45210648148)</f>
        <v>43314.45211</v>
      </c>
      <c r="D132" s="4" t="str">
        <f>IFERROR(__xludf.DUMMYFUNCTION("""COMPUTED_VALUE"""),"RESOLVED")</f>
        <v>RESOLVED</v>
      </c>
      <c r="E132" s="6">
        <f>IFERROR(__xludf.DUMMYFUNCTION("""COMPUTED_VALUE"""),43410.30752314815)</f>
        <v>43410.30752</v>
      </c>
      <c r="F132" s="4" t="str">
        <f>IFERROR(__xludf.DUMMYFUNCTION("""COMPUTED_VALUE""")," ---")</f>
        <v> ---</v>
      </c>
      <c r="G132" s="4" t="str">
        <f>IFERROR(__xludf.DUMMYFUNCTION("""COMPUTED_VALUE"""),"SUSE Linux Enterprise Server 15 SP1")</f>
        <v>SUSE Linux Enterprise Server 15 SP1</v>
      </c>
      <c r="H132" s="7" t="str">
        <f t="shared" si="2"/>
        <v>NO</v>
      </c>
      <c r="I132" s="7" t="str">
        <f t="shared" si="3"/>
        <v>NO</v>
      </c>
    </row>
    <row r="133">
      <c r="A133" s="4">
        <f>IFERROR(__xludf.DUMMYFUNCTION("""COMPUTED_VALUE"""),1139500.0)</f>
        <v>1139500</v>
      </c>
      <c r="B133" s="4" t="str">
        <f>IFERROR(__xludf.DUMMYFUNCTION("""COMPUTED_VALUE"""),"P2 - High")</f>
        <v>P2 - High</v>
      </c>
      <c r="C133" s="5">
        <f>IFERROR(__xludf.DUMMYFUNCTION("""COMPUTED_VALUE"""),43642.87556712963)</f>
        <v>43642.87557</v>
      </c>
      <c r="D133" s="4" t="str">
        <f>IFERROR(__xludf.DUMMYFUNCTION("""COMPUTED_VALUE"""),"RESOLVED")</f>
        <v>RESOLVED</v>
      </c>
      <c r="E133" s="6">
        <f>IFERROR(__xludf.DUMMYFUNCTION("""COMPUTED_VALUE"""),44624.8999537037)</f>
        <v>44624.89995</v>
      </c>
      <c r="F133" s="4" t="str">
        <f>IFERROR(__xludf.DUMMYFUNCTION("""COMPUTED_VALUE""")," ---")</f>
        <v> ---</v>
      </c>
      <c r="G133" s="4" t="str">
        <f>IFERROR(__xludf.DUMMYFUNCTION("""COMPUTED_VALUE"""),"SUSE Linux Enterprise Server 15 SP1")</f>
        <v>SUSE Linux Enterprise Server 15 SP1</v>
      </c>
      <c r="H133" s="7" t="str">
        <f t="shared" si="2"/>
        <v>NO</v>
      </c>
      <c r="I133" s="7" t="str">
        <f t="shared" si="3"/>
        <v>NO</v>
      </c>
    </row>
    <row r="134">
      <c r="A134" s="4">
        <f>IFERROR(__xludf.DUMMYFUNCTION("""COMPUTED_VALUE"""),1116751.0)</f>
        <v>1116751</v>
      </c>
      <c r="B134" s="4" t="str">
        <f>IFERROR(__xludf.DUMMYFUNCTION("""COMPUTED_VALUE"""),"P2 - High")</f>
        <v>P2 - High</v>
      </c>
      <c r="C134" s="5">
        <f>IFERROR(__xludf.DUMMYFUNCTION("""COMPUTED_VALUE"""),43424.67502314815)</f>
        <v>43424.67502</v>
      </c>
      <c r="D134" s="4" t="str">
        <f>IFERROR(__xludf.DUMMYFUNCTION("""COMPUTED_VALUE"""),"RESOLVED")</f>
        <v>RESOLVED</v>
      </c>
      <c r="E134" s="6">
        <f>IFERROR(__xludf.DUMMYFUNCTION("""COMPUTED_VALUE"""),43906.708657407406)</f>
        <v>43906.70866</v>
      </c>
      <c r="F134" s="4" t="str">
        <f>IFERROR(__xludf.DUMMYFUNCTION("""COMPUTED_VALUE""")," ---")</f>
        <v> ---</v>
      </c>
      <c r="G134" s="4" t="str">
        <f>IFERROR(__xludf.DUMMYFUNCTION("""COMPUTED_VALUE"""),"SUSE Linux Enterprise Server 15 SP1")</f>
        <v>SUSE Linux Enterprise Server 15 SP1</v>
      </c>
      <c r="H134" s="7" t="str">
        <f t="shared" si="2"/>
        <v>NO</v>
      </c>
      <c r="I134" s="7" t="str">
        <f t="shared" si="3"/>
        <v>NO</v>
      </c>
    </row>
    <row r="135">
      <c r="A135" s="4">
        <f>IFERROR(__xludf.DUMMYFUNCTION("""COMPUTED_VALUE"""),1116839.0)</f>
        <v>1116839</v>
      </c>
      <c r="B135" s="4" t="str">
        <f>IFERROR(__xludf.DUMMYFUNCTION("""COMPUTED_VALUE"""),"P2 - High")</f>
        <v>P2 - High</v>
      </c>
      <c r="C135" s="5">
        <f>IFERROR(__xludf.DUMMYFUNCTION("""COMPUTED_VALUE"""),43425.40226851852)</f>
        <v>43425.40227</v>
      </c>
      <c r="D135" s="4" t="str">
        <f>IFERROR(__xludf.DUMMYFUNCTION("""COMPUTED_VALUE"""),"RESOLVED")</f>
        <v>RESOLVED</v>
      </c>
      <c r="E135" s="6">
        <f>IFERROR(__xludf.DUMMYFUNCTION("""COMPUTED_VALUE"""),43630.629166666666)</f>
        <v>43630.62917</v>
      </c>
      <c r="F135" s="4" t="str">
        <f>IFERROR(__xludf.DUMMYFUNCTION("""COMPUTED_VALUE""")," ---")</f>
        <v> ---</v>
      </c>
      <c r="G135" s="4" t="str">
        <f>IFERROR(__xludf.DUMMYFUNCTION("""COMPUTED_VALUE"""),"SUSE Linux Enterprise Server 15 SP1")</f>
        <v>SUSE Linux Enterprise Server 15 SP1</v>
      </c>
      <c r="H135" s="7" t="str">
        <f t="shared" si="2"/>
        <v>NO</v>
      </c>
      <c r="I135" s="7" t="str">
        <f t="shared" si="3"/>
        <v>NO</v>
      </c>
    </row>
    <row r="136">
      <c r="A136" s="4">
        <f>IFERROR(__xludf.DUMMYFUNCTION("""COMPUTED_VALUE"""),1127014.0)</f>
        <v>1127014</v>
      </c>
      <c r="B136" s="4" t="str">
        <f>IFERROR(__xludf.DUMMYFUNCTION("""COMPUTED_VALUE"""),"P2 - High")</f>
        <v>P2 - High</v>
      </c>
      <c r="C136" s="5">
        <f>IFERROR(__xludf.DUMMYFUNCTION("""COMPUTED_VALUE"""),43522.51296296297)</f>
        <v>43522.51296</v>
      </c>
      <c r="D136" s="4" t="str">
        <f>IFERROR(__xludf.DUMMYFUNCTION("""COMPUTED_VALUE"""),"RESOLVED")</f>
        <v>RESOLVED</v>
      </c>
      <c r="E136" s="6">
        <f>IFERROR(__xludf.DUMMYFUNCTION("""COMPUTED_VALUE"""),43630.63407407407)</f>
        <v>43630.63407</v>
      </c>
      <c r="F136" s="4" t="str">
        <f>IFERROR(__xludf.DUMMYFUNCTION("""COMPUTED_VALUE""")," ---")</f>
        <v> ---</v>
      </c>
      <c r="G136" s="4" t="str">
        <f>IFERROR(__xludf.DUMMYFUNCTION("""COMPUTED_VALUE"""),"SUSE Linux Enterprise Server 15 SP1")</f>
        <v>SUSE Linux Enterprise Server 15 SP1</v>
      </c>
      <c r="H136" s="7" t="str">
        <f t="shared" si="2"/>
        <v>NO</v>
      </c>
      <c r="I136" s="7" t="str">
        <f t="shared" si="3"/>
        <v>NO</v>
      </c>
    </row>
    <row r="137">
      <c r="A137" s="4">
        <f>IFERROR(__xludf.DUMMYFUNCTION("""COMPUTED_VALUE"""),1120690.0)</f>
        <v>1120690</v>
      </c>
      <c r="B137" s="4" t="str">
        <f>IFERROR(__xludf.DUMMYFUNCTION("""COMPUTED_VALUE"""),"P2 - High")</f>
        <v>P2 - High</v>
      </c>
      <c r="C137" s="5">
        <f>IFERROR(__xludf.DUMMYFUNCTION("""COMPUTED_VALUE"""),43468.76392361111)</f>
        <v>43468.76392</v>
      </c>
      <c r="D137" s="4" t="str">
        <f>IFERROR(__xludf.DUMMYFUNCTION("""COMPUTED_VALUE"""),"RESOLVED")</f>
        <v>RESOLVED</v>
      </c>
      <c r="E137" s="6">
        <f>IFERROR(__xludf.DUMMYFUNCTION("""COMPUTED_VALUE"""),43630.63068287037)</f>
        <v>43630.63068</v>
      </c>
      <c r="F137" s="4" t="str">
        <f>IFERROR(__xludf.DUMMYFUNCTION("""COMPUTED_VALUE""")," ---")</f>
        <v> ---</v>
      </c>
      <c r="G137" s="4" t="str">
        <f>IFERROR(__xludf.DUMMYFUNCTION("""COMPUTED_VALUE"""),"Beta SUSE Linux Enterprise Server 15 SP1")</f>
        <v>Beta SUSE Linux Enterprise Server 15 SP1</v>
      </c>
      <c r="H137" s="7" t="str">
        <f t="shared" si="2"/>
        <v>YES</v>
      </c>
      <c r="I137" s="7" t="str">
        <f t="shared" si="3"/>
        <v>NO</v>
      </c>
    </row>
    <row r="138">
      <c r="A138" s="4">
        <f>IFERROR(__xludf.DUMMYFUNCTION("""COMPUTED_VALUE"""),1133016.0)</f>
        <v>1133016</v>
      </c>
      <c r="B138" s="4" t="str">
        <f>IFERROR(__xludf.DUMMYFUNCTION("""COMPUTED_VALUE"""),"P2 - High")</f>
        <v>P2 - High</v>
      </c>
      <c r="C138" s="5">
        <f>IFERROR(__xludf.DUMMYFUNCTION("""COMPUTED_VALUE"""),43577.85768518518)</f>
        <v>43577.85769</v>
      </c>
      <c r="D138" s="4" t="str">
        <f>IFERROR(__xludf.DUMMYFUNCTION("""COMPUTED_VALUE"""),"RESOLVED")</f>
        <v>RESOLVED</v>
      </c>
      <c r="E138" s="6">
        <f>IFERROR(__xludf.DUMMYFUNCTION("""COMPUTED_VALUE"""),43731.621979166666)</f>
        <v>43731.62198</v>
      </c>
      <c r="F138" s="4" t="str">
        <f>IFERROR(__xludf.DUMMYFUNCTION("""COMPUTED_VALUE""")," ---")</f>
        <v> ---</v>
      </c>
      <c r="G138" s="4" t="str">
        <f>IFERROR(__xludf.DUMMYFUNCTION("""COMPUTED_VALUE"""),"SUSE Linux Enterprise Server 15 SP1")</f>
        <v>SUSE Linux Enterprise Server 15 SP1</v>
      </c>
      <c r="H138" s="7" t="str">
        <f t="shared" si="2"/>
        <v>NO</v>
      </c>
      <c r="I138" s="7" t="str">
        <f t="shared" si="3"/>
        <v>NO</v>
      </c>
    </row>
    <row r="139">
      <c r="A139" s="4">
        <f>IFERROR(__xludf.DUMMYFUNCTION("""COMPUTED_VALUE"""),1135852.0)</f>
        <v>1135852</v>
      </c>
      <c r="B139" s="4" t="str">
        <f>IFERROR(__xludf.DUMMYFUNCTION("""COMPUTED_VALUE"""),"P2 - High")</f>
        <v>P2 - High</v>
      </c>
      <c r="C139" s="5">
        <f>IFERROR(__xludf.DUMMYFUNCTION("""COMPUTED_VALUE"""),43607.257581018515)</f>
        <v>43607.25758</v>
      </c>
      <c r="D139" s="4" t="str">
        <f>IFERROR(__xludf.DUMMYFUNCTION("""COMPUTED_VALUE"""),"RESOLVED")</f>
        <v>RESOLVED</v>
      </c>
      <c r="E139" s="6">
        <f>IFERROR(__xludf.DUMMYFUNCTION("""COMPUTED_VALUE"""),43711.56037037037)</f>
        <v>43711.56037</v>
      </c>
      <c r="F139" s="4" t="str">
        <f>IFERROR(__xludf.DUMMYFUNCTION("""COMPUTED_VALUE""")," ---")</f>
        <v> ---</v>
      </c>
      <c r="G139" s="4" t="str">
        <f>IFERROR(__xludf.DUMMYFUNCTION("""COMPUTED_VALUE"""),"SUSE Linux Enterprise Server 15 SP1")</f>
        <v>SUSE Linux Enterprise Server 15 SP1</v>
      </c>
      <c r="H139" s="7" t="str">
        <f t="shared" si="2"/>
        <v>NO</v>
      </c>
      <c r="I139" s="7" t="str">
        <f t="shared" si="3"/>
        <v>NO</v>
      </c>
    </row>
    <row r="140">
      <c r="A140" s="4">
        <f>IFERROR(__xludf.DUMMYFUNCTION("""COMPUTED_VALUE"""),1136916.0)</f>
        <v>1136916</v>
      </c>
      <c r="B140" s="4" t="str">
        <f>IFERROR(__xludf.DUMMYFUNCTION("""COMPUTED_VALUE"""),"P2 - High")</f>
        <v>P2 - High</v>
      </c>
      <c r="C140" s="5">
        <f>IFERROR(__xludf.DUMMYFUNCTION("""COMPUTED_VALUE"""),43616.246296296296)</f>
        <v>43616.2463</v>
      </c>
      <c r="D140" s="4" t="str">
        <f>IFERROR(__xludf.DUMMYFUNCTION("""COMPUTED_VALUE"""),"RESOLVED")</f>
        <v>RESOLVED</v>
      </c>
      <c r="E140" s="6">
        <f>IFERROR(__xludf.DUMMYFUNCTION("""COMPUTED_VALUE"""),43742.37971064815)</f>
        <v>43742.37971</v>
      </c>
      <c r="F140" s="4" t="str">
        <f>IFERROR(__xludf.DUMMYFUNCTION("""COMPUTED_VALUE""")," ---")</f>
        <v> ---</v>
      </c>
      <c r="G140" s="4" t="str">
        <f>IFERROR(__xludf.DUMMYFUNCTION("""COMPUTED_VALUE"""),"SUSE Linux Enterprise Server 15 SP1")</f>
        <v>SUSE Linux Enterprise Server 15 SP1</v>
      </c>
      <c r="H140" s="7" t="str">
        <f t="shared" si="2"/>
        <v>NO</v>
      </c>
      <c r="I140" s="7" t="str">
        <f t="shared" si="3"/>
        <v>NO</v>
      </c>
    </row>
    <row r="141">
      <c r="A141" s="4">
        <f>IFERROR(__xludf.DUMMYFUNCTION("""COMPUTED_VALUE"""),1106464.0)</f>
        <v>1106464</v>
      </c>
      <c r="B141" s="4" t="str">
        <f>IFERROR(__xludf.DUMMYFUNCTION("""COMPUTED_VALUE"""),"P2 - High")</f>
        <v>P2 - High</v>
      </c>
      <c r="C141" s="5">
        <f>IFERROR(__xludf.DUMMYFUNCTION("""COMPUTED_VALUE"""),43341.747141203705)</f>
        <v>43341.74714</v>
      </c>
      <c r="D141" s="4" t="str">
        <f>IFERROR(__xludf.DUMMYFUNCTION("""COMPUTED_VALUE"""),"RESOLVED")</f>
        <v>RESOLVED</v>
      </c>
      <c r="E141" s="6">
        <f>IFERROR(__xludf.DUMMYFUNCTION("""COMPUTED_VALUE"""),44624.87064814815)</f>
        <v>44624.87065</v>
      </c>
      <c r="F141" s="4" t="str">
        <f>IFERROR(__xludf.DUMMYFUNCTION("""COMPUTED_VALUE""")," ---")</f>
        <v> ---</v>
      </c>
      <c r="G141" s="4" t="str">
        <f>IFERROR(__xludf.DUMMYFUNCTION("""COMPUTED_VALUE"""),"SUSE Linux Enterprise Server 15 SP1")</f>
        <v>SUSE Linux Enterprise Server 15 SP1</v>
      </c>
      <c r="H141" s="7" t="str">
        <f t="shared" si="2"/>
        <v>NO</v>
      </c>
      <c r="I141" s="7" t="str">
        <f t="shared" si="3"/>
        <v>NO</v>
      </c>
    </row>
    <row r="142">
      <c r="A142" s="4">
        <f>IFERROR(__xludf.DUMMYFUNCTION("""COMPUTED_VALUE"""),1123546.0)</f>
        <v>1123546</v>
      </c>
      <c r="B142" s="4" t="str">
        <f>IFERROR(__xludf.DUMMYFUNCTION("""COMPUTED_VALUE"""),"P2 - High")</f>
        <v>P2 - High</v>
      </c>
      <c r="C142" s="5">
        <f>IFERROR(__xludf.DUMMYFUNCTION("""COMPUTED_VALUE"""),43494.67690972222)</f>
        <v>43494.67691</v>
      </c>
      <c r="D142" s="4" t="str">
        <f>IFERROR(__xludf.DUMMYFUNCTION("""COMPUTED_VALUE"""),"RESOLVED")</f>
        <v>RESOLVED</v>
      </c>
      <c r="E142" s="6">
        <f>IFERROR(__xludf.DUMMYFUNCTION("""COMPUTED_VALUE"""),43587.41986111111)</f>
        <v>43587.41986</v>
      </c>
      <c r="F142" s="4" t="str">
        <f>IFERROR(__xludf.DUMMYFUNCTION("""COMPUTED_VALUE""")," ---")</f>
        <v> ---</v>
      </c>
      <c r="G142" s="4" t="str">
        <f>IFERROR(__xludf.DUMMYFUNCTION("""COMPUTED_VALUE"""),"Beta SUSE Linux Enterprise Server 15 SP1")</f>
        <v>Beta SUSE Linux Enterprise Server 15 SP1</v>
      </c>
      <c r="H142" s="7" t="str">
        <f t="shared" si="2"/>
        <v>NO</v>
      </c>
      <c r="I142" s="7" t="str">
        <f t="shared" si="3"/>
        <v>NO</v>
      </c>
    </row>
    <row r="143">
      <c r="A143" s="4">
        <f>IFERROR(__xludf.DUMMYFUNCTION("""COMPUTED_VALUE"""),1113480.0)</f>
        <v>1113480</v>
      </c>
      <c r="B143" s="4" t="str">
        <f>IFERROR(__xludf.DUMMYFUNCTION("""COMPUTED_VALUE"""),"P2 - High")</f>
        <v>P2 - High</v>
      </c>
      <c r="C143" s="5">
        <f>IFERROR(__xludf.DUMMYFUNCTION("""COMPUTED_VALUE"""),43399.41762731481)</f>
        <v>43399.41763</v>
      </c>
      <c r="D143" s="4" t="str">
        <f>IFERROR(__xludf.DUMMYFUNCTION("""COMPUTED_VALUE"""),"RESOLVED")</f>
        <v>RESOLVED</v>
      </c>
      <c r="E143" s="6">
        <f>IFERROR(__xludf.DUMMYFUNCTION("""COMPUTED_VALUE"""),43630.627754629626)</f>
        <v>43630.62775</v>
      </c>
      <c r="F143" s="4" t="str">
        <f>IFERROR(__xludf.DUMMYFUNCTION("""COMPUTED_VALUE""")," ---")</f>
        <v> ---</v>
      </c>
      <c r="G143" s="4" t="str">
        <f>IFERROR(__xludf.DUMMYFUNCTION("""COMPUTED_VALUE"""),"SUSE Linux Enterprise Server 15 SP1")</f>
        <v>SUSE Linux Enterprise Server 15 SP1</v>
      </c>
      <c r="H143" s="7" t="str">
        <f t="shared" si="2"/>
        <v>NO</v>
      </c>
      <c r="I143" s="7" t="str">
        <f t="shared" si="3"/>
        <v>NO</v>
      </c>
    </row>
    <row r="144">
      <c r="A144" s="4">
        <f>IFERROR(__xludf.DUMMYFUNCTION("""COMPUTED_VALUE"""),1113481.0)</f>
        <v>1113481</v>
      </c>
      <c r="B144" s="4" t="str">
        <f>IFERROR(__xludf.DUMMYFUNCTION("""COMPUTED_VALUE"""),"P2 - High")</f>
        <v>P2 - High</v>
      </c>
      <c r="C144" s="5">
        <f>IFERROR(__xludf.DUMMYFUNCTION("""COMPUTED_VALUE"""),43399.417962962965)</f>
        <v>43399.41796</v>
      </c>
      <c r="D144" s="4" t="str">
        <f>IFERROR(__xludf.DUMMYFUNCTION("""COMPUTED_VALUE"""),"RESOLVED")</f>
        <v>RESOLVED</v>
      </c>
      <c r="E144" s="6">
        <f>IFERROR(__xludf.DUMMYFUNCTION("""COMPUTED_VALUE"""),43630.627800925926)</f>
        <v>43630.6278</v>
      </c>
      <c r="F144" s="4" t="str">
        <f>IFERROR(__xludf.DUMMYFUNCTION("""COMPUTED_VALUE""")," ---")</f>
        <v> ---</v>
      </c>
      <c r="G144" s="4" t="str">
        <f>IFERROR(__xludf.DUMMYFUNCTION("""COMPUTED_VALUE"""),"SUSE Linux Enterprise Server 15 SP1")</f>
        <v>SUSE Linux Enterprise Server 15 SP1</v>
      </c>
      <c r="H144" s="7" t="str">
        <f t="shared" si="2"/>
        <v>NO</v>
      </c>
      <c r="I144" s="7" t="str">
        <f t="shared" si="3"/>
        <v>NO</v>
      </c>
    </row>
    <row r="145">
      <c r="A145" s="4">
        <f>IFERROR(__xludf.DUMMYFUNCTION("""COMPUTED_VALUE"""),1113510.0)</f>
        <v>1113510</v>
      </c>
      <c r="B145" s="4" t="str">
        <f>IFERROR(__xludf.DUMMYFUNCTION("""COMPUTED_VALUE"""),"P2 - High")</f>
        <v>P2 - High</v>
      </c>
      <c r="C145" s="5">
        <f>IFERROR(__xludf.DUMMYFUNCTION("""COMPUTED_VALUE"""),43399.47986111111)</f>
        <v>43399.47986</v>
      </c>
      <c r="D145" s="4" t="str">
        <f>IFERROR(__xludf.DUMMYFUNCTION("""COMPUTED_VALUE"""),"RESOLVED")</f>
        <v>RESOLVED</v>
      </c>
      <c r="E145" s="6">
        <f>IFERROR(__xludf.DUMMYFUNCTION("""COMPUTED_VALUE"""),43630.62814814815)</f>
        <v>43630.62815</v>
      </c>
      <c r="F145" s="4" t="str">
        <f>IFERROR(__xludf.DUMMYFUNCTION("""COMPUTED_VALUE""")," ---")</f>
        <v> ---</v>
      </c>
      <c r="G145" s="4" t="str">
        <f>IFERROR(__xludf.DUMMYFUNCTION("""COMPUTED_VALUE"""),"SUSE Linux Enterprise Server 15 SP1")</f>
        <v>SUSE Linux Enterprise Server 15 SP1</v>
      </c>
      <c r="H145" s="7" t="str">
        <f t="shared" si="2"/>
        <v>NO</v>
      </c>
      <c r="I145" s="7" t="str">
        <f t="shared" si="3"/>
        <v>NO</v>
      </c>
    </row>
    <row r="146">
      <c r="A146" s="4">
        <f>IFERROR(__xludf.DUMMYFUNCTION("""COMPUTED_VALUE"""),1113519.0)</f>
        <v>1113519</v>
      </c>
      <c r="B146" s="4" t="str">
        <f>IFERROR(__xludf.DUMMYFUNCTION("""COMPUTED_VALUE"""),"P2 - High")</f>
        <v>P2 - High</v>
      </c>
      <c r="C146" s="5">
        <f>IFERROR(__xludf.DUMMYFUNCTION("""COMPUTED_VALUE"""),43399.50761574074)</f>
        <v>43399.50762</v>
      </c>
      <c r="D146" s="4" t="str">
        <f>IFERROR(__xludf.DUMMYFUNCTION("""COMPUTED_VALUE"""),"RESOLVED")</f>
        <v>RESOLVED</v>
      </c>
      <c r="E146" s="6">
        <f>IFERROR(__xludf.DUMMYFUNCTION("""COMPUTED_VALUE"""),43630.62819444444)</f>
        <v>43630.62819</v>
      </c>
      <c r="F146" s="4" t="str">
        <f>IFERROR(__xludf.DUMMYFUNCTION("""COMPUTED_VALUE""")," ---")</f>
        <v> ---</v>
      </c>
      <c r="G146" s="4" t="str">
        <f>IFERROR(__xludf.DUMMYFUNCTION("""COMPUTED_VALUE"""),"SUSE Linux Enterprise Server 15 SP1")</f>
        <v>SUSE Linux Enterprise Server 15 SP1</v>
      </c>
      <c r="H146" s="7" t="str">
        <f t="shared" si="2"/>
        <v>NO</v>
      </c>
      <c r="I146" s="7" t="str">
        <f t="shared" si="3"/>
        <v>NO</v>
      </c>
    </row>
    <row r="147">
      <c r="A147" s="4">
        <f>IFERROR(__xludf.DUMMYFUNCTION("""COMPUTED_VALUE"""),1113524.0)</f>
        <v>1113524</v>
      </c>
      <c r="B147" s="4" t="str">
        <f>IFERROR(__xludf.DUMMYFUNCTION("""COMPUTED_VALUE"""),"P2 - High")</f>
        <v>P2 - High</v>
      </c>
      <c r="C147" s="5">
        <f>IFERROR(__xludf.DUMMYFUNCTION("""COMPUTED_VALUE"""),43399.51457175926)</f>
        <v>43399.51457</v>
      </c>
      <c r="D147" s="4" t="str">
        <f>IFERROR(__xludf.DUMMYFUNCTION("""COMPUTED_VALUE"""),"RESOLVED")</f>
        <v>RESOLVED</v>
      </c>
      <c r="E147" s="6">
        <f>IFERROR(__xludf.DUMMYFUNCTION("""COMPUTED_VALUE"""),43630.62832175926)</f>
        <v>43630.62832</v>
      </c>
      <c r="F147" s="4" t="str">
        <f>IFERROR(__xludf.DUMMYFUNCTION("""COMPUTED_VALUE""")," ---")</f>
        <v> ---</v>
      </c>
      <c r="G147" s="4" t="str">
        <f>IFERROR(__xludf.DUMMYFUNCTION("""COMPUTED_VALUE"""),"SUSE Linux Enterprise Server 15 SP1")</f>
        <v>SUSE Linux Enterprise Server 15 SP1</v>
      </c>
      <c r="H147" s="7" t="str">
        <f t="shared" si="2"/>
        <v>NO</v>
      </c>
      <c r="I147" s="7" t="str">
        <f t="shared" si="3"/>
        <v>NO</v>
      </c>
    </row>
    <row r="148">
      <c r="A148" s="4">
        <f>IFERROR(__xludf.DUMMYFUNCTION("""COMPUTED_VALUE"""),1119409.0)</f>
        <v>1119409</v>
      </c>
      <c r="B148" s="4" t="str">
        <f>IFERROR(__xludf.DUMMYFUNCTION("""COMPUTED_VALUE"""),"P2 - High")</f>
        <v>P2 - High</v>
      </c>
      <c r="C148" s="5">
        <f>IFERROR(__xludf.DUMMYFUNCTION("""COMPUTED_VALUE"""),43447.60135416667)</f>
        <v>43447.60135</v>
      </c>
      <c r="D148" s="4" t="str">
        <f>IFERROR(__xludf.DUMMYFUNCTION("""COMPUTED_VALUE"""),"RESOLVED")</f>
        <v>RESOLVED</v>
      </c>
      <c r="E148" s="6">
        <f>IFERROR(__xludf.DUMMYFUNCTION("""COMPUTED_VALUE"""),43550.48082175926)</f>
        <v>43550.48082</v>
      </c>
      <c r="F148" s="4" t="str">
        <f>IFERROR(__xludf.DUMMYFUNCTION("""COMPUTED_VALUE""")," ---")</f>
        <v> ---</v>
      </c>
      <c r="G148" s="4" t="str">
        <f>IFERROR(__xludf.DUMMYFUNCTION("""COMPUTED_VALUE"""),"SUSE Linux Enterprise Server 15 SP1")</f>
        <v>SUSE Linux Enterprise Server 15 SP1</v>
      </c>
      <c r="H148" s="7" t="str">
        <f t="shared" si="2"/>
        <v>NO</v>
      </c>
      <c r="I148" s="7" t="str">
        <f t="shared" si="3"/>
        <v>NO</v>
      </c>
    </row>
    <row r="149">
      <c r="A149" s="4">
        <f>IFERROR(__xludf.DUMMYFUNCTION("""COMPUTED_VALUE"""),1123940.0)</f>
        <v>1123940</v>
      </c>
      <c r="B149" s="4" t="str">
        <f>IFERROR(__xludf.DUMMYFUNCTION("""COMPUTED_VALUE"""),"P2 - High")</f>
        <v>P2 - High</v>
      </c>
      <c r="C149" s="5">
        <f>IFERROR(__xludf.DUMMYFUNCTION("""COMPUTED_VALUE"""),43497.21417824074)</f>
        <v>43497.21418</v>
      </c>
      <c r="D149" s="4" t="str">
        <f>IFERROR(__xludf.DUMMYFUNCTION("""COMPUTED_VALUE"""),"RESOLVED")</f>
        <v>RESOLVED</v>
      </c>
      <c r="E149" s="6">
        <f>IFERROR(__xludf.DUMMYFUNCTION("""COMPUTED_VALUE"""),44467.70449074074)</f>
        <v>44467.70449</v>
      </c>
      <c r="F149" s="4" t="str">
        <f>IFERROR(__xludf.DUMMYFUNCTION("""COMPUTED_VALUE""")," ---")</f>
        <v> ---</v>
      </c>
      <c r="G149" s="4" t="str">
        <f>IFERROR(__xludf.DUMMYFUNCTION("""COMPUTED_VALUE"""),"SUSE Linux Enterprise Server 15 SP1")</f>
        <v>SUSE Linux Enterprise Server 15 SP1</v>
      </c>
      <c r="H149" s="7" t="str">
        <f t="shared" si="2"/>
        <v>NO</v>
      </c>
      <c r="I149" s="7" t="str">
        <f t="shared" si="3"/>
        <v>NO</v>
      </c>
    </row>
    <row r="150">
      <c r="A150" s="4">
        <f>IFERROR(__xludf.DUMMYFUNCTION("""COMPUTED_VALUE"""),1125061.0)</f>
        <v>1125061</v>
      </c>
      <c r="B150" s="4" t="str">
        <f>IFERROR(__xludf.DUMMYFUNCTION("""COMPUTED_VALUE"""),"P2 - High")</f>
        <v>P2 - High</v>
      </c>
      <c r="C150" s="5">
        <f>IFERROR(__xludf.DUMMYFUNCTION("""COMPUTED_VALUE"""),43508.10108796296)</f>
        <v>43508.10109</v>
      </c>
      <c r="D150" s="4" t="str">
        <f>IFERROR(__xludf.DUMMYFUNCTION("""COMPUTED_VALUE"""),"RESOLVED")</f>
        <v>RESOLVED</v>
      </c>
      <c r="E150" s="6">
        <f>IFERROR(__xludf.DUMMYFUNCTION("""COMPUTED_VALUE"""),43937.68907407407)</f>
        <v>43937.68907</v>
      </c>
      <c r="F150" s="4" t="str">
        <f>IFERROR(__xludf.DUMMYFUNCTION("""COMPUTED_VALUE""")," ---")</f>
        <v> ---</v>
      </c>
      <c r="G150" s="4" t="str">
        <f>IFERROR(__xludf.DUMMYFUNCTION("""COMPUTED_VALUE"""),"SUSE Linux Enterprise Server 15 SP1")</f>
        <v>SUSE Linux Enterprise Server 15 SP1</v>
      </c>
      <c r="H150" s="7" t="str">
        <f t="shared" si="2"/>
        <v>NO</v>
      </c>
      <c r="I150" s="7" t="str">
        <f t="shared" si="3"/>
        <v>NO</v>
      </c>
    </row>
    <row r="151">
      <c r="A151" s="4">
        <f>IFERROR(__xludf.DUMMYFUNCTION("""COMPUTED_VALUE"""),1128909.0)</f>
        <v>1128909</v>
      </c>
      <c r="B151" s="4" t="str">
        <f>IFERROR(__xludf.DUMMYFUNCTION("""COMPUTED_VALUE"""),"P2 - High")</f>
        <v>P2 - High</v>
      </c>
      <c r="C151" s="5">
        <f>IFERROR(__xludf.DUMMYFUNCTION("""COMPUTED_VALUE"""),43536.56996527778)</f>
        <v>43536.56997</v>
      </c>
      <c r="D151" s="4" t="str">
        <f>IFERROR(__xludf.DUMMYFUNCTION("""COMPUTED_VALUE"""),"RESOLVED")</f>
        <v>RESOLVED</v>
      </c>
      <c r="E151" s="6">
        <f>IFERROR(__xludf.DUMMYFUNCTION("""COMPUTED_VALUE"""),43630.63505787037)</f>
        <v>43630.63506</v>
      </c>
      <c r="F151" s="4" t="str">
        <f>IFERROR(__xludf.DUMMYFUNCTION("""COMPUTED_VALUE""")," ---")</f>
        <v> ---</v>
      </c>
      <c r="G151" s="4" t="str">
        <f>IFERROR(__xludf.DUMMYFUNCTION("""COMPUTED_VALUE"""),"SUSE Linux Enterprise Server 15 SP1")</f>
        <v>SUSE Linux Enterprise Server 15 SP1</v>
      </c>
      <c r="H151" s="7" t="str">
        <f t="shared" si="2"/>
        <v>NO</v>
      </c>
      <c r="I151" s="7" t="str">
        <f t="shared" si="3"/>
        <v>NO</v>
      </c>
    </row>
    <row r="152">
      <c r="A152" s="4">
        <f>IFERROR(__xludf.DUMMYFUNCTION("""COMPUTED_VALUE"""),1129845.0)</f>
        <v>1129845</v>
      </c>
      <c r="B152" s="4" t="str">
        <f>IFERROR(__xludf.DUMMYFUNCTION("""COMPUTED_VALUE"""),"P2 - High")</f>
        <v>P2 - High</v>
      </c>
      <c r="C152" s="5">
        <f>IFERROR(__xludf.DUMMYFUNCTION("""COMPUTED_VALUE"""),43544.278078703705)</f>
        <v>43544.27808</v>
      </c>
      <c r="D152" s="4" t="str">
        <f>IFERROR(__xludf.DUMMYFUNCTION("""COMPUTED_VALUE"""),"RESOLVED")</f>
        <v>RESOLVED</v>
      </c>
      <c r="E152" s="6">
        <f>IFERROR(__xludf.DUMMYFUNCTION("""COMPUTED_VALUE"""),43732.282905092594)</f>
        <v>43732.28291</v>
      </c>
      <c r="F152" s="4" t="str">
        <f>IFERROR(__xludf.DUMMYFUNCTION("""COMPUTED_VALUE""")," ---")</f>
        <v> ---</v>
      </c>
      <c r="G152" s="4" t="str">
        <f>IFERROR(__xludf.DUMMYFUNCTION("""COMPUTED_VALUE"""),"SUSE Linux Enterprise Server 15 SP1")</f>
        <v>SUSE Linux Enterprise Server 15 SP1</v>
      </c>
      <c r="H152" s="7" t="str">
        <f t="shared" si="2"/>
        <v>NO</v>
      </c>
      <c r="I152" s="7" t="str">
        <f t="shared" si="3"/>
        <v>NO</v>
      </c>
    </row>
    <row r="153">
      <c r="A153" s="4">
        <f>IFERROR(__xludf.DUMMYFUNCTION("""COMPUTED_VALUE"""),1129855.0)</f>
        <v>1129855</v>
      </c>
      <c r="B153" s="4" t="str">
        <f>IFERROR(__xludf.DUMMYFUNCTION("""COMPUTED_VALUE"""),"P2 - High")</f>
        <v>P2 - High</v>
      </c>
      <c r="C153" s="5">
        <f>IFERROR(__xludf.DUMMYFUNCTION("""COMPUTED_VALUE"""),43544.34071759259)</f>
        <v>43544.34072</v>
      </c>
      <c r="D153" s="4" t="str">
        <f>IFERROR(__xludf.DUMMYFUNCTION("""COMPUTED_VALUE"""),"RESOLVED")</f>
        <v>RESOLVED</v>
      </c>
      <c r="E153" s="6">
        <f>IFERROR(__xludf.DUMMYFUNCTION("""COMPUTED_VALUE"""),43630.63575231482)</f>
        <v>43630.63575</v>
      </c>
      <c r="F153" s="4" t="str">
        <f>IFERROR(__xludf.DUMMYFUNCTION("""COMPUTED_VALUE""")," ---")</f>
        <v> ---</v>
      </c>
      <c r="G153" s="4" t="str">
        <f>IFERROR(__xludf.DUMMYFUNCTION("""COMPUTED_VALUE"""),"SUSE Linux Enterprise Server 15 SP1")</f>
        <v>SUSE Linux Enterprise Server 15 SP1</v>
      </c>
      <c r="H153" s="7" t="str">
        <f t="shared" si="2"/>
        <v>NO</v>
      </c>
      <c r="I153" s="7" t="str">
        <f t="shared" si="3"/>
        <v>NO</v>
      </c>
    </row>
    <row r="154">
      <c r="A154" s="4">
        <f>IFERROR(__xludf.DUMMYFUNCTION("""COMPUTED_VALUE"""),1129861.0)</f>
        <v>1129861</v>
      </c>
      <c r="B154" s="4" t="str">
        <f>IFERROR(__xludf.DUMMYFUNCTION("""COMPUTED_VALUE"""),"P2 - High")</f>
        <v>P2 - High</v>
      </c>
      <c r="C154" s="5">
        <f>IFERROR(__xludf.DUMMYFUNCTION("""COMPUTED_VALUE"""),43544.35487268519)</f>
        <v>43544.35487</v>
      </c>
      <c r="D154" s="4" t="str">
        <f>IFERROR(__xludf.DUMMYFUNCTION("""COMPUTED_VALUE"""),"RESOLVED")</f>
        <v>RESOLVED</v>
      </c>
      <c r="E154" s="6">
        <f>IFERROR(__xludf.DUMMYFUNCTION("""COMPUTED_VALUE"""),43630.635787037034)</f>
        <v>43630.63579</v>
      </c>
      <c r="F154" s="4" t="str">
        <f>IFERROR(__xludf.DUMMYFUNCTION("""COMPUTED_VALUE""")," ---")</f>
        <v> ---</v>
      </c>
      <c r="G154" s="4" t="str">
        <f>IFERROR(__xludf.DUMMYFUNCTION("""COMPUTED_VALUE"""),"SUSE Linux Enterprise Server 15 SP1")</f>
        <v>SUSE Linux Enterprise Server 15 SP1</v>
      </c>
      <c r="H154" s="7" t="str">
        <f t="shared" si="2"/>
        <v>NO</v>
      </c>
      <c r="I154" s="7" t="str">
        <f t="shared" si="3"/>
        <v>NO</v>
      </c>
    </row>
    <row r="155">
      <c r="A155" s="4">
        <f>IFERROR(__xludf.DUMMYFUNCTION("""COMPUTED_VALUE"""),1131530.0)</f>
        <v>1131530</v>
      </c>
      <c r="B155" s="4" t="str">
        <f>IFERROR(__xludf.DUMMYFUNCTION("""COMPUTED_VALUE"""),"P2 - High")</f>
        <v>P2 - High</v>
      </c>
      <c r="C155" s="5">
        <f>IFERROR(__xludf.DUMMYFUNCTION("""COMPUTED_VALUE"""),43559.444710648146)</f>
        <v>43559.44471</v>
      </c>
      <c r="D155" s="4" t="str">
        <f>IFERROR(__xludf.DUMMYFUNCTION("""COMPUTED_VALUE"""),"RESOLVED")</f>
        <v>RESOLVED</v>
      </c>
      <c r="E155" s="6">
        <f>IFERROR(__xludf.DUMMYFUNCTION("""COMPUTED_VALUE"""),43731.61304398148)</f>
        <v>43731.61304</v>
      </c>
      <c r="F155" s="4" t="str">
        <f>IFERROR(__xludf.DUMMYFUNCTION("""COMPUTED_VALUE""")," ---")</f>
        <v> ---</v>
      </c>
      <c r="G155" s="4" t="str">
        <f>IFERROR(__xludf.DUMMYFUNCTION("""COMPUTED_VALUE"""),"SUSE Linux Enterprise Server 15 SP1")</f>
        <v>SUSE Linux Enterprise Server 15 SP1</v>
      </c>
      <c r="H155" s="7" t="str">
        <f t="shared" si="2"/>
        <v>NO</v>
      </c>
      <c r="I155" s="7" t="str">
        <f t="shared" si="3"/>
        <v>NO</v>
      </c>
    </row>
    <row r="156">
      <c r="A156" s="4">
        <f>IFERROR(__xludf.DUMMYFUNCTION("""COMPUTED_VALUE"""),1134600.0)</f>
        <v>1134600</v>
      </c>
      <c r="B156" s="4" t="str">
        <f>IFERROR(__xludf.DUMMYFUNCTION("""COMPUTED_VALUE"""),"P2 - High")</f>
        <v>P2 - High</v>
      </c>
      <c r="C156" s="5">
        <f>IFERROR(__xludf.DUMMYFUNCTION("""COMPUTED_VALUE"""),43594.570381944446)</f>
        <v>43594.57038</v>
      </c>
      <c r="D156" s="4" t="str">
        <f>IFERROR(__xludf.DUMMYFUNCTION("""COMPUTED_VALUE"""),"RESOLVED")</f>
        <v>RESOLVED</v>
      </c>
      <c r="E156" s="6">
        <f>IFERROR(__xludf.DUMMYFUNCTION("""COMPUTED_VALUE"""),43731.942662037036)</f>
        <v>43731.94266</v>
      </c>
      <c r="F156" s="4" t="str">
        <f>IFERROR(__xludf.DUMMYFUNCTION("""COMPUTED_VALUE""")," ---")</f>
        <v> ---</v>
      </c>
      <c r="G156" s="4" t="str">
        <f>IFERROR(__xludf.DUMMYFUNCTION("""COMPUTED_VALUE"""),"SUSE Linux Enterprise Server 15 SP1")</f>
        <v>SUSE Linux Enterprise Server 15 SP1</v>
      </c>
      <c r="H156" s="7" t="str">
        <f t="shared" si="2"/>
        <v>NO</v>
      </c>
      <c r="I156" s="7" t="str">
        <f t="shared" si="3"/>
        <v>NO</v>
      </c>
    </row>
    <row r="157">
      <c r="A157" s="4">
        <f>IFERROR(__xludf.DUMMYFUNCTION("""COMPUTED_VALUE"""),1134618.0)</f>
        <v>1134618</v>
      </c>
      <c r="B157" s="4" t="str">
        <f>IFERROR(__xludf.DUMMYFUNCTION("""COMPUTED_VALUE"""),"P2 - High")</f>
        <v>P2 - High</v>
      </c>
      <c r="C157" s="5">
        <f>IFERROR(__xludf.DUMMYFUNCTION("""COMPUTED_VALUE"""),43594.60505787037)</f>
        <v>43594.60506</v>
      </c>
      <c r="D157" s="4" t="str">
        <f>IFERROR(__xludf.DUMMYFUNCTION("""COMPUTED_VALUE"""),"RESOLVED")</f>
        <v>RESOLVED</v>
      </c>
      <c r="E157" s="6">
        <f>IFERROR(__xludf.DUMMYFUNCTION("""COMPUTED_VALUE"""),43731.94280092593)</f>
        <v>43731.9428</v>
      </c>
      <c r="F157" s="4" t="str">
        <f>IFERROR(__xludf.DUMMYFUNCTION("""COMPUTED_VALUE""")," ---")</f>
        <v> ---</v>
      </c>
      <c r="G157" s="4" t="str">
        <f>IFERROR(__xludf.DUMMYFUNCTION("""COMPUTED_VALUE"""),"SUSE Linux Enterprise Server 15 SP1")</f>
        <v>SUSE Linux Enterprise Server 15 SP1</v>
      </c>
      <c r="H157" s="7" t="str">
        <f t="shared" si="2"/>
        <v>NO</v>
      </c>
      <c r="I157" s="7" t="str">
        <f t="shared" si="3"/>
        <v>NO</v>
      </c>
    </row>
    <row r="158">
      <c r="A158" s="4">
        <f>IFERROR(__xludf.DUMMYFUNCTION("""COMPUTED_VALUE"""),1136666.0)</f>
        <v>1136666</v>
      </c>
      <c r="B158" s="4" t="str">
        <f>IFERROR(__xludf.DUMMYFUNCTION("""COMPUTED_VALUE"""),"P2 - High")</f>
        <v>P2 - High</v>
      </c>
      <c r="C158" s="5">
        <f>IFERROR(__xludf.DUMMYFUNCTION("""COMPUTED_VALUE"""),43614.255381944444)</f>
        <v>43614.25538</v>
      </c>
      <c r="D158" s="4" t="str">
        <f>IFERROR(__xludf.DUMMYFUNCTION("""COMPUTED_VALUE"""),"RESOLVED")</f>
        <v>RESOLVED</v>
      </c>
      <c r="E158" s="6">
        <f>IFERROR(__xludf.DUMMYFUNCTION("""COMPUTED_VALUE"""),44362.50543981481)</f>
        <v>44362.50544</v>
      </c>
      <c r="F158" s="4" t="str">
        <f>IFERROR(__xludf.DUMMYFUNCTION("""COMPUTED_VALUE""")," ---")</f>
        <v> ---</v>
      </c>
      <c r="G158" s="4" t="str">
        <f>IFERROR(__xludf.DUMMYFUNCTION("""COMPUTED_VALUE"""),"SUSE Linux Enterprise Server 15 SP1")</f>
        <v>SUSE Linux Enterprise Server 15 SP1</v>
      </c>
      <c r="H158" s="7" t="str">
        <f t="shared" si="2"/>
        <v>NO</v>
      </c>
      <c r="I158" s="7" t="str">
        <f t="shared" si="3"/>
        <v>NO</v>
      </c>
    </row>
    <row r="159">
      <c r="A159" s="4">
        <f>IFERROR(__xludf.DUMMYFUNCTION("""COMPUTED_VALUE"""),1116724.0)</f>
        <v>1116724</v>
      </c>
      <c r="B159" s="4" t="str">
        <f>IFERROR(__xludf.DUMMYFUNCTION("""COMPUTED_VALUE"""),"P2 - High")</f>
        <v>P2 - High</v>
      </c>
      <c r="C159" s="5">
        <f>IFERROR(__xludf.DUMMYFUNCTION("""COMPUTED_VALUE"""),43424.537094907406)</f>
        <v>43424.53709</v>
      </c>
      <c r="D159" s="4" t="str">
        <f>IFERROR(__xludf.DUMMYFUNCTION("""COMPUTED_VALUE"""),"RESOLVED")</f>
        <v>RESOLVED</v>
      </c>
      <c r="E159" s="6">
        <f>IFERROR(__xludf.DUMMYFUNCTION("""COMPUTED_VALUE"""),44362.50131944445)</f>
        <v>44362.50132</v>
      </c>
      <c r="F159" s="4" t="str">
        <f>IFERROR(__xludf.DUMMYFUNCTION("""COMPUTED_VALUE""")," ---")</f>
        <v> ---</v>
      </c>
      <c r="G159" s="4" t="str">
        <f>IFERROR(__xludf.DUMMYFUNCTION("""COMPUTED_VALUE"""),"SUSE Linux Enterprise Server 15 SP1")</f>
        <v>SUSE Linux Enterprise Server 15 SP1</v>
      </c>
      <c r="H159" s="7" t="str">
        <f t="shared" si="2"/>
        <v>NO</v>
      </c>
      <c r="I159" s="7" t="str">
        <f t="shared" si="3"/>
        <v>NO</v>
      </c>
    </row>
    <row r="160">
      <c r="A160" s="4">
        <f>IFERROR(__xludf.DUMMYFUNCTION("""COMPUTED_VALUE"""),1135482.0)</f>
        <v>1135482</v>
      </c>
      <c r="B160" s="4" t="str">
        <f>IFERROR(__xludf.DUMMYFUNCTION("""COMPUTED_VALUE"""),"P2 - High")</f>
        <v>P2 - High</v>
      </c>
      <c r="C160" s="5">
        <f>IFERROR(__xludf.DUMMYFUNCTION("""COMPUTED_VALUE"""),43602.47586805555)</f>
        <v>43602.47587</v>
      </c>
      <c r="D160" s="4" t="str">
        <f>IFERROR(__xludf.DUMMYFUNCTION("""COMPUTED_VALUE"""),"RESOLVED")</f>
        <v>RESOLVED</v>
      </c>
      <c r="E160" s="6">
        <f>IFERROR(__xludf.DUMMYFUNCTION("""COMPUTED_VALUE"""),43868.636967592596)</f>
        <v>43868.63697</v>
      </c>
      <c r="F160" s="4" t="str">
        <f>IFERROR(__xludf.DUMMYFUNCTION("""COMPUTED_VALUE""")," ---")</f>
        <v> ---</v>
      </c>
      <c r="G160" s="4" t="str">
        <f>IFERROR(__xludf.DUMMYFUNCTION("""COMPUTED_VALUE"""),"SUSE Linux Enterprise Server 15 SP1")</f>
        <v>SUSE Linux Enterprise Server 15 SP1</v>
      </c>
      <c r="H160" s="7" t="str">
        <f t="shared" si="2"/>
        <v>NO</v>
      </c>
      <c r="I160" s="7" t="str">
        <f t="shared" si="3"/>
        <v>NO</v>
      </c>
    </row>
    <row r="161">
      <c r="A161" s="4">
        <f>IFERROR(__xludf.DUMMYFUNCTION("""COMPUTED_VALUE"""),1135484.0)</f>
        <v>1135484</v>
      </c>
      <c r="B161" s="4" t="str">
        <f>IFERROR(__xludf.DUMMYFUNCTION("""COMPUTED_VALUE"""),"P2 - High")</f>
        <v>P2 - High</v>
      </c>
      <c r="C161" s="5">
        <f>IFERROR(__xludf.DUMMYFUNCTION("""COMPUTED_VALUE"""),43602.47592592592)</f>
        <v>43602.47593</v>
      </c>
      <c r="D161" s="4" t="str">
        <f>IFERROR(__xludf.DUMMYFUNCTION("""COMPUTED_VALUE"""),"RESOLVED")</f>
        <v>RESOLVED</v>
      </c>
      <c r="E161" s="6">
        <f>IFERROR(__xludf.DUMMYFUNCTION("""COMPUTED_VALUE"""),43891.84358796296)</f>
        <v>43891.84359</v>
      </c>
      <c r="F161" s="4" t="str">
        <f>IFERROR(__xludf.DUMMYFUNCTION("""COMPUTED_VALUE""")," ---")</f>
        <v> ---</v>
      </c>
      <c r="G161" s="4" t="str">
        <f>IFERROR(__xludf.DUMMYFUNCTION("""COMPUTED_VALUE"""),"SUSE Linux Enterprise Server 15 SP1")</f>
        <v>SUSE Linux Enterprise Server 15 SP1</v>
      </c>
      <c r="H161" s="7" t="str">
        <f t="shared" si="2"/>
        <v>NO</v>
      </c>
      <c r="I161" s="7" t="str">
        <f t="shared" si="3"/>
        <v>NO</v>
      </c>
    </row>
    <row r="162">
      <c r="A162" s="4">
        <f>IFERROR(__xludf.DUMMYFUNCTION("""COMPUTED_VALUE"""),1128992.0)</f>
        <v>1128992</v>
      </c>
      <c r="B162" s="4" t="str">
        <f>IFERROR(__xludf.DUMMYFUNCTION("""COMPUTED_VALUE"""),"P2 - High")</f>
        <v>P2 - High</v>
      </c>
      <c r="C162" s="5">
        <f>IFERROR(__xludf.DUMMYFUNCTION("""COMPUTED_VALUE"""),43536.89880787037)</f>
        <v>43536.89881</v>
      </c>
      <c r="D162" s="4" t="str">
        <f>IFERROR(__xludf.DUMMYFUNCTION("""COMPUTED_VALUE"""),"RESOLVED")</f>
        <v>RESOLVED</v>
      </c>
      <c r="E162" s="6">
        <f>IFERROR(__xludf.DUMMYFUNCTION("""COMPUTED_VALUE"""),43658.67815972222)</f>
        <v>43658.67816</v>
      </c>
      <c r="F162" s="4" t="str">
        <f>IFERROR(__xludf.DUMMYFUNCTION("""COMPUTED_VALUE"""),"Yes")</f>
        <v>Yes</v>
      </c>
      <c r="G162" s="4" t="str">
        <f>IFERROR(__xludf.DUMMYFUNCTION("""COMPUTED_VALUE"""),"SUSE Linux Enterprise Server 15 SP1")</f>
        <v>SUSE Linux Enterprise Server 15 SP1</v>
      </c>
      <c r="H162" s="7" t="str">
        <f t="shared" si="2"/>
        <v>NO</v>
      </c>
      <c r="I162" s="7" t="str">
        <f t="shared" si="3"/>
        <v>NO</v>
      </c>
    </row>
    <row r="163">
      <c r="A163" s="4">
        <f>IFERROR(__xludf.DUMMYFUNCTION("""COMPUTED_VALUE"""),1126782.0)</f>
        <v>1126782</v>
      </c>
      <c r="B163" s="4" t="str">
        <f>IFERROR(__xludf.DUMMYFUNCTION("""COMPUTED_VALUE"""),"P2 - High")</f>
        <v>P2 - High</v>
      </c>
      <c r="C163" s="5">
        <f>IFERROR(__xludf.DUMMYFUNCTION("""COMPUTED_VALUE"""),43521.49133101852)</f>
        <v>43521.49133</v>
      </c>
      <c r="D163" s="4" t="str">
        <f>IFERROR(__xludf.DUMMYFUNCTION("""COMPUTED_VALUE"""),"RESOLVED")</f>
        <v>RESOLVED</v>
      </c>
      <c r="E163" s="6">
        <f>IFERROR(__xludf.DUMMYFUNCTION("""COMPUTED_VALUE"""),44711.031018518515)</f>
        <v>44711.03102</v>
      </c>
      <c r="F163" s="4" t="str">
        <f>IFERROR(__xludf.DUMMYFUNCTION("""COMPUTED_VALUE"""),"Yes")</f>
        <v>Yes</v>
      </c>
      <c r="G163" s="4" t="str">
        <f>IFERROR(__xludf.DUMMYFUNCTION("""COMPUTED_VALUE"""),"SUSE Linux Enterprise Server 15 SP1")</f>
        <v>SUSE Linux Enterprise Server 15 SP1</v>
      </c>
      <c r="H163" s="7" t="str">
        <f t="shared" si="2"/>
        <v>NO</v>
      </c>
      <c r="I163" s="7" t="str">
        <f t="shared" si="3"/>
        <v>NO</v>
      </c>
    </row>
    <row r="164">
      <c r="A164" s="4">
        <f>IFERROR(__xludf.DUMMYFUNCTION("""COMPUTED_VALUE"""),1109837.0)</f>
        <v>1109837</v>
      </c>
      <c r="B164" s="4" t="str">
        <f>IFERROR(__xludf.DUMMYFUNCTION("""COMPUTED_VALUE"""),"P2 - High")</f>
        <v>P2 - High</v>
      </c>
      <c r="C164" s="5">
        <f>IFERROR(__xludf.DUMMYFUNCTION("""COMPUTED_VALUE"""),43369.516875)</f>
        <v>43369.51688</v>
      </c>
      <c r="D164" s="4" t="str">
        <f>IFERROR(__xludf.DUMMYFUNCTION("""COMPUTED_VALUE"""),"RESOLVED")</f>
        <v>RESOLVED</v>
      </c>
      <c r="E164" s="6">
        <f>IFERROR(__xludf.DUMMYFUNCTION("""COMPUTED_VALUE"""),44629.00918981482)</f>
        <v>44629.00919</v>
      </c>
      <c r="F164" s="4" t="str">
        <f>IFERROR(__xludf.DUMMYFUNCTION("""COMPUTED_VALUE""")," ---")</f>
        <v> ---</v>
      </c>
      <c r="G164" s="4" t="str">
        <f>IFERROR(__xludf.DUMMYFUNCTION("""COMPUTED_VALUE"""),"SUSE Linux Enterprise Server 15 SP1")</f>
        <v>SUSE Linux Enterprise Server 15 SP1</v>
      </c>
      <c r="H164" s="7" t="str">
        <f t="shared" si="2"/>
        <v>NO</v>
      </c>
      <c r="I164" s="7" t="str">
        <f t="shared" si="3"/>
        <v>NO</v>
      </c>
    </row>
    <row r="165">
      <c r="A165" s="4">
        <f>IFERROR(__xludf.DUMMYFUNCTION("""COMPUTED_VALUE"""),1120394.0)</f>
        <v>1120394</v>
      </c>
      <c r="B165" s="4" t="str">
        <f>IFERROR(__xludf.DUMMYFUNCTION("""COMPUTED_VALUE"""),"P2 - High")</f>
        <v>P2 - High</v>
      </c>
      <c r="C165" s="5">
        <f>IFERROR(__xludf.DUMMYFUNCTION("""COMPUTED_VALUE"""),43463.30204861111)</f>
        <v>43463.30205</v>
      </c>
      <c r="D165" s="4" t="str">
        <f>IFERROR(__xludf.DUMMYFUNCTION("""COMPUTED_VALUE"""),"RESOLVED")</f>
        <v>RESOLVED</v>
      </c>
      <c r="E165" s="6">
        <f>IFERROR(__xludf.DUMMYFUNCTION("""COMPUTED_VALUE"""),43473.51577546296)</f>
        <v>43473.51578</v>
      </c>
      <c r="F165" s="4" t="str">
        <f>IFERROR(__xludf.DUMMYFUNCTION("""COMPUTED_VALUE""")," ---")</f>
        <v> ---</v>
      </c>
      <c r="G165" s="4" t="str">
        <f>IFERROR(__xludf.DUMMYFUNCTION("""COMPUTED_VALUE"""),"Beta SUSE Linux Enterprise Server 15 SP1")</f>
        <v>Beta SUSE Linux Enterprise Server 15 SP1</v>
      </c>
      <c r="H165" s="7" t="str">
        <f t="shared" si="2"/>
        <v>YES</v>
      </c>
      <c r="I165" s="7" t="str">
        <f t="shared" si="3"/>
        <v>NO</v>
      </c>
    </row>
    <row r="166">
      <c r="A166" s="4">
        <f>IFERROR(__xludf.DUMMYFUNCTION("""COMPUTED_VALUE"""),1122715.0)</f>
        <v>1122715</v>
      </c>
      <c r="B166" s="4" t="str">
        <f>IFERROR(__xludf.DUMMYFUNCTION("""COMPUTED_VALUE"""),"P2 - High")</f>
        <v>P2 - High</v>
      </c>
      <c r="C166" s="5">
        <f>IFERROR(__xludf.DUMMYFUNCTION("""COMPUTED_VALUE"""),43487.29237268519)</f>
        <v>43487.29237</v>
      </c>
      <c r="D166" s="4" t="str">
        <f>IFERROR(__xludf.DUMMYFUNCTION("""COMPUTED_VALUE"""),"RESOLVED")</f>
        <v>RESOLVED</v>
      </c>
      <c r="E166" s="6">
        <f>IFERROR(__xludf.DUMMYFUNCTION("""COMPUTED_VALUE"""),43685.540821759256)</f>
        <v>43685.54082</v>
      </c>
      <c r="F166" s="4" t="str">
        <f>IFERROR(__xludf.DUMMYFUNCTION("""COMPUTED_VALUE""")," ---")</f>
        <v> ---</v>
      </c>
      <c r="G166" s="4" t="str">
        <f>IFERROR(__xludf.DUMMYFUNCTION("""COMPUTED_VALUE"""),"SUSE Linux Enterprise Server 15 SP1")</f>
        <v>SUSE Linux Enterprise Server 15 SP1</v>
      </c>
      <c r="H166" s="7" t="str">
        <f t="shared" si="2"/>
        <v>NO</v>
      </c>
      <c r="I166" s="7" t="str">
        <f t="shared" si="3"/>
        <v>NO</v>
      </c>
    </row>
    <row r="167">
      <c r="A167" s="4">
        <f>IFERROR(__xludf.DUMMYFUNCTION("""COMPUTED_VALUE"""),1125239.0)</f>
        <v>1125239</v>
      </c>
      <c r="B167" s="4" t="str">
        <f>IFERROR(__xludf.DUMMYFUNCTION("""COMPUTED_VALUE"""),"P2 - High")</f>
        <v>P2 - High</v>
      </c>
      <c r="C167" s="5">
        <f>IFERROR(__xludf.DUMMYFUNCTION("""COMPUTED_VALUE"""),43509.32094907408)</f>
        <v>43509.32095</v>
      </c>
      <c r="D167" s="4" t="str">
        <f>IFERROR(__xludf.DUMMYFUNCTION("""COMPUTED_VALUE"""),"RESOLVED")</f>
        <v>RESOLVED</v>
      </c>
      <c r="E167" s="6">
        <f>IFERROR(__xludf.DUMMYFUNCTION("""COMPUTED_VALUE"""),43630.632939814815)</f>
        <v>43630.63294</v>
      </c>
      <c r="F167" s="4" t="str">
        <f>IFERROR(__xludf.DUMMYFUNCTION("""COMPUTED_VALUE""")," ---")</f>
        <v> ---</v>
      </c>
      <c r="G167" s="4" t="str">
        <f>IFERROR(__xludf.DUMMYFUNCTION("""COMPUTED_VALUE"""),"SUSE Linux Enterprise Server 15 SP1")</f>
        <v>SUSE Linux Enterprise Server 15 SP1</v>
      </c>
      <c r="H167" s="7" t="str">
        <f t="shared" si="2"/>
        <v>NO</v>
      </c>
      <c r="I167" s="7" t="str">
        <f t="shared" si="3"/>
        <v>NO</v>
      </c>
    </row>
    <row r="168">
      <c r="A168" s="4">
        <f>IFERROR(__xludf.DUMMYFUNCTION("""COMPUTED_VALUE"""),1127177.0)</f>
        <v>1127177</v>
      </c>
      <c r="B168" s="4" t="str">
        <f>IFERROR(__xludf.DUMMYFUNCTION("""COMPUTED_VALUE"""),"P2 - High")</f>
        <v>P2 - High</v>
      </c>
      <c r="C168" s="5">
        <f>IFERROR(__xludf.DUMMYFUNCTION("""COMPUTED_VALUE"""),43523.497928240744)</f>
        <v>43523.49793</v>
      </c>
      <c r="D168" s="4" t="str">
        <f>IFERROR(__xludf.DUMMYFUNCTION("""COMPUTED_VALUE"""),"RESOLVED")</f>
        <v>RESOLVED</v>
      </c>
      <c r="E168" s="6">
        <f>IFERROR(__xludf.DUMMYFUNCTION("""COMPUTED_VALUE"""),43630.63422453704)</f>
        <v>43630.63422</v>
      </c>
      <c r="F168" s="4" t="str">
        <f>IFERROR(__xludf.DUMMYFUNCTION("""COMPUTED_VALUE""")," ---")</f>
        <v> ---</v>
      </c>
      <c r="G168" s="4" t="str">
        <f>IFERROR(__xludf.DUMMYFUNCTION("""COMPUTED_VALUE"""),"SUSE Linux Enterprise Server 15 SP1")</f>
        <v>SUSE Linux Enterprise Server 15 SP1</v>
      </c>
      <c r="H168" s="7" t="str">
        <f t="shared" si="2"/>
        <v>NO</v>
      </c>
      <c r="I168" s="7" t="str">
        <f t="shared" si="3"/>
        <v>NO</v>
      </c>
    </row>
    <row r="169">
      <c r="A169" s="4">
        <f>IFERROR(__xludf.DUMMYFUNCTION("""COMPUTED_VALUE"""),1127354.0)</f>
        <v>1127354</v>
      </c>
      <c r="B169" s="4" t="str">
        <f>IFERROR(__xludf.DUMMYFUNCTION("""COMPUTED_VALUE"""),"P2 - High")</f>
        <v>P2 - High</v>
      </c>
      <c r="C169" s="5">
        <f>IFERROR(__xludf.DUMMYFUNCTION("""COMPUTED_VALUE"""),43524.51509259259)</f>
        <v>43524.51509</v>
      </c>
      <c r="D169" s="4" t="str">
        <f>IFERROR(__xludf.DUMMYFUNCTION("""COMPUTED_VALUE"""),"RESOLVED")</f>
        <v>RESOLVED</v>
      </c>
      <c r="E169" s="6">
        <f>IFERROR(__xludf.DUMMYFUNCTION("""COMPUTED_VALUE"""),44246.84706018519)</f>
        <v>44246.84706</v>
      </c>
      <c r="F169" s="4" t="str">
        <f>IFERROR(__xludf.DUMMYFUNCTION("""COMPUTED_VALUE""")," ---")</f>
        <v> ---</v>
      </c>
      <c r="G169" s="4" t="str">
        <f>IFERROR(__xludf.DUMMYFUNCTION("""COMPUTED_VALUE"""),"SUSE Linux Enterprise Server 15 SP1")</f>
        <v>SUSE Linux Enterprise Server 15 SP1</v>
      </c>
      <c r="H169" s="7" t="str">
        <f t="shared" si="2"/>
        <v>NO</v>
      </c>
      <c r="I169" s="7" t="str">
        <f t="shared" si="3"/>
        <v>NO</v>
      </c>
    </row>
    <row r="170">
      <c r="A170" s="4">
        <f>IFERROR(__xludf.DUMMYFUNCTION("""COMPUTED_VALUE"""),1127360.0)</f>
        <v>1127360</v>
      </c>
      <c r="B170" s="4" t="str">
        <f>IFERROR(__xludf.DUMMYFUNCTION("""COMPUTED_VALUE"""),"P2 - High")</f>
        <v>P2 - High</v>
      </c>
      <c r="C170" s="5">
        <f>IFERROR(__xludf.DUMMYFUNCTION("""COMPUTED_VALUE"""),43524.51982638889)</f>
        <v>43524.51983</v>
      </c>
      <c r="D170" s="4" t="str">
        <f>IFERROR(__xludf.DUMMYFUNCTION("""COMPUTED_VALUE"""),"RESOLVED")</f>
        <v>RESOLVED</v>
      </c>
      <c r="E170" s="6">
        <f>IFERROR(__xludf.DUMMYFUNCTION("""COMPUTED_VALUE"""),43630.634351851855)</f>
        <v>43630.63435</v>
      </c>
      <c r="F170" s="4" t="str">
        <f>IFERROR(__xludf.DUMMYFUNCTION("""COMPUTED_VALUE""")," ---")</f>
        <v> ---</v>
      </c>
      <c r="G170" s="4" t="str">
        <f>IFERROR(__xludf.DUMMYFUNCTION("""COMPUTED_VALUE"""),"SUSE Linux Enterprise Server 15 SP1")</f>
        <v>SUSE Linux Enterprise Server 15 SP1</v>
      </c>
      <c r="H170" s="7" t="str">
        <f t="shared" si="2"/>
        <v>NO</v>
      </c>
      <c r="I170" s="7" t="str">
        <f t="shared" si="3"/>
        <v>NO</v>
      </c>
    </row>
    <row r="171">
      <c r="A171" s="4">
        <f>IFERROR(__xludf.DUMMYFUNCTION("""COMPUTED_VALUE"""),1127611.0)</f>
        <v>1127611</v>
      </c>
      <c r="B171" s="4" t="str">
        <f>IFERROR(__xludf.DUMMYFUNCTION("""COMPUTED_VALUE"""),"P2 - High")</f>
        <v>P2 - High</v>
      </c>
      <c r="C171" s="5">
        <f>IFERROR(__xludf.DUMMYFUNCTION("""COMPUTED_VALUE"""),43527.40185185185)</f>
        <v>43527.40185</v>
      </c>
      <c r="D171" s="4" t="str">
        <f>IFERROR(__xludf.DUMMYFUNCTION("""COMPUTED_VALUE"""),"RESOLVED")</f>
        <v>RESOLVED</v>
      </c>
      <c r="E171" s="6">
        <f>IFERROR(__xludf.DUMMYFUNCTION("""COMPUTED_VALUE"""),43950.71653935185)</f>
        <v>43950.71654</v>
      </c>
      <c r="F171" s="4" t="str">
        <f>IFERROR(__xludf.DUMMYFUNCTION("""COMPUTED_VALUE""")," ---")</f>
        <v> ---</v>
      </c>
      <c r="G171" s="4" t="str">
        <f>IFERROR(__xludf.DUMMYFUNCTION("""COMPUTED_VALUE"""),"SUSE Linux Enterprise Server 15 SP1")</f>
        <v>SUSE Linux Enterprise Server 15 SP1</v>
      </c>
      <c r="H171" s="7" t="str">
        <f t="shared" si="2"/>
        <v>NO</v>
      </c>
      <c r="I171" s="7" t="str">
        <f t="shared" si="3"/>
        <v>NO</v>
      </c>
    </row>
    <row r="172">
      <c r="A172" s="4">
        <f>IFERROR(__xludf.DUMMYFUNCTION("""COMPUTED_VALUE"""),1129030.0)</f>
        <v>1129030</v>
      </c>
      <c r="B172" s="4" t="str">
        <f>IFERROR(__xludf.DUMMYFUNCTION("""COMPUTED_VALUE"""),"P2 - High")</f>
        <v>P2 - High</v>
      </c>
      <c r="C172" s="5">
        <f>IFERROR(__xludf.DUMMYFUNCTION("""COMPUTED_VALUE"""),43537.3215625)</f>
        <v>43537.32156</v>
      </c>
      <c r="D172" s="4" t="str">
        <f>IFERROR(__xludf.DUMMYFUNCTION("""COMPUTED_VALUE"""),"RESOLVED")</f>
        <v>RESOLVED</v>
      </c>
      <c r="E172" s="6">
        <f>IFERROR(__xludf.DUMMYFUNCTION("""COMPUTED_VALUE"""),43630.635358796295)</f>
        <v>43630.63536</v>
      </c>
      <c r="F172" s="4" t="str">
        <f>IFERROR(__xludf.DUMMYFUNCTION("""COMPUTED_VALUE""")," ---")</f>
        <v> ---</v>
      </c>
      <c r="G172" s="4" t="str">
        <f>IFERROR(__xludf.DUMMYFUNCTION("""COMPUTED_VALUE"""),"SUSE Linux Enterprise Server 15 SP1")</f>
        <v>SUSE Linux Enterprise Server 15 SP1</v>
      </c>
      <c r="H172" s="7" t="str">
        <f t="shared" si="2"/>
        <v>NO</v>
      </c>
      <c r="I172" s="7" t="str">
        <f t="shared" si="3"/>
        <v>NO</v>
      </c>
    </row>
    <row r="173">
      <c r="A173" s="4">
        <f>IFERROR(__xludf.DUMMYFUNCTION("""COMPUTED_VALUE"""),1130836.0)</f>
        <v>1130836</v>
      </c>
      <c r="B173" s="4" t="str">
        <f>IFERROR(__xludf.DUMMYFUNCTION("""COMPUTED_VALUE"""),"P2 - High")</f>
        <v>P2 - High</v>
      </c>
      <c r="C173" s="5">
        <f>IFERROR(__xludf.DUMMYFUNCTION("""COMPUTED_VALUE"""),43552.54736111111)</f>
        <v>43552.54736</v>
      </c>
      <c r="D173" s="4" t="str">
        <f>IFERROR(__xludf.DUMMYFUNCTION("""COMPUTED_VALUE"""),"RESOLVED")</f>
        <v>RESOLVED</v>
      </c>
      <c r="E173" s="6">
        <f>IFERROR(__xludf.DUMMYFUNCTION("""COMPUTED_VALUE"""),43731.61114583333)</f>
        <v>43731.61115</v>
      </c>
      <c r="F173" s="4" t="str">
        <f>IFERROR(__xludf.DUMMYFUNCTION("""COMPUTED_VALUE""")," ---")</f>
        <v> ---</v>
      </c>
      <c r="G173" s="4" t="str">
        <f>IFERROR(__xludf.DUMMYFUNCTION("""COMPUTED_VALUE"""),"SUSE Linux Enterprise Server 15 SP1")</f>
        <v>SUSE Linux Enterprise Server 15 SP1</v>
      </c>
      <c r="H173" s="7" t="str">
        <f t="shared" si="2"/>
        <v>NO</v>
      </c>
      <c r="I173" s="7" t="str">
        <f t="shared" si="3"/>
        <v>NO</v>
      </c>
    </row>
    <row r="174">
      <c r="A174" s="4">
        <f>IFERROR(__xludf.DUMMYFUNCTION("""COMPUTED_VALUE"""),1136188.0)</f>
        <v>1136188</v>
      </c>
      <c r="B174" s="4" t="str">
        <f>IFERROR(__xludf.DUMMYFUNCTION("""COMPUTED_VALUE"""),"P2 - High")</f>
        <v>P2 - High</v>
      </c>
      <c r="C174" s="5">
        <f>IFERROR(__xludf.DUMMYFUNCTION("""COMPUTED_VALUE"""),43609.3690625)</f>
        <v>43609.36906</v>
      </c>
      <c r="D174" s="4" t="str">
        <f>IFERROR(__xludf.DUMMYFUNCTION("""COMPUTED_VALUE"""),"RESOLVED")</f>
        <v>RESOLVED</v>
      </c>
      <c r="E174" s="6">
        <f>IFERROR(__xludf.DUMMYFUNCTION("""COMPUTED_VALUE"""),43731.95238425926)</f>
        <v>43731.95238</v>
      </c>
      <c r="F174" s="4" t="str">
        <f>IFERROR(__xludf.DUMMYFUNCTION("""COMPUTED_VALUE""")," ---")</f>
        <v> ---</v>
      </c>
      <c r="G174" s="4" t="str">
        <f>IFERROR(__xludf.DUMMYFUNCTION("""COMPUTED_VALUE"""),"Beta SUSE Linux Enterprise Server 15 SP1")</f>
        <v>Beta SUSE Linux Enterprise Server 15 SP1</v>
      </c>
      <c r="H174" s="7" t="str">
        <f t="shared" si="2"/>
        <v>NO</v>
      </c>
      <c r="I174" s="7" t="str">
        <f t="shared" si="3"/>
        <v>NO</v>
      </c>
    </row>
    <row r="175">
      <c r="A175" s="4">
        <f>IFERROR(__xludf.DUMMYFUNCTION("""COMPUTED_VALUE"""),1137222.0)</f>
        <v>1137222</v>
      </c>
      <c r="B175" s="4" t="str">
        <f>IFERROR(__xludf.DUMMYFUNCTION("""COMPUTED_VALUE"""),"P2 - High")</f>
        <v>P2 - High</v>
      </c>
      <c r="C175" s="5">
        <f>IFERROR(__xludf.DUMMYFUNCTION("""COMPUTED_VALUE"""),43620.45180555555)</f>
        <v>43620.45181</v>
      </c>
      <c r="D175" s="4" t="str">
        <f>IFERROR(__xludf.DUMMYFUNCTION("""COMPUTED_VALUE"""),"RESOLVED")</f>
        <v>RESOLVED</v>
      </c>
      <c r="E175" s="6">
        <f>IFERROR(__xludf.DUMMYFUNCTION("""COMPUTED_VALUE"""),43628.536145833335)</f>
        <v>43628.53615</v>
      </c>
      <c r="F175" s="4" t="str">
        <f>IFERROR(__xludf.DUMMYFUNCTION("""COMPUTED_VALUE""")," ---")</f>
        <v> ---</v>
      </c>
      <c r="G175" s="4" t="str">
        <f>IFERROR(__xludf.DUMMYFUNCTION("""COMPUTED_VALUE"""),"SUSE Linux Enterprise Server 15 SP1")</f>
        <v>SUSE Linux Enterprise Server 15 SP1</v>
      </c>
      <c r="H175" s="7" t="str">
        <f t="shared" si="2"/>
        <v>NO</v>
      </c>
      <c r="I175" s="7" t="str">
        <f t="shared" si="3"/>
        <v>NO</v>
      </c>
    </row>
    <row r="176">
      <c r="A176" s="4">
        <f>IFERROR(__xludf.DUMMYFUNCTION("""COMPUTED_VALUE"""),1137224.0)</f>
        <v>1137224</v>
      </c>
      <c r="B176" s="4" t="str">
        <f>IFERROR(__xludf.DUMMYFUNCTION("""COMPUTED_VALUE"""),"P2 - High")</f>
        <v>P2 - High</v>
      </c>
      <c r="C176" s="5">
        <f>IFERROR(__xludf.DUMMYFUNCTION("""COMPUTED_VALUE"""),43620.454097222224)</f>
        <v>43620.4541</v>
      </c>
      <c r="D176" s="4" t="str">
        <f>IFERROR(__xludf.DUMMYFUNCTION("""COMPUTED_VALUE"""),"RESOLVED")</f>
        <v>RESOLVED</v>
      </c>
      <c r="E176" s="6">
        <f>IFERROR(__xludf.DUMMYFUNCTION("""COMPUTED_VALUE"""),43732.28325231482)</f>
        <v>43732.28325</v>
      </c>
      <c r="F176" s="4" t="str">
        <f>IFERROR(__xludf.DUMMYFUNCTION("""COMPUTED_VALUE""")," ---")</f>
        <v> ---</v>
      </c>
      <c r="G176" s="4" t="str">
        <f>IFERROR(__xludf.DUMMYFUNCTION("""COMPUTED_VALUE"""),"SUSE Linux Enterprise Server 15 SP1")</f>
        <v>SUSE Linux Enterprise Server 15 SP1</v>
      </c>
      <c r="H176" s="7" t="str">
        <f t="shared" si="2"/>
        <v>NO</v>
      </c>
      <c r="I176" s="7" t="str">
        <f t="shared" si="3"/>
        <v>NO</v>
      </c>
    </row>
    <row r="177">
      <c r="A177" s="4">
        <f>IFERROR(__xludf.DUMMYFUNCTION("""COMPUTED_VALUE"""),1120318.0)</f>
        <v>1120318</v>
      </c>
      <c r="B177" s="4" t="str">
        <f>IFERROR(__xludf.DUMMYFUNCTION("""COMPUTED_VALUE"""),"P2 - High")</f>
        <v>P2 - High</v>
      </c>
      <c r="C177" s="5">
        <f>IFERROR(__xludf.DUMMYFUNCTION("""COMPUTED_VALUE"""),43461.076585648145)</f>
        <v>43461.07659</v>
      </c>
      <c r="D177" s="4" t="str">
        <f>IFERROR(__xludf.DUMMYFUNCTION("""COMPUTED_VALUE"""),"RESOLVED")</f>
        <v>RESOLVED</v>
      </c>
      <c r="E177" s="6">
        <f>IFERROR(__xludf.DUMMYFUNCTION("""COMPUTED_VALUE"""),44624.88270833333)</f>
        <v>44624.88271</v>
      </c>
      <c r="F177" s="4" t="str">
        <f>IFERROR(__xludf.DUMMYFUNCTION("""COMPUTED_VALUE""")," ---")</f>
        <v> ---</v>
      </c>
      <c r="G177" s="4" t="str">
        <f>IFERROR(__xludf.DUMMYFUNCTION("""COMPUTED_VALUE"""),"Beta SUSE Linux Enterprise Server 15 SP1")</f>
        <v>Beta SUSE Linux Enterprise Server 15 SP1</v>
      </c>
      <c r="H177" s="7" t="str">
        <f t="shared" si="2"/>
        <v>YES</v>
      </c>
      <c r="I177" s="7" t="str">
        <f t="shared" si="3"/>
        <v>NO</v>
      </c>
    </row>
    <row r="178">
      <c r="A178" s="4">
        <f>IFERROR(__xludf.DUMMYFUNCTION("""COMPUTED_VALUE"""),1122860.0)</f>
        <v>1122860</v>
      </c>
      <c r="B178" s="4" t="str">
        <f>IFERROR(__xludf.DUMMYFUNCTION("""COMPUTED_VALUE"""),"P2 - High")</f>
        <v>P2 - High</v>
      </c>
      <c r="C178" s="5">
        <f>IFERROR(__xludf.DUMMYFUNCTION("""COMPUTED_VALUE"""),43488.41813657407)</f>
        <v>43488.41814</v>
      </c>
      <c r="D178" s="4" t="str">
        <f>IFERROR(__xludf.DUMMYFUNCTION("""COMPUTED_VALUE"""),"RESOLVED")</f>
        <v>RESOLVED</v>
      </c>
      <c r="E178" s="6">
        <f>IFERROR(__xludf.DUMMYFUNCTION("""COMPUTED_VALUE"""),43490.77806712963)</f>
        <v>43490.77807</v>
      </c>
      <c r="F178" s="4" t="str">
        <f>IFERROR(__xludf.DUMMYFUNCTION("""COMPUTED_VALUE""")," ---")</f>
        <v> ---</v>
      </c>
      <c r="G178" s="4" t="str">
        <f>IFERROR(__xludf.DUMMYFUNCTION("""COMPUTED_VALUE"""),"SUSE Linux Enterprise Server 15 SP1")</f>
        <v>SUSE Linux Enterprise Server 15 SP1</v>
      </c>
      <c r="H178" s="7" t="str">
        <f t="shared" si="2"/>
        <v>NO</v>
      </c>
      <c r="I178" s="7" t="str">
        <f t="shared" si="3"/>
        <v>NO</v>
      </c>
    </row>
    <row r="179">
      <c r="A179" s="4">
        <f>IFERROR(__xludf.DUMMYFUNCTION("""COMPUTED_VALUE"""),1122944.0)</f>
        <v>1122944</v>
      </c>
      <c r="B179" s="4" t="str">
        <f>IFERROR(__xludf.DUMMYFUNCTION("""COMPUTED_VALUE"""),"P2 - High")</f>
        <v>P2 - High</v>
      </c>
      <c r="C179" s="5">
        <f>IFERROR(__xludf.DUMMYFUNCTION("""COMPUTED_VALUE"""),43488.90200231481)</f>
        <v>43488.902</v>
      </c>
      <c r="D179" s="4" t="str">
        <f>IFERROR(__xludf.DUMMYFUNCTION("""COMPUTED_VALUE"""),"RESOLVED")</f>
        <v>RESOLVED</v>
      </c>
      <c r="E179" s="6">
        <f>IFERROR(__xludf.DUMMYFUNCTION("""COMPUTED_VALUE"""),44624.884791666664)</f>
        <v>44624.88479</v>
      </c>
      <c r="F179" s="4" t="str">
        <f>IFERROR(__xludf.DUMMYFUNCTION("""COMPUTED_VALUE""")," ---")</f>
        <v> ---</v>
      </c>
      <c r="G179" s="4" t="str">
        <f>IFERROR(__xludf.DUMMYFUNCTION("""COMPUTED_VALUE"""),"Beta SUSE Linux Enterprise Server 15 SP1")</f>
        <v>Beta SUSE Linux Enterprise Server 15 SP1</v>
      </c>
      <c r="H179" s="7" t="str">
        <f t="shared" si="2"/>
        <v>NO</v>
      </c>
      <c r="I179" s="7" t="str">
        <f t="shared" si="3"/>
        <v>NO</v>
      </c>
    </row>
    <row r="180">
      <c r="A180" s="4">
        <f>IFERROR(__xludf.DUMMYFUNCTION("""COMPUTED_VALUE"""),1139193.0)</f>
        <v>1139193</v>
      </c>
      <c r="B180" s="4" t="str">
        <f>IFERROR(__xludf.DUMMYFUNCTION("""COMPUTED_VALUE"""),"P2 - High")</f>
        <v>P2 - High</v>
      </c>
      <c r="C180" s="5">
        <f>IFERROR(__xludf.DUMMYFUNCTION("""COMPUTED_VALUE"""),43640.78686342593)</f>
        <v>43640.78686</v>
      </c>
      <c r="D180" s="4" t="str">
        <f>IFERROR(__xludf.DUMMYFUNCTION("""COMPUTED_VALUE"""),"RESOLVED")</f>
        <v>RESOLVED</v>
      </c>
      <c r="E180" s="6">
        <f>IFERROR(__xludf.DUMMYFUNCTION("""COMPUTED_VALUE"""),43655.60806712963)</f>
        <v>43655.60807</v>
      </c>
      <c r="F180" s="4" t="str">
        <f>IFERROR(__xludf.DUMMYFUNCTION("""COMPUTED_VALUE""")," ---")</f>
        <v> ---</v>
      </c>
      <c r="G180" s="4" t="str">
        <f>IFERROR(__xludf.DUMMYFUNCTION("""COMPUTED_VALUE"""),"SUSE Linux Enterprise Server 15 SP1")</f>
        <v>SUSE Linux Enterprise Server 15 SP1</v>
      </c>
      <c r="H180" s="7" t="str">
        <f t="shared" si="2"/>
        <v>NO</v>
      </c>
      <c r="I180" s="7" t="str">
        <f t="shared" si="3"/>
        <v>NO</v>
      </c>
    </row>
    <row r="181">
      <c r="A181" s="4">
        <f>IFERROR(__xludf.DUMMYFUNCTION("""COMPUTED_VALUE"""),1115391.0)</f>
        <v>1115391</v>
      </c>
      <c r="B181" s="4" t="str">
        <f>IFERROR(__xludf.DUMMYFUNCTION("""COMPUTED_VALUE"""),"P2 - High")</f>
        <v>P2 - High</v>
      </c>
      <c r="C181" s="5">
        <f>IFERROR(__xludf.DUMMYFUNCTION("""COMPUTED_VALUE"""),43413.48637731482)</f>
        <v>43413.48638</v>
      </c>
      <c r="D181" s="4" t="str">
        <f>IFERROR(__xludf.DUMMYFUNCTION("""COMPUTED_VALUE"""),"RESOLVED")</f>
        <v>RESOLVED</v>
      </c>
      <c r="E181" s="6">
        <f>IFERROR(__xludf.DUMMYFUNCTION("""COMPUTED_VALUE"""),43669.84386574074)</f>
        <v>43669.84387</v>
      </c>
      <c r="F181" s="4" t="str">
        <f>IFERROR(__xludf.DUMMYFUNCTION("""COMPUTED_VALUE""")," ---")</f>
        <v> ---</v>
      </c>
      <c r="G181" s="4" t="str">
        <f>IFERROR(__xludf.DUMMYFUNCTION("""COMPUTED_VALUE"""),"SUSE Linux Enterprise Server 15 SP1")</f>
        <v>SUSE Linux Enterprise Server 15 SP1</v>
      </c>
      <c r="H181" s="7" t="str">
        <f t="shared" si="2"/>
        <v>NO</v>
      </c>
      <c r="I181" s="7" t="str">
        <f t="shared" si="3"/>
        <v>NO</v>
      </c>
    </row>
    <row r="182">
      <c r="A182" s="4">
        <f>IFERROR(__xludf.DUMMYFUNCTION("""COMPUTED_VALUE"""),1119401.0)</f>
        <v>1119401</v>
      </c>
      <c r="B182" s="4" t="str">
        <f>IFERROR(__xludf.DUMMYFUNCTION("""COMPUTED_VALUE"""),"P2 - High")</f>
        <v>P2 - High</v>
      </c>
      <c r="C182" s="5">
        <f>IFERROR(__xludf.DUMMYFUNCTION("""COMPUTED_VALUE"""),43447.58484953704)</f>
        <v>43447.58485</v>
      </c>
      <c r="D182" s="4" t="str">
        <f>IFERROR(__xludf.DUMMYFUNCTION("""COMPUTED_VALUE"""),"RESOLVED")</f>
        <v>RESOLVED</v>
      </c>
      <c r="E182" s="6">
        <f>IFERROR(__xludf.DUMMYFUNCTION("""COMPUTED_VALUE"""),43480.50133101852)</f>
        <v>43480.50133</v>
      </c>
      <c r="F182" s="4" t="str">
        <f>IFERROR(__xludf.DUMMYFUNCTION("""COMPUTED_VALUE""")," ---")</f>
        <v> ---</v>
      </c>
      <c r="G182" s="4" t="str">
        <f>IFERROR(__xludf.DUMMYFUNCTION("""COMPUTED_VALUE"""),"SUSE Linux Enterprise Server 15 SP1")</f>
        <v>SUSE Linux Enterprise Server 15 SP1</v>
      </c>
      <c r="H182" s="7" t="str">
        <f t="shared" si="2"/>
        <v>NO</v>
      </c>
      <c r="I182" s="7" t="str">
        <f t="shared" si="3"/>
        <v>NO</v>
      </c>
    </row>
    <row r="183">
      <c r="A183" s="4">
        <f>IFERROR(__xludf.DUMMYFUNCTION("""COMPUTED_VALUE"""),1122179.0)</f>
        <v>1122179</v>
      </c>
      <c r="B183" s="4" t="str">
        <f>IFERROR(__xludf.DUMMYFUNCTION("""COMPUTED_VALUE"""),"P2 - High")</f>
        <v>P2 - High</v>
      </c>
      <c r="C183" s="5">
        <f>IFERROR(__xludf.DUMMYFUNCTION("""COMPUTED_VALUE"""),43481.50037037037)</f>
        <v>43481.50037</v>
      </c>
      <c r="D183" s="4" t="str">
        <f>IFERROR(__xludf.DUMMYFUNCTION("""COMPUTED_VALUE"""),"RESOLVED")</f>
        <v>RESOLVED</v>
      </c>
      <c r="E183" s="6">
        <f>IFERROR(__xludf.DUMMYFUNCTION("""COMPUTED_VALUE"""),43656.31365740741)</f>
        <v>43656.31366</v>
      </c>
      <c r="F183" s="4" t="str">
        <f>IFERROR(__xludf.DUMMYFUNCTION("""COMPUTED_VALUE""")," ---")</f>
        <v> ---</v>
      </c>
      <c r="G183" s="4" t="str">
        <f>IFERROR(__xludf.DUMMYFUNCTION("""COMPUTED_VALUE"""),"SUSE Linux Enterprise Server 15 SP1")</f>
        <v>SUSE Linux Enterprise Server 15 SP1</v>
      </c>
      <c r="H183" s="7" t="str">
        <f t="shared" si="2"/>
        <v>NO</v>
      </c>
      <c r="I183" s="7" t="str">
        <f t="shared" si="3"/>
        <v>NO</v>
      </c>
    </row>
    <row r="184">
      <c r="A184" s="4">
        <f>IFERROR(__xludf.DUMMYFUNCTION("""COMPUTED_VALUE"""),1131438.0)</f>
        <v>1131438</v>
      </c>
      <c r="B184" s="4" t="str">
        <f>IFERROR(__xludf.DUMMYFUNCTION("""COMPUTED_VALUE"""),"P2 - High")</f>
        <v>P2 - High</v>
      </c>
      <c r="C184" s="5">
        <f>IFERROR(__xludf.DUMMYFUNCTION("""COMPUTED_VALUE"""),43558.61163194444)</f>
        <v>43558.61163</v>
      </c>
      <c r="D184" s="4" t="str">
        <f>IFERROR(__xludf.DUMMYFUNCTION("""COMPUTED_VALUE"""),"RESOLVED")</f>
        <v>RESOLVED</v>
      </c>
      <c r="E184" s="6">
        <f>IFERROR(__xludf.DUMMYFUNCTION("""COMPUTED_VALUE"""),43731.61274305556)</f>
        <v>43731.61274</v>
      </c>
      <c r="F184" s="4" t="str">
        <f>IFERROR(__xludf.DUMMYFUNCTION("""COMPUTED_VALUE""")," ---")</f>
        <v> ---</v>
      </c>
      <c r="G184" s="4" t="str">
        <f>IFERROR(__xludf.DUMMYFUNCTION("""COMPUTED_VALUE"""),"SUSE Linux Enterprise Server 15 SP1")</f>
        <v>SUSE Linux Enterprise Server 15 SP1</v>
      </c>
      <c r="H184" s="7" t="str">
        <f t="shared" si="2"/>
        <v>NO</v>
      </c>
      <c r="I184" s="7" t="str">
        <f t="shared" si="3"/>
        <v>NO</v>
      </c>
    </row>
    <row r="185">
      <c r="A185" s="4">
        <f>IFERROR(__xludf.DUMMYFUNCTION("""COMPUTED_VALUE"""),1134223.0)</f>
        <v>1134223</v>
      </c>
      <c r="B185" s="4" t="str">
        <f>IFERROR(__xludf.DUMMYFUNCTION("""COMPUTED_VALUE"""),"P2 - High")</f>
        <v>P2 - High</v>
      </c>
      <c r="C185" s="5">
        <f>IFERROR(__xludf.DUMMYFUNCTION("""COMPUTED_VALUE"""),43591.67806712963)</f>
        <v>43591.67807</v>
      </c>
      <c r="D185" s="4" t="str">
        <f>IFERROR(__xludf.DUMMYFUNCTION("""COMPUTED_VALUE"""),"RESOLVED")</f>
        <v>RESOLVED</v>
      </c>
      <c r="E185" s="6">
        <f>IFERROR(__xludf.DUMMYFUNCTION("""COMPUTED_VALUE"""),43732.28476851852)</f>
        <v>43732.28477</v>
      </c>
      <c r="F185" s="4" t="str">
        <f>IFERROR(__xludf.DUMMYFUNCTION("""COMPUTED_VALUE""")," ---")</f>
        <v> ---</v>
      </c>
      <c r="G185" s="4" t="str">
        <f>IFERROR(__xludf.DUMMYFUNCTION("""COMPUTED_VALUE"""),"SUSE Linux Enterprise Server 15 SP1")</f>
        <v>SUSE Linux Enterprise Server 15 SP1</v>
      </c>
      <c r="H185" s="7" t="str">
        <f t="shared" si="2"/>
        <v>NO</v>
      </c>
      <c r="I185" s="7" t="str">
        <f t="shared" si="3"/>
        <v>NO</v>
      </c>
    </row>
    <row r="186">
      <c r="A186" s="4">
        <f>IFERROR(__xludf.DUMMYFUNCTION("""COMPUTED_VALUE"""),1131220.0)</f>
        <v>1131220</v>
      </c>
      <c r="B186" s="4" t="str">
        <f>IFERROR(__xludf.DUMMYFUNCTION("""COMPUTED_VALUE"""),"P2 - High")</f>
        <v>P2 - High</v>
      </c>
      <c r="C186" s="5">
        <f>IFERROR(__xludf.DUMMYFUNCTION("""COMPUTED_VALUE"""),43557.25666666667)</f>
        <v>43557.25667</v>
      </c>
      <c r="D186" s="4" t="str">
        <f>IFERROR(__xludf.DUMMYFUNCTION("""COMPUTED_VALUE"""),"RESOLVED")</f>
        <v>RESOLVED</v>
      </c>
      <c r="E186" s="6">
        <f>IFERROR(__xludf.DUMMYFUNCTION("""COMPUTED_VALUE"""),43563.32680555555)</f>
        <v>43563.32681</v>
      </c>
      <c r="F186" s="4" t="str">
        <f>IFERROR(__xludf.DUMMYFUNCTION("""COMPUTED_VALUE""")," ---")</f>
        <v> ---</v>
      </c>
      <c r="G186" s="4" t="str">
        <f>IFERROR(__xludf.DUMMYFUNCTION("""COMPUTED_VALUE"""),"SUSE Linux Enterprise Server 15 SP1")</f>
        <v>SUSE Linux Enterprise Server 15 SP1</v>
      </c>
      <c r="H186" s="7" t="str">
        <f t="shared" si="2"/>
        <v>NO</v>
      </c>
      <c r="I186" s="7" t="str">
        <f t="shared" si="3"/>
        <v>NO</v>
      </c>
    </row>
    <row r="187">
      <c r="A187" s="4">
        <f>IFERROR(__xludf.DUMMYFUNCTION("""COMPUTED_VALUE"""),1120036.0)</f>
        <v>1120036</v>
      </c>
      <c r="B187" s="4" t="str">
        <f>IFERROR(__xludf.DUMMYFUNCTION("""COMPUTED_VALUE"""),"P2 - High")</f>
        <v>P2 - High</v>
      </c>
      <c r="C187" s="5">
        <f>IFERROR(__xludf.DUMMYFUNCTION("""COMPUTED_VALUE"""),43454.33277777778)</f>
        <v>43454.33278</v>
      </c>
      <c r="D187" s="4" t="str">
        <f>IFERROR(__xludf.DUMMYFUNCTION("""COMPUTED_VALUE"""),"RESOLVED")</f>
        <v>RESOLVED</v>
      </c>
      <c r="E187" s="6">
        <f>IFERROR(__xludf.DUMMYFUNCTION("""COMPUTED_VALUE"""),44624.88195601852)</f>
        <v>44624.88196</v>
      </c>
      <c r="F187" s="4" t="str">
        <f>IFERROR(__xludf.DUMMYFUNCTION("""COMPUTED_VALUE""")," ---")</f>
        <v> ---</v>
      </c>
      <c r="G187" s="4" t="str">
        <f>IFERROR(__xludf.DUMMYFUNCTION("""COMPUTED_VALUE"""),"SUSE Linux Enterprise Server 15 SP1")</f>
        <v>SUSE Linux Enterprise Server 15 SP1</v>
      </c>
      <c r="H187" s="7" t="str">
        <f t="shared" si="2"/>
        <v>NO</v>
      </c>
      <c r="I187" s="7" t="str">
        <f t="shared" si="3"/>
        <v>NO</v>
      </c>
    </row>
    <row r="188">
      <c r="A188" s="4">
        <f>IFERROR(__xludf.DUMMYFUNCTION("""COMPUTED_VALUE"""),1117760.0)</f>
        <v>1117760</v>
      </c>
      <c r="B188" s="4" t="str">
        <f>IFERROR(__xludf.DUMMYFUNCTION("""COMPUTED_VALUE"""),"P2 - High")</f>
        <v>P2 - High</v>
      </c>
      <c r="C188" s="5">
        <f>IFERROR(__xludf.DUMMYFUNCTION("""COMPUTED_VALUE"""),43433.42685185185)</f>
        <v>43433.42685</v>
      </c>
      <c r="D188" s="4" t="str">
        <f>IFERROR(__xludf.DUMMYFUNCTION("""COMPUTED_VALUE"""),"RESOLVED")</f>
        <v>RESOLVED</v>
      </c>
      <c r="E188" s="6">
        <f>IFERROR(__xludf.DUMMYFUNCTION("""COMPUTED_VALUE"""),43531.63396990741)</f>
        <v>43531.63397</v>
      </c>
      <c r="F188" s="4" t="str">
        <f>IFERROR(__xludf.DUMMYFUNCTION("""COMPUTED_VALUE""")," ---")</f>
        <v> ---</v>
      </c>
      <c r="G188" s="4" t="str">
        <f>IFERROR(__xludf.DUMMYFUNCTION("""COMPUTED_VALUE"""),"SUSE Linux Enterprise Server 15 SP1")</f>
        <v>SUSE Linux Enterprise Server 15 SP1</v>
      </c>
      <c r="H188" s="7" t="str">
        <f t="shared" si="2"/>
        <v>NO</v>
      </c>
      <c r="I188" s="7" t="str">
        <f t="shared" si="3"/>
        <v>NO</v>
      </c>
    </row>
    <row r="189">
      <c r="A189" s="4">
        <f>IFERROR(__xludf.DUMMYFUNCTION("""COMPUTED_VALUE"""),1117941.0)</f>
        <v>1117941</v>
      </c>
      <c r="B189" s="4" t="str">
        <f>IFERROR(__xludf.DUMMYFUNCTION("""COMPUTED_VALUE"""),"P2 - High")</f>
        <v>P2 - High</v>
      </c>
      <c r="C189" s="5">
        <f>IFERROR(__xludf.DUMMYFUNCTION("""COMPUTED_VALUE"""),43434.60957175926)</f>
        <v>43434.60957</v>
      </c>
      <c r="D189" s="4" t="str">
        <f>IFERROR(__xludf.DUMMYFUNCTION("""COMPUTED_VALUE"""),"RESOLVED")</f>
        <v>RESOLVED</v>
      </c>
      <c r="E189" s="6">
        <f>IFERROR(__xludf.DUMMYFUNCTION("""COMPUTED_VALUE"""),43453.3765625)</f>
        <v>43453.37656</v>
      </c>
      <c r="F189" s="4" t="str">
        <f>IFERROR(__xludf.DUMMYFUNCTION("""COMPUTED_VALUE""")," ---")</f>
        <v> ---</v>
      </c>
      <c r="G189" s="4" t="str">
        <f>IFERROR(__xludf.DUMMYFUNCTION("""COMPUTED_VALUE"""),"SUSE Linux Enterprise Server 15 SP1")</f>
        <v>SUSE Linux Enterprise Server 15 SP1</v>
      </c>
      <c r="H189" s="7" t="str">
        <f t="shared" si="2"/>
        <v>NO</v>
      </c>
      <c r="I189" s="7" t="str">
        <f t="shared" si="3"/>
        <v>NO</v>
      </c>
    </row>
    <row r="190">
      <c r="A190" s="4">
        <f>IFERROR(__xludf.DUMMYFUNCTION("""COMPUTED_VALUE"""),1117956.0)</f>
        <v>1117956</v>
      </c>
      <c r="B190" s="4" t="str">
        <f>IFERROR(__xludf.DUMMYFUNCTION("""COMPUTED_VALUE"""),"P2 - High")</f>
        <v>P2 - High</v>
      </c>
      <c r="C190" s="5">
        <f>IFERROR(__xludf.DUMMYFUNCTION("""COMPUTED_VALUE"""),43434.66255787037)</f>
        <v>43434.66256</v>
      </c>
      <c r="D190" s="4" t="str">
        <f>IFERROR(__xludf.DUMMYFUNCTION("""COMPUTED_VALUE"""),"RESOLVED")</f>
        <v>RESOLVED</v>
      </c>
      <c r="E190" s="6">
        <f>IFERROR(__xludf.DUMMYFUNCTION("""COMPUTED_VALUE"""),43451.46042824074)</f>
        <v>43451.46043</v>
      </c>
      <c r="F190" s="4" t="str">
        <f>IFERROR(__xludf.DUMMYFUNCTION("""COMPUTED_VALUE""")," ---")</f>
        <v> ---</v>
      </c>
      <c r="G190" s="4" t="str">
        <f>IFERROR(__xludf.DUMMYFUNCTION("""COMPUTED_VALUE"""),"SUSE Linux Enterprise Server 15 SP1")</f>
        <v>SUSE Linux Enterprise Server 15 SP1</v>
      </c>
      <c r="H190" s="7" t="str">
        <f t="shared" si="2"/>
        <v>NO</v>
      </c>
      <c r="I190" s="7" t="str">
        <f t="shared" si="3"/>
        <v>NO</v>
      </c>
    </row>
    <row r="191">
      <c r="A191" s="4">
        <f>IFERROR(__xludf.DUMMYFUNCTION("""COMPUTED_VALUE"""),1120490.0)</f>
        <v>1120490</v>
      </c>
      <c r="B191" s="4" t="str">
        <f>IFERROR(__xludf.DUMMYFUNCTION("""COMPUTED_VALUE"""),"P2 - High")</f>
        <v>P2 - High</v>
      </c>
      <c r="C191" s="5">
        <f>IFERROR(__xludf.DUMMYFUNCTION("""COMPUTED_VALUE"""),43467.528287037036)</f>
        <v>43467.52829</v>
      </c>
      <c r="D191" s="4" t="str">
        <f>IFERROR(__xludf.DUMMYFUNCTION("""COMPUTED_VALUE"""),"RESOLVED")</f>
        <v>RESOLVED</v>
      </c>
      <c r="E191" s="6">
        <f>IFERROR(__xludf.DUMMYFUNCTION("""COMPUTED_VALUE"""),43630.630428240744)</f>
        <v>43630.63043</v>
      </c>
      <c r="F191" s="4" t="str">
        <f>IFERROR(__xludf.DUMMYFUNCTION("""COMPUTED_VALUE""")," ---")</f>
        <v> ---</v>
      </c>
      <c r="G191" s="4" t="str">
        <f>IFERROR(__xludf.DUMMYFUNCTION("""COMPUTED_VALUE"""),"SUSE Linux Enterprise Server 15 SP1")</f>
        <v>SUSE Linux Enterprise Server 15 SP1</v>
      </c>
      <c r="H191" s="7" t="str">
        <f t="shared" si="2"/>
        <v>YES</v>
      </c>
      <c r="I191" s="7" t="str">
        <f t="shared" si="3"/>
        <v>NO</v>
      </c>
    </row>
    <row r="192">
      <c r="A192" s="4">
        <f>IFERROR(__xludf.DUMMYFUNCTION("""COMPUTED_VALUE"""),1126594.0)</f>
        <v>1126594</v>
      </c>
      <c r="B192" s="4" t="str">
        <f>IFERROR(__xludf.DUMMYFUNCTION("""COMPUTED_VALUE"""),"P2 - High")</f>
        <v>P2 - High</v>
      </c>
      <c r="C192" s="5">
        <f>IFERROR(__xludf.DUMMYFUNCTION("""COMPUTED_VALUE"""),43519.38376157408)</f>
        <v>43519.38376</v>
      </c>
      <c r="D192" s="4" t="str">
        <f>IFERROR(__xludf.DUMMYFUNCTION("""COMPUTED_VALUE"""),"RESOLVED")</f>
        <v>RESOLVED</v>
      </c>
      <c r="E192" s="6">
        <f>IFERROR(__xludf.DUMMYFUNCTION("""COMPUTED_VALUE"""),43630.63381944445)</f>
        <v>43630.63382</v>
      </c>
      <c r="F192" s="4" t="str">
        <f>IFERROR(__xludf.DUMMYFUNCTION("""COMPUTED_VALUE""")," ---")</f>
        <v> ---</v>
      </c>
      <c r="G192" s="4" t="str">
        <f>IFERROR(__xludf.DUMMYFUNCTION("""COMPUTED_VALUE"""),"Beta SUSE Linux Enterprise Server 15 SP1")</f>
        <v>Beta SUSE Linux Enterprise Server 15 SP1</v>
      </c>
      <c r="H192" s="7" t="str">
        <f t="shared" si="2"/>
        <v>NO</v>
      </c>
      <c r="I192" s="7" t="str">
        <f t="shared" si="3"/>
        <v>NO</v>
      </c>
    </row>
    <row r="193">
      <c r="A193" s="4">
        <f>IFERROR(__xludf.DUMMYFUNCTION("""COMPUTED_VALUE"""),1132778.0)</f>
        <v>1132778</v>
      </c>
      <c r="B193" s="4" t="str">
        <f>IFERROR(__xludf.DUMMYFUNCTION("""COMPUTED_VALUE"""),"P2 - High")</f>
        <v>P2 - High</v>
      </c>
      <c r="C193" s="5">
        <f>IFERROR(__xludf.DUMMYFUNCTION("""COMPUTED_VALUE"""),43572.641238425924)</f>
        <v>43572.64124</v>
      </c>
      <c r="D193" s="4" t="str">
        <f>IFERROR(__xludf.DUMMYFUNCTION("""COMPUTED_VALUE"""),"RESOLVED")</f>
        <v>RESOLVED</v>
      </c>
      <c r="E193" s="6">
        <f>IFERROR(__xludf.DUMMYFUNCTION("""COMPUTED_VALUE"""),43630.63663194444)</f>
        <v>43630.63663</v>
      </c>
      <c r="F193" s="4" t="str">
        <f>IFERROR(__xludf.DUMMYFUNCTION("""COMPUTED_VALUE""")," ---")</f>
        <v> ---</v>
      </c>
      <c r="G193" s="4" t="str">
        <f>IFERROR(__xludf.DUMMYFUNCTION("""COMPUTED_VALUE"""),"SUSE Linux Enterprise Server 15 SP1")</f>
        <v>SUSE Linux Enterprise Server 15 SP1</v>
      </c>
      <c r="H193" s="7" t="str">
        <f t="shared" si="2"/>
        <v>NO</v>
      </c>
      <c r="I193" s="7" t="str">
        <f t="shared" si="3"/>
        <v>NO</v>
      </c>
    </row>
    <row r="194">
      <c r="A194" s="4">
        <f>IFERROR(__xludf.DUMMYFUNCTION("""COMPUTED_VALUE"""),1133311.0)</f>
        <v>1133311</v>
      </c>
      <c r="B194" s="4" t="str">
        <f>IFERROR(__xludf.DUMMYFUNCTION("""COMPUTED_VALUE"""),"P2 - High")</f>
        <v>P2 - High</v>
      </c>
      <c r="C194" s="5">
        <f>IFERROR(__xludf.DUMMYFUNCTION("""COMPUTED_VALUE"""),43579.63434027778)</f>
        <v>43579.63434</v>
      </c>
      <c r="D194" s="4" t="str">
        <f>IFERROR(__xludf.DUMMYFUNCTION("""COMPUTED_VALUE"""),"RESOLVED")</f>
        <v>RESOLVED</v>
      </c>
      <c r="E194" s="6">
        <f>IFERROR(__xludf.DUMMYFUNCTION("""COMPUTED_VALUE"""),43731.623773148145)</f>
        <v>43731.62377</v>
      </c>
      <c r="F194" s="4" t="str">
        <f>IFERROR(__xludf.DUMMYFUNCTION("""COMPUTED_VALUE""")," ---")</f>
        <v> ---</v>
      </c>
      <c r="G194" s="4" t="str">
        <f>IFERROR(__xludf.DUMMYFUNCTION("""COMPUTED_VALUE"""),"SUSE Linux Enterprise Server 15 SP1")</f>
        <v>SUSE Linux Enterprise Server 15 SP1</v>
      </c>
      <c r="H194" s="7" t="str">
        <f t="shared" si="2"/>
        <v>NO</v>
      </c>
      <c r="I194" s="7" t="str">
        <f t="shared" si="3"/>
        <v>NO</v>
      </c>
    </row>
    <row r="195">
      <c r="A195" s="4">
        <f>IFERROR(__xludf.DUMMYFUNCTION("""COMPUTED_VALUE"""),1119063.0)</f>
        <v>1119063</v>
      </c>
      <c r="B195" s="4" t="str">
        <f>IFERROR(__xludf.DUMMYFUNCTION("""COMPUTED_VALUE"""),"P2 - High")</f>
        <v>P2 - High</v>
      </c>
      <c r="C195" s="5">
        <f>IFERROR(__xludf.DUMMYFUNCTION("""COMPUTED_VALUE"""),43445.293020833335)</f>
        <v>43445.29302</v>
      </c>
      <c r="D195" s="4" t="str">
        <f>IFERROR(__xludf.DUMMYFUNCTION("""COMPUTED_VALUE"""),"VERIFIED")</f>
        <v>VERIFIED</v>
      </c>
      <c r="E195" s="6">
        <f>IFERROR(__xludf.DUMMYFUNCTION("""COMPUTED_VALUE"""),44447.774976851855)</f>
        <v>44447.77498</v>
      </c>
      <c r="F195" s="4" t="str">
        <f>IFERROR(__xludf.DUMMYFUNCTION("""COMPUTED_VALUE""")," ---")</f>
        <v> ---</v>
      </c>
      <c r="G195" s="4" t="str">
        <f>IFERROR(__xludf.DUMMYFUNCTION("""COMPUTED_VALUE"""),"SUSE Linux Enterprise Server 15 SP1")</f>
        <v>SUSE Linux Enterprise Server 15 SP1</v>
      </c>
      <c r="H195" s="7" t="str">
        <f t="shared" si="2"/>
        <v>NO</v>
      </c>
      <c r="I195" s="7" t="str">
        <f t="shared" si="3"/>
        <v>NO</v>
      </c>
    </row>
    <row r="196">
      <c r="A196" s="4">
        <f>IFERROR(__xludf.DUMMYFUNCTION("""COMPUTED_VALUE"""),1134988.0)</f>
        <v>1134988</v>
      </c>
      <c r="B196" s="4" t="str">
        <f>IFERROR(__xludf.DUMMYFUNCTION("""COMPUTED_VALUE"""),"P2 - High")</f>
        <v>P2 - High</v>
      </c>
      <c r="C196" s="5">
        <f>IFERROR(__xludf.DUMMYFUNCTION("""COMPUTED_VALUE"""),43599.37798611111)</f>
        <v>43599.37799</v>
      </c>
      <c r="D196" s="4" t="str">
        <f>IFERROR(__xludf.DUMMYFUNCTION("""COMPUTED_VALUE"""),"VERIFIED")</f>
        <v>VERIFIED</v>
      </c>
      <c r="E196" s="6">
        <f>IFERROR(__xludf.DUMMYFUNCTION("""COMPUTED_VALUE"""),43613.1518287037)</f>
        <v>43613.15183</v>
      </c>
      <c r="F196" s="4" t="str">
        <f>IFERROR(__xludf.DUMMYFUNCTION("""COMPUTED_VALUE""")," ---")</f>
        <v> ---</v>
      </c>
      <c r="G196" s="4" t="str">
        <f>IFERROR(__xludf.DUMMYFUNCTION("""COMPUTED_VALUE"""),"SUSE Linux Enterprise Server 15 SP1")</f>
        <v>SUSE Linux Enterprise Server 15 SP1</v>
      </c>
      <c r="H196" s="7" t="str">
        <f t="shared" si="2"/>
        <v>NO</v>
      </c>
      <c r="I196" s="7" t="str">
        <f t="shared" si="3"/>
        <v>NO</v>
      </c>
    </row>
    <row r="197">
      <c r="A197" s="4">
        <f>IFERROR(__xludf.DUMMYFUNCTION("""COMPUTED_VALUE"""),1122653.0)</f>
        <v>1122653</v>
      </c>
      <c r="B197" s="4" t="str">
        <f>IFERROR(__xludf.DUMMYFUNCTION("""COMPUTED_VALUE"""),"P2 - High")</f>
        <v>P2 - High</v>
      </c>
      <c r="C197" s="5">
        <f>IFERROR(__xludf.DUMMYFUNCTION("""COMPUTED_VALUE"""),43486.53221064815)</f>
        <v>43486.53221</v>
      </c>
      <c r="D197" s="4" t="str">
        <f>IFERROR(__xludf.DUMMYFUNCTION("""COMPUTED_VALUE"""),"VERIFIED")</f>
        <v>VERIFIED</v>
      </c>
      <c r="E197" s="6">
        <f>IFERROR(__xludf.DUMMYFUNCTION("""COMPUTED_VALUE"""),43630.63145833334)</f>
        <v>43630.63146</v>
      </c>
      <c r="F197" s="4" t="str">
        <f>IFERROR(__xludf.DUMMYFUNCTION("""COMPUTED_VALUE""")," ---")</f>
        <v> ---</v>
      </c>
      <c r="G197" s="4" t="str">
        <f>IFERROR(__xludf.DUMMYFUNCTION("""COMPUTED_VALUE"""),"SUSE Linux Enterprise Server 15 SP1")</f>
        <v>SUSE Linux Enterprise Server 15 SP1</v>
      </c>
      <c r="H197" s="7" t="str">
        <f t="shared" si="2"/>
        <v>NO</v>
      </c>
      <c r="I197" s="7" t="str">
        <f t="shared" si="3"/>
        <v>NO</v>
      </c>
    </row>
    <row r="198">
      <c r="A198" s="4">
        <f>IFERROR(__xludf.DUMMYFUNCTION("""COMPUTED_VALUE"""),1115377.0)</f>
        <v>1115377</v>
      </c>
      <c r="B198" s="4" t="str">
        <f>IFERROR(__xludf.DUMMYFUNCTION("""COMPUTED_VALUE"""),"P2 - High")</f>
        <v>P2 - High</v>
      </c>
      <c r="C198" s="5">
        <f>IFERROR(__xludf.DUMMYFUNCTION("""COMPUTED_VALUE"""),43413.44131944444)</f>
        <v>43413.44132</v>
      </c>
      <c r="D198" s="4" t="str">
        <f>IFERROR(__xludf.DUMMYFUNCTION("""COMPUTED_VALUE"""),"VERIFIED")</f>
        <v>VERIFIED</v>
      </c>
      <c r="E198" s="6">
        <f>IFERROR(__xludf.DUMMYFUNCTION("""COMPUTED_VALUE"""),43490.589953703704)</f>
        <v>43490.58995</v>
      </c>
      <c r="F198" s="4" t="str">
        <f>IFERROR(__xludf.DUMMYFUNCTION("""COMPUTED_VALUE""")," ---")</f>
        <v> ---</v>
      </c>
      <c r="G198" s="4" t="str">
        <f>IFERROR(__xludf.DUMMYFUNCTION("""COMPUTED_VALUE"""),"SUSE Linux Enterprise Server 15 SP1")</f>
        <v>SUSE Linux Enterprise Server 15 SP1</v>
      </c>
      <c r="H198" s="7" t="str">
        <f t="shared" si="2"/>
        <v>NO</v>
      </c>
      <c r="I198" s="7" t="str">
        <f t="shared" si="3"/>
        <v>NO</v>
      </c>
    </row>
    <row r="199">
      <c r="A199" s="4">
        <f>IFERROR(__xludf.DUMMYFUNCTION("""COMPUTED_VALUE"""),1119210.0)</f>
        <v>1119210</v>
      </c>
      <c r="B199" s="4" t="str">
        <f>IFERROR(__xludf.DUMMYFUNCTION("""COMPUTED_VALUE"""),"P2 - High")</f>
        <v>P2 - High</v>
      </c>
      <c r="C199" s="5">
        <f>IFERROR(__xludf.DUMMYFUNCTION("""COMPUTED_VALUE"""),43446.33709490741)</f>
        <v>43446.33709</v>
      </c>
      <c r="D199" s="4" t="str">
        <f>IFERROR(__xludf.DUMMYFUNCTION("""COMPUTED_VALUE"""),"VERIFIED")</f>
        <v>VERIFIED</v>
      </c>
      <c r="E199" s="6">
        <f>IFERROR(__xludf.DUMMYFUNCTION("""COMPUTED_VALUE"""),43613.14577546297)</f>
        <v>43613.14578</v>
      </c>
      <c r="F199" s="4" t="str">
        <f>IFERROR(__xludf.DUMMYFUNCTION("""COMPUTED_VALUE""")," ---")</f>
        <v> ---</v>
      </c>
      <c r="G199" s="4" t="str">
        <f>IFERROR(__xludf.DUMMYFUNCTION("""COMPUTED_VALUE"""),"SUSE Linux Enterprise Server 15 SP1")</f>
        <v>SUSE Linux Enterprise Server 15 SP1</v>
      </c>
      <c r="H199" s="7" t="str">
        <f t="shared" si="2"/>
        <v>NO</v>
      </c>
      <c r="I199" s="7" t="str">
        <f t="shared" si="3"/>
        <v>NO</v>
      </c>
    </row>
    <row r="200">
      <c r="A200" s="4">
        <f>IFERROR(__xludf.DUMMYFUNCTION("""COMPUTED_VALUE"""),1126984.0)</f>
        <v>1126984</v>
      </c>
      <c r="B200" s="4" t="str">
        <f>IFERROR(__xludf.DUMMYFUNCTION("""COMPUTED_VALUE"""),"P2 - High")</f>
        <v>P2 - High</v>
      </c>
      <c r="C200" s="5">
        <f>IFERROR(__xludf.DUMMYFUNCTION("""COMPUTED_VALUE"""),43522.443391203706)</f>
        <v>43522.44339</v>
      </c>
      <c r="D200" s="4" t="str">
        <f>IFERROR(__xludf.DUMMYFUNCTION("""COMPUTED_VALUE"""),"VERIFIED")</f>
        <v>VERIFIED</v>
      </c>
      <c r="E200" s="6">
        <f>IFERROR(__xludf.DUMMYFUNCTION("""COMPUTED_VALUE"""),43542.3774537037)</f>
        <v>43542.37745</v>
      </c>
      <c r="F200" s="4" t="str">
        <f>IFERROR(__xludf.DUMMYFUNCTION("""COMPUTED_VALUE"""),"Yes")</f>
        <v>Yes</v>
      </c>
      <c r="G200" s="4" t="str">
        <f>IFERROR(__xludf.DUMMYFUNCTION("""COMPUTED_VALUE"""),"SUSE Linux Enterprise Server 15 SP1")</f>
        <v>SUSE Linux Enterprise Server 15 SP1</v>
      </c>
      <c r="H200" s="7" t="str">
        <f t="shared" si="2"/>
        <v>NO</v>
      </c>
      <c r="I200" s="7" t="str">
        <f t="shared" si="3"/>
        <v>NO</v>
      </c>
    </row>
    <row r="201">
      <c r="A201" s="4">
        <f>IFERROR(__xludf.DUMMYFUNCTION("""COMPUTED_VALUE"""),1128180.0)</f>
        <v>1128180</v>
      </c>
      <c r="B201" s="4" t="str">
        <f>IFERROR(__xludf.DUMMYFUNCTION("""COMPUTED_VALUE"""),"P2 - High")</f>
        <v>P2 - High</v>
      </c>
      <c r="C201" s="5">
        <f>IFERROR(__xludf.DUMMYFUNCTION("""COMPUTED_VALUE"""),43530.66018518519)</f>
        <v>43530.66019</v>
      </c>
      <c r="D201" s="4" t="str">
        <f>IFERROR(__xludf.DUMMYFUNCTION("""COMPUTED_VALUE"""),"VERIFIED")</f>
        <v>VERIFIED</v>
      </c>
      <c r="E201" s="6">
        <f>IFERROR(__xludf.DUMMYFUNCTION("""COMPUTED_VALUE"""),43630.63490740741)</f>
        <v>43630.63491</v>
      </c>
      <c r="F201" s="4" t="str">
        <f>IFERROR(__xludf.DUMMYFUNCTION("""COMPUTED_VALUE""")," ---")</f>
        <v> ---</v>
      </c>
      <c r="G201" s="4" t="str">
        <f>IFERROR(__xludf.DUMMYFUNCTION("""COMPUTED_VALUE"""),"SUSE Linux Enterprise Server 15 SP1")</f>
        <v>SUSE Linux Enterprise Server 15 SP1</v>
      </c>
      <c r="H201" s="7" t="str">
        <f t="shared" si="2"/>
        <v>NO</v>
      </c>
      <c r="I201" s="7" t="str">
        <f t="shared" si="3"/>
        <v>NO</v>
      </c>
    </row>
    <row r="202">
      <c r="A202" s="4">
        <f>IFERROR(__xludf.DUMMYFUNCTION("""COMPUTED_VALUE"""),1122217.0)</f>
        <v>1122217</v>
      </c>
      <c r="B202" s="4" t="str">
        <f>IFERROR(__xludf.DUMMYFUNCTION("""COMPUTED_VALUE"""),"P2 - High")</f>
        <v>P2 - High</v>
      </c>
      <c r="C202" s="5">
        <f>IFERROR(__xludf.DUMMYFUNCTION("""COMPUTED_VALUE"""),43481.67951388889)</f>
        <v>43481.67951</v>
      </c>
      <c r="D202" s="4" t="str">
        <f>IFERROR(__xludf.DUMMYFUNCTION("""COMPUTED_VALUE"""),"VERIFIED")</f>
        <v>VERIFIED</v>
      </c>
      <c r="E202" s="6">
        <f>IFERROR(__xludf.DUMMYFUNCTION("""COMPUTED_VALUE"""),43500.483090277776)</f>
        <v>43500.48309</v>
      </c>
      <c r="F202" s="4" t="str">
        <f>IFERROR(__xludf.DUMMYFUNCTION("""COMPUTED_VALUE""")," ---")</f>
        <v> ---</v>
      </c>
      <c r="G202" s="4" t="str">
        <f>IFERROR(__xludf.DUMMYFUNCTION("""COMPUTED_VALUE"""),"SUSE Linux Enterprise Server 15 SP1")</f>
        <v>SUSE Linux Enterprise Server 15 SP1</v>
      </c>
      <c r="H202" s="7" t="str">
        <f t="shared" si="2"/>
        <v>NO</v>
      </c>
      <c r="I202" s="7" t="str">
        <f t="shared" si="3"/>
        <v>NO</v>
      </c>
    </row>
    <row r="203">
      <c r="A203" s="4">
        <f>IFERROR(__xludf.DUMMYFUNCTION("""COMPUTED_VALUE"""),1119410.0)</f>
        <v>1119410</v>
      </c>
      <c r="B203" s="4" t="str">
        <f>IFERROR(__xludf.DUMMYFUNCTION("""COMPUTED_VALUE"""),"P2 - High")</f>
        <v>P2 - High</v>
      </c>
      <c r="C203" s="5">
        <f>IFERROR(__xludf.DUMMYFUNCTION("""COMPUTED_VALUE"""),43447.601793981485)</f>
        <v>43447.60179</v>
      </c>
      <c r="D203" s="4" t="str">
        <f>IFERROR(__xludf.DUMMYFUNCTION("""COMPUTED_VALUE"""),"VERIFIED")</f>
        <v>VERIFIED</v>
      </c>
      <c r="E203" s="6">
        <f>IFERROR(__xludf.DUMMYFUNCTION("""COMPUTED_VALUE"""),44624.881574074076)</f>
        <v>44624.88157</v>
      </c>
      <c r="F203" s="4" t="str">
        <f>IFERROR(__xludf.DUMMYFUNCTION("""COMPUTED_VALUE""")," ---")</f>
        <v> ---</v>
      </c>
      <c r="G203" s="4" t="str">
        <f>IFERROR(__xludf.DUMMYFUNCTION("""COMPUTED_VALUE"""),"SUSE Linux Enterprise Server 15 SP1")</f>
        <v>SUSE Linux Enterprise Server 15 SP1</v>
      </c>
      <c r="H203" s="7" t="str">
        <f t="shared" si="2"/>
        <v>NO</v>
      </c>
      <c r="I203" s="7" t="str">
        <f t="shared" si="3"/>
        <v>NO</v>
      </c>
    </row>
    <row r="204">
      <c r="A204" s="4">
        <f>IFERROR(__xludf.DUMMYFUNCTION("""COMPUTED_VALUE"""),1134057.0)</f>
        <v>1134057</v>
      </c>
      <c r="B204" s="4" t="str">
        <f>IFERROR(__xludf.DUMMYFUNCTION("""COMPUTED_VALUE"""),"P2 - High")</f>
        <v>P2 - High</v>
      </c>
      <c r="C204" s="5">
        <f>IFERROR(__xludf.DUMMYFUNCTION("""COMPUTED_VALUE"""),43588.493483796294)</f>
        <v>43588.49348</v>
      </c>
      <c r="D204" s="4" t="str">
        <f>IFERROR(__xludf.DUMMYFUNCTION("""COMPUTED_VALUE"""),"VERIFIED")</f>
        <v>VERIFIED</v>
      </c>
      <c r="E204" s="6">
        <f>IFERROR(__xludf.DUMMYFUNCTION("""COMPUTED_VALUE"""),44498.557025462964)</f>
        <v>44498.55703</v>
      </c>
      <c r="F204" s="4" t="str">
        <f>IFERROR(__xludf.DUMMYFUNCTION("""COMPUTED_VALUE""")," ---")</f>
        <v> ---</v>
      </c>
      <c r="G204" s="4" t="str">
        <f>IFERROR(__xludf.DUMMYFUNCTION("""COMPUTED_VALUE"""),"SUSE Linux Enterprise Server 15 SP1")</f>
        <v>SUSE Linux Enterprise Server 15 SP1</v>
      </c>
      <c r="H204" s="7" t="str">
        <f t="shared" si="2"/>
        <v>NO</v>
      </c>
      <c r="I204" s="7" t="str">
        <f t="shared" si="3"/>
        <v>NO</v>
      </c>
    </row>
    <row r="205">
      <c r="A205" s="4">
        <f>IFERROR(__xludf.DUMMYFUNCTION("""COMPUTED_VALUE"""),1136513.0)</f>
        <v>1136513</v>
      </c>
      <c r="B205" s="4" t="str">
        <f>IFERROR(__xludf.DUMMYFUNCTION("""COMPUTED_VALUE"""),"P2 - High")</f>
        <v>P2 - High</v>
      </c>
      <c r="C205" s="5">
        <f>IFERROR(__xludf.DUMMYFUNCTION("""COMPUTED_VALUE"""),43613.30297453704)</f>
        <v>43613.30297</v>
      </c>
      <c r="D205" s="4" t="str">
        <f>IFERROR(__xludf.DUMMYFUNCTION("""COMPUTED_VALUE"""),"VERIFIED")</f>
        <v>VERIFIED</v>
      </c>
      <c r="E205" s="6">
        <f>IFERROR(__xludf.DUMMYFUNCTION("""COMPUTED_VALUE"""),44532.48111111111)</f>
        <v>44532.48111</v>
      </c>
      <c r="F205" s="4" t="str">
        <f>IFERROR(__xludf.DUMMYFUNCTION("""COMPUTED_VALUE""")," ---")</f>
        <v> ---</v>
      </c>
      <c r="G205" s="4" t="str">
        <f>IFERROR(__xludf.DUMMYFUNCTION("""COMPUTED_VALUE"""),"SUSE Linux Enterprise Server 15 SP1")</f>
        <v>SUSE Linux Enterprise Server 15 SP1</v>
      </c>
      <c r="H205" s="7" t="str">
        <f t="shared" si="2"/>
        <v>NO</v>
      </c>
      <c r="I205" s="7" t="str">
        <f t="shared" si="3"/>
        <v>NO</v>
      </c>
    </row>
    <row r="206">
      <c r="A206" s="4">
        <f>IFERROR(__xludf.DUMMYFUNCTION("""COMPUTED_VALUE"""),1116189.0)</f>
        <v>1116189</v>
      </c>
      <c r="B206" s="4" t="str">
        <f>IFERROR(__xludf.DUMMYFUNCTION("""COMPUTED_VALUE"""),"P2 - High")</f>
        <v>P2 - High</v>
      </c>
      <c r="C206" s="5">
        <f>IFERROR(__xludf.DUMMYFUNCTION("""COMPUTED_VALUE"""),43419.46734953704)</f>
        <v>43419.46735</v>
      </c>
      <c r="D206" s="4" t="str">
        <f>IFERROR(__xludf.DUMMYFUNCTION("""COMPUTED_VALUE"""),"VERIFIED")</f>
        <v>VERIFIED</v>
      </c>
      <c r="E206" s="6">
        <f>IFERROR(__xludf.DUMMYFUNCTION("""COMPUTED_VALUE"""),43630.62905092593)</f>
        <v>43630.62905</v>
      </c>
      <c r="F206" s="4" t="str">
        <f>IFERROR(__xludf.DUMMYFUNCTION("""COMPUTED_VALUE""")," ---")</f>
        <v> ---</v>
      </c>
      <c r="G206" s="4" t="str">
        <f>IFERROR(__xludf.DUMMYFUNCTION("""COMPUTED_VALUE"""),"SUSE Linux Enterprise Server 15 SP1")</f>
        <v>SUSE Linux Enterprise Server 15 SP1</v>
      </c>
      <c r="H206" s="7" t="str">
        <f t="shared" si="2"/>
        <v>NO</v>
      </c>
      <c r="I206" s="7" t="str">
        <f t="shared" si="3"/>
        <v>NO</v>
      </c>
    </row>
    <row r="207">
      <c r="A207" s="4">
        <f>IFERROR(__xludf.DUMMYFUNCTION("""COMPUTED_VALUE"""),1121718.0)</f>
        <v>1121718</v>
      </c>
      <c r="B207" s="4" t="str">
        <f>IFERROR(__xludf.DUMMYFUNCTION("""COMPUTED_VALUE"""),"P2 - High")</f>
        <v>P2 - High</v>
      </c>
      <c r="C207" s="5">
        <f>IFERROR(__xludf.DUMMYFUNCTION("""COMPUTED_VALUE"""),43477.736759259256)</f>
        <v>43477.73676</v>
      </c>
      <c r="D207" s="4" t="str">
        <f>IFERROR(__xludf.DUMMYFUNCTION("""COMPUTED_VALUE"""),"VERIFIED")</f>
        <v>VERIFIED</v>
      </c>
      <c r="E207" s="6">
        <f>IFERROR(__xludf.DUMMYFUNCTION("""COMPUTED_VALUE"""),43630.63122685185)</f>
        <v>43630.63123</v>
      </c>
      <c r="F207" s="4" t="str">
        <f>IFERROR(__xludf.DUMMYFUNCTION("""COMPUTED_VALUE""")," ---")</f>
        <v> ---</v>
      </c>
      <c r="G207" s="4" t="str">
        <f>IFERROR(__xludf.DUMMYFUNCTION("""COMPUTED_VALUE"""),"SUSE Linux Enterprise Server 15 SP1")</f>
        <v>SUSE Linux Enterprise Server 15 SP1</v>
      </c>
      <c r="H207" s="7" t="str">
        <f t="shared" si="2"/>
        <v>NO</v>
      </c>
      <c r="I207" s="7" t="str">
        <f t="shared" si="3"/>
        <v>NO</v>
      </c>
    </row>
    <row r="208">
      <c r="A208" s="4">
        <f>IFERROR(__xludf.DUMMYFUNCTION("""COMPUTED_VALUE"""),1129815.0)</f>
        <v>1129815</v>
      </c>
      <c r="B208" s="4" t="str">
        <f>IFERROR(__xludf.DUMMYFUNCTION("""COMPUTED_VALUE"""),"P2 - High")</f>
        <v>P2 - High</v>
      </c>
      <c r="C208" s="5">
        <f>IFERROR(__xludf.DUMMYFUNCTION("""COMPUTED_VALUE"""),43543.76789351852)</f>
        <v>43543.76789</v>
      </c>
      <c r="D208" s="4" t="str">
        <f>IFERROR(__xludf.DUMMYFUNCTION("""COMPUTED_VALUE"""),"VERIFIED")</f>
        <v>VERIFIED</v>
      </c>
      <c r="E208" s="6">
        <f>IFERROR(__xludf.DUMMYFUNCTION("""COMPUTED_VALUE"""),43570.51765046296)</f>
        <v>43570.51765</v>
      </c>
      <c r="F208" s="4" t="str">
        <f>IFERROR(__xludf.DUMMYFUNCTION("""COMPUTED_VALUE""")," ---")</f>
        <v> ---</v>
      </c>
      <c r="G208" s="4" t="str">
        <f>IFERROR(__xludf.DUMMYFUNCTION("""COMPUTED_VALUE"""),"SUSE Linux Enterprise Server 15 SP1")</f>
        <v>SUSE Linux Enterprise Server 15 SP1</v>
      </c>
      <c r="H208" s="7" t="str">
        <f t="shared" si="2"/>
        <v>NO</v>
      </c>
      <c r="I208" s="7" t="str">
        <f t="shared" si="3"/>
        <v>NO</v>
      </c>
    </row>
    <row r="209">
      <c r="A209" s="4">
        <f>IFERROR(__xludf.DUMMYFUNCTION("""COMPUTED_VALUE"""),1122103.0)</f>
        <v>1122103</v>
      </c>
      <c r="B209" s="4" t="str">
        <f>IFERROR(__xludf.DUMMYFUNCTION("""COMPUTED_VALUE"""),"P2 - High")</f>
        <v>P2 - High</v>
      </c>
      <c r="C209" s="5">
        <f>IFERROR(__xludf.DUMMYFUNCTION("""COMPUTED_VALUE"""),43481.11754629629)</f>
        <v>43481.11755</v>
      </c>
      <c r="D209" s="4" t="str">
        <f>IFERROR(__xludf.DUMMYFUNCTION("""COMPUTED_VALUE"""),"VERIFIED")</f>
        <v>VERIFIED</v>
      </c>
      <c r="E209" s="6">
        <f>IFERROR(__xludf.DUMMYFUNCTION("""COMPUTED_VALUE"""),43583.04111111111)</f>
        <v>43583.04111</v>
      </c>
      <c r="F209" s="4" t="str">
        <f>IFERROR(__xludf.DUMMYFUNCTION("""COMPUTED_VALUE""")," ---")</f>
        <v> ---</v>
      </c>
      <c r="G209" s="4" t="str">
        <f>IFERROR(__xludf.DUMMYFUNCTION("""COMPUTED_VALUE"""),"SUSE Linux Enterprise Server 15 SP1")</f>
        <v>SUSE Linux Enterprise Server 15 SP1</v>
      </c>
      <c r="H209" s="7" t="str">
        <f t="shared" si="2"/>
        <v>NO</v>
      </c>
      <c r="I209" s="7" t="str">
        <f t="shared" si="3"/>
        <v>NO</v>
      </c>
    </row>
    <row r="210">
      <c r="A210" s="4">
        <f>IFERROR(__xludf.DUMMYFUNCTION("""COMPUTED_VALUE"""),1119845.0)</f>
        <v>1119845</v>
      </c>
      <c r="B210" s="4" t="str">
        <f>IFERROR(__xludf.DUMMYFUNCTION("""COMPUTED_VALUE"""),"P3 - Medium")</f>
        <v>P3 - Medium</v>
      </c>
      <c r="C210" s="5">
        <f>IFERROR(__xludf.DUMMYFUNCTION("""COMPUTED_VALUE"""),43452.62935185185)</f>
        <v>43452.62935</v>
      </c>
      <c r="D210" s="4" t="str">
        <f>IFERROR(__xludf.DUMMYFUNCTION("""COMPUTED_VALUE"""),"NEW")</f>
        <v>NEW</v>
      </c>
      <c r="E210" s="6">
        <f>IFERROR(__xludf.DUMMYFUNCTION("""COMPUTED_VALUE"""),44217.74193287037)</f>
        <v>44217.74193</v>
      </c>
      <c r="F210" s="4" t="str">
        <f>IFERROR(__xludf.DUMMYFUNCTION("""COMPUTED_VALUE""")," ---")</f>
        <v> ---</v>
      </c>
      <c r="G210" s="4" t="str">
        <f>IFERROR(__xludf.DUMMYFUNCTION("""COMPUTED_VALUE"""),"SUSE Linux Enterprise Server 15 SP1")</f>
        <v>SUSE Linux Enterprise Server 15 SP1</v>
      </c>
      <c r="H210" s="7" t="str">
        <f t="shared" si="2"/>
        <v>NO</v>
      </c>
      <c r="I210" s="7" t="str">
        <f t="shared" si="3"/>
        <v>NO</v>
      </c>
    </row>
    <row r="211">
      <c r="A211" s="4">
        <f>IFERROR(__xludf.DUMMYFUNCTION("""COMPUTED_VALUE"""),1119853.0)</f>
        <v>1119853</v>
      </c>
      <c r="B211" s="4" t="str">
        <f>IFERROR(__xludf.DUMMYFUNCTION("""COMPUTED_VALUE"""),"P3 - Medium")</f>
        <v>P3 - Medium</v>
      </c>
      <c r="C211" s="5">
        <f>IFERROR(__xludf.DUMMYFUNCTION("""COMPUTED_VALUE"""),43452.67466435185)</f>
        <v>43452.67466</v>
      </c>
      <c r="D211" s="4" t="str">
        <f>IFERROR(__xludf.DUMMYFUNCTION("""COMPUTED_VALUE"""),"NEW")</f>
        <v>NEW</v>
      </c>
      <c r="E211" s="6">
        <f>IFERROR(__xludf.DUMMYFUNCTION("""COMPUTED_VALUE"""),44217.73795138889)</f>
        <v>44217.73795</v>
      </c>
      <c r="F211" s="4" t="str">
        <f>IFERROR(__xludf.DUMMYFUNCTION("""COMPUTED_VALUE""")," ---")</f>
        <v> ---</v>
      </c>
      <c r="G211" s="4" t="str">
        <f>IFERROR(__xludf.DUMMYFUNCTION("""COMPUTED_VALUE"""),"SUSE Linux Enterprise Server 15 SP1")</f>
        <v>SUSE Linux Enterprise Server 15 SP1</v>
      </c>
      <c r="H211" s="7" t="str">
        <f t="shared" si="2"/>
        <v>NO</v>
      </c>
      <c r="I211" s="7" t="str">
        <f t="shared" si="3"/>
        <v>NO</v>
      </c>
    </row>
    <row r="212">
      <c r="A212" s="4">
        <f>IFERROR(__xludf.DUMMYFUNCTION("""COMPUTED_VALUE"""),1119854.0)</f>
        <v>1119854</v>
      </c>
      <c r="B212" s="4" t="str">
        <f>IFERROR(__xludf.DUMMYFUNCTION("""COMPUTED_VALUE"""),"P3 - Medium")</f>
        <v>P3 - Medium</v>
      </c>
      <c r="C212" s="5">
        <f>IFERROR(__xludf.DUMMYFUNCTION("""COMPUTED_VALUE"""),43452.67673611111)</f>
        <v>43452.67674</v>
      </c>
      <c r="D212" s="4" t="str">
        <f>IFERROR(__xludf.DUMMYFUNCTION("""COMPUTED_VALUE"""),"NEW")</f>
        <v>NEW</v>
      </c>
      <c r="E212" s="6">
        <f>IFERROR(__xludf.DUMMYFUNCTION("""COMPUTED_VALUE"""),44217.741527777776)</f>
        <v>44217.74153</v>
      </c>
      <c r="F212" s="4" t="str">
        <f>IFERROR(__xludf.DUMMYFUNCTION("""COMPUTED_VALUE""")," ---")</f>
        <v> ---</v>
      </c>
      <c r="G212" s="4" t="str">
        <f>IFERROR(__xludf.DUMMYFUNCTION("""COMPUTED_VALUE"""),"SUSE Linux Enterprise Server 15 SP1")</f>
        <v>SUSE Linux Enterprise Server 15 SP1</v>
      </c>
      <c r="H212" s="7" t="str">
        <f t="shared" si="2"/>
        <v>NO</v>
      </c>
      <c r="I212" s="7" t="str">
        <f t="shared" si="3"/>
        <v>NO</v>
      </c>
    </row>
    <row r="213">
      <c r="A213" s="4">
        <f>IFERROR(__xludf.DUMMYFUNCTION("""COMPUTED_VALUE"""),1119856.0)</f>
        <v>1119856</v>
      </c>
      <c r="B213" s="4" t="str">
        <f>IFERROR(__xludf.DUMMYFUNCTION("""COMPUTED_VALUE"""),"P3 - Medium")</f>
        <v>P3 - Medium</v>
      </c>
      <c r="C213" s="5">
        <f>IFERROR(__xludf.DUMMYFUNCTION("""COMPUTED_VALUE"""),43452.68054398148)</f>
        <v>43452.68054</v>
      </c>
      <c r="D213" s="4" t="str">
        <f>IFERROR(__xludf.DUMMYFUNCTION("""COMPUTED_VALUE"""),"NEW")</f>
        <v>NEW</v>
      </c>
      <c r="E213" s="6">
        <f>IFERROR(__xludf.DUMMYFUNCTION("""COMPUTED_VALUE"""),44217.741643518515)</f>
        <v>44217.74164</v>
      </c>
      <c r="F213" s="4" t="str">
        <f>IFERROR(__xludf.DUMMYFUNCTION("""COMPUTED_VALUE""")," ---")</f>
        <v> ---</v>
      </c>
      <c r="G213" s="4" t="str">
        <f>IFERROR(__xludf.DUMMYFUNCTION("""COMPUTED_VALUE"""),"SUSE Linux Enterprise Server 15 SP1")</f>
        <v>SUSE Linux Enterprise Server 15 SP1</v>
      </c>
      <c r="H213" s="7" t="str">
        <f t="shared" si="2"/>
        <v>NO</v>
      </c>
      <c r="I213" s="7" t="str">
        <f t="shared" si="3"/>
        <v>NO</v>
      </c>
    </row>
    <row r="214">
      <c r="A214" s="4">
        <f>IFERROR(__xludf.DUMMYFUNCTION("""COMPUTED_VALUE"""),1120245.0)</f>
        <v>1120245</v>
      </c>
      <c r="B214" s="4" t="str">
        <f>IFERROR(__xludf.DUMMYFUNCTION("""COMPUTED_VALUE"""),"P3 - Medium")</f>
        <v>P3 - Medium</v>
      </c>
      <c r="C214" s="5">
        <f>IFERROR(__xludf.DUMMYFUNCTION("""COMPUTED_VALUE"""),43455.719872685186)</f>
        <v>43455.71987</v>
      </c>
      <c r="D214" s="4" t="str">
        <f>IFERROR(__xludf.DUMMYFUNCTION("""COMPUTED_VALUE"""),"NEW")</f>
        <v>NEW</v>
      </c>
      <c r="E214" s="6">
        <f>IFERROR(__xludf.DUMMYFUNCTION("""COMPUTED_VALUE"""),43853.46655092593)</f>
        <v>43853.46655</v>
      </c>
      <c r="F214" s="4" t="str">
        <f>IFERROR(__xludf.DUMMYFUNCTION("""COMPUTED_VALUE""")," ---")</f>
        <v> ---</v>
      </c>
      <c r="G214" s="4" t="str">
        <f>IFERROR(__xludf.DUMMYFUNCTION("""COMPUTED_VALUE"""),"SUSE Linux Enterprise Server 15 SP1")</f>
        <v>SUSE Linux Enterprise Server 15 SP1</v>
      </c>
      <c r="H214" s="7" t="str">
        <f t="shared" si="2"/>
        <v>NO</v>
      </c>
      <c r="I214" s="7" t="str">
        <f t="shared" si="3"/>
        <v>NO</v>
      </c>
    </row>
    <row r="215">
      <c r="A215" s="4">
        <f>IFERROR(__xludf.DUMMYFUNCTION("""COMPUTED_VALUE"""),1123352.0)</f>
        <v>1123352</v>
      </c>
      <c r="B215" s="4" t="str">
        <f>IFERROR(__xludf.DUMMYFUNCTION("""COMPUTED_VALUE"""),"P3 - Medium")</f>
        <v>P3 - Medium</v>
      </c>
      <c r="C215" s="5">
        <f>IFERROR(__xludf.DUMMYFUNCTION("""COMPUTED_VALUE"""),43493.52034722222)</f>
        <v>43493.52035</v>
      </c>
      <c r="D215" s="4" t="str">
        <f>IFERROR(__xludf.DUMMYFUNCTION("""COMPUTED_VALUE"""),"NEW")</f>
        <v>NEW</v>
      </c>
      <c r="E215" s="6">
        <f>IFERROR(__xludf.DUMMYFUNCTION("""COMPUTED_VALUE"""),43497.40173611111)</f>
        <v>43497.40174</v>
      </c>
      <c r="F215" s="4" t="str">
        <f>IFERROR(__xludf.DUMMYFUNCTION("""COMPUTED_VALUE""")," ---")</f>
        <v> ---</v>
      </c>
      <c r="G215" s="4" t="str">
        <f>IFERROR(__xludf.DUMMYFUNCTION("""COMPUTED_VALUE"""),"SUSE Linux Enterprise Server 15 SP1")</f>
        <v>SUSE Linux Enterprise Server 15 SP1</v>
      </c>
      <c r="H215" s="7" t="str">
        <f t="shared" si="2"/>
        <v>NO</v>
      </c>
      <c r="I215" s="7" t="str">
        <f t="shared" si="3"/>
        <v>NO</v>
      </c>
    </row>
    <row r="216">
      <c r="A216" s="4">
        <f>IFERROR(__xludf.DUMMYFUNCTION("""COMPUTED_VALUE"""),1128874.0)</f>
        <v>1128874</v>
      </c>
      <c r="B216" s="4" t="str">
        <f>IFERROR(__xludf.DUMMYFUNCTION("""COMPUTED_VALUE"""),"P3 - Medium")</f>
        <v>P3 - Medium</v>
      </c>
      <c r="C216" s="5">
        <f>IFERROR(__xludf.DUMMYFUNCTION("""COMPUTED_VALUE"""),43536.48465277778)</f>
        <v>43536.48465</v>
      </c>
      <c r="D216" s="4" t="str">
        <f>IFERROR(__xludf.DUMMYFUNCTION("""COMPUTED_VALUE"""),"NEW")</f>
        <v>NEW</v>
      </c>
      <c r="E216" s="6">
        <f>IFERROR(__xludf.DUMMYFUNCTION("""COMPUTED_VALUE"""),43683.31787037037)</f>
        <v>43683.31787</v>
      </c>
      <c r="F216" s="4" t="str">
        <f>IFERROR(__xludf.DUMMYFUNCTION("""COMPUTED_VALUE""")," ---")</f>
        <v> ---</v>
      </c>
      <c r="G216" s="4" t="str">
        <f>IFERROR(__xludf.DUMMYFUNCTION("""COMPUTED_VALUE"""),"SUSE Linux Enterprise Server 15 SP1")</f>
        <v>SUSE Linux Enterprise Server 15 SP1</v>
      </c>
      <c r="H216" s="7" t="str">
        <f t="shared" si="2"/>
        <v>NO</v>
      </c>
      <c r="I216" s="7" t="str">
        <f t="shared" si="3"/>
        <v>NO</v>
      </c>
    </row>
    <row r="217">
      <c r="A217" s="4">
        <f>IFERROR(__xludf.DUMMYFUNCTION("""COMPUTED_VALUE"""),1120173.0)</f>
        <v>1120173</v>
      </c>
      <c r="B217" s="4" t="str">
        <f>IFERROR(__xludf.DUMMYFUNCTION("""COMPUTED_VALUE"""),"P3 - Medium")</f>
        <v>P3 - Medium</v>
      </c>
      <c r="C217" s="5">
        <f>IFERROR(__xludf.DUMMYFUNCTION("""COMPUTED_VALUE"""),43455.34905092593)</f>
        <v>43455.34905</v>
      </c>
      <c r="D217" s="4" t="str">
        <f>IFERROR(__xludf.DUMMYFUNCTION("""COMPUTED_VALUE"""),"NEW")</f>
        <v>NEW</v>
      </c>
      <c r="E217" s="6">
        <f>IFERROR(__xludf.DUMMYFUNCTION("""COMPUTED_VALUE"""),43683.31893518518)</f>
        <v>43683.31894</v>
      </c>
      <c r="F217" s="4" t="str">
        <f>IFERROR(__xludf.DUMMYFUNCTION("""COMPUTED_VALUE""")," ---")</f>
        <v> ---</v>
      </c>
      <c r="G217" s="4" t="str">
        <f>IFERROR(__xludf.DUMMYFUNCTION("""COMPUTED_VALUE"""),"SUSE Linux Enterprise Server 15 SP1")</f>
        <v>SUSE Linux Enterprise Server 15 SP1</v>
      </c>
      <c r="H217" s="7" t="str">
        <f t="shared" si="2"/>
        <v>NO</v>
      </c>
      <c r="I217" s="7" t="str">
        <f t="shared" si="3"/>
        <v>NO</v>
      </c>
    </row>
    <row r="218">
      <c r="A218" s="4">
        <f>IFERROR(__xludf.DUMMYFUNCTION("""COMPUTED_VALUE"""),1133320.0)</f>
        <v>1133320</v>
      </c>
      <c r="B218" s="4" t="str">
        <f>IFERROR(__xludf.DUMMYFUNCTION("""COMPUTED_VALUE"""),"P3 - Medium")</f>
        <v>P3 - Medium</v>
      </c>
      <c r="C218" s="5">
        <f>IFERROR(__xludf.DUMMYFUNCTION("""COMPUTED_VALUE"""),43579.67266203704)</f>
        <v>43579.67266</v>
      </c>
      <c r="D218" s="4" t="str">
        <f>IFERROR(__xludf.DUMMYFUNCTION("""COMPUTED_VALUE"""),"NEW")</f>
        <v>NEW</v>
      </c>
      <c r="E218" s="6">
        <f>IFERROR(__xludf.DUMMYFUNCTION("""COMPUTED_VALUE"""),44624.89420138889)</f>
        <v>44624.8942</v>
      </c>
      <c r="F218" s="4" t="str">
        <f>IFERROR(__xludf.DUMMYFUNCTION("""COMPUTED_VALUE""")," ---")</f>
        <v> ---</v>
      </c>
      <c r="G218" s="4" t="str">
        <f>IFERROR(__xludf.DUMMYFUNCTION("""COMPUTED_VALUE"""),"SUSE Linux Enterprise Server 15 SP1")</f>
        <v>SUSE Linux Enterprise Server 15 SP1</v>
      </c>
      <c r="H218" s="7" t="str">
        <f t="shared" si="2"/>
        <v>NO</v>
      </c>
      <c r="I218" s="7" t="str">
        <f t="shared" si="3"/>
        <v>NO</v>
      </c>
    </row>
    <row r="219">
      <c r="A219" s="4">
        <f>IFERROR(__xludf.DUMMYFUNCTION("""COMPUTED_VALUE"""),1122747.0)</f>
        <v>1122747</v>
      </c>
      <c r="B219" s="4" t="str">
        <f>IFERROR(__xludf.DUMMYFUNCTION("""COMPUTED_VALUE"""),"P3 - Medium")</f>
        <v>P3 - Medium</v>
      </c>
      <c r="C219" s="5">
        <f>IFERROR(__xludf.DUMMYFUNCTION("""COMPUTED_VALUE"""),43487.438784722224)</f>
        <v>43487.43878</v>
      </c>
      <c r="D219" s="4" t="str">
        <f>IFERROR(__xludf.DUMMYFUNCTION("""COMPUTED_VALUE"""),"NEW")</f>
        <v>NEW</v>
      </c>
      <c r="E219" s="6">
        <f>IFERROR(__xludf.DUMMYFUNCTION("""COMPUTED_VALUE"""),44383.600439814814)</f>
        <v>44383.60044</v>
      </c>
      <c r="F219" s="4" t="str">
        <f>IFERROR(__xludf.DUMMYFUNCTION("""COMPUTED_VALUE""")," ---")</f>
        <v> ---</v>
      </c>
      <c r="G219" s="4" t="str">
        <f>IFERROR(__xludf.DUMMYFUNCTION("""COMPUTED_VALUE"""),"SUSE Linux Enterprise Server 15 SP1")</f>
        <v>SUSE Linux Enterprise Server 15 SP1</v>
      </c>
      <c r="H219" s="7" t="str">
        <f t="shared" si="2"/>
        <v>NO</v>
      </c>
      <c r="I219" s="7" t="str">
        <f t="shared" si="3"/>
        <v>NO</v>
      </c>
    </row>
    <row r="220">
      <c r="A220" s="4">
        <f>IFERROR(__xludf.DUMMYFUNCTION("""COMPUTED_VALUE"""),1126489.0)</f>
        <v>1126489</v>
      </c>
      <c r="B220" s="4" t="str">
        <f>IFERROR(__xludf.DUMMYFUNCTION("""COMPUTED_VALUE"""),"P3 - Medium")</f>
        <v>P3 - Medium</v>
      </c>
      <c r="C220" s="5">
        <f>IFERROR(__xludf.DUMMYFUNCTION("""COMPUTED_VALUE"""),43518.49890046296)</f>
        <v>43518.4989</v>
      </c>
      <c r="D220" s="4" t="str">
        <f>IFERROR(__xludf.DUMMYFUNCTION("""COMPUTED_VALUE"""),"NEW")</f>
        <v>NEW</v>
      </c>
      <c r="E220" s="6">
        <f>IFERROR(__xludf.DUMMYFUNCTION("""COMPUTED_VALUE"""),43683.25989583333)</f>
        <v>43683.2599</v>
      </c>
      <c r="F220" s="4" t="str">
        <f>IFERROR(__xludf.DUMMYFUNCTION("""COMPUTED_VALUE""")," ---")</f>
        <v> ---</v>
      </c>
      <c r="G220" s="4" t="str">
        <f>IFERROR(__xludf.DUMMYFUNCTION("""COMPUTED_VALUE"""),"SUSE Linux Enterprise Server 15 SP1")</f>
        <v>SUSE Linux Enterprise Server 15 SP1</v>
      </c>
      <c r="H220" s="7" t="str">
        <f t="shared" si="2"/>
        <v>NO</v>
      </c>
      <c r="I220" s="7" t="str">
        <f t="shared" si="3"/>
        <v>NO</v>
      </c>
    </row>
    <row r="221">
      <c r="A221" s="4">
        <f>IFERROR(__xludf.DUMMYFUNCTION("""COMPUTED_VALUE"""),1137119.0)</f>
        <v>1137119</v>
      </c>
      <c r="B221" s="4" t="str">
        <f>IFERROR(__xludf.DUMMYFUNCTION("""COMPUTED_VALUE"""),"P3 - Medium")</f>
        <v>P3 - Medium</v>
      </c>
      <c r="C221" s="5">
        <f>IFERROR(__xludf.DUMMYFUNCTION("""COMPUTED_VALUE"""),43619.53689814815)</f>
        <v>43619.5369</v>
      </c>
      <c r="D221" s="4" t="str">
        <f>IFERROR(__xludf.DUMMYFUNCTION("""COMPUTED_VALUE"""),"NEW")</f>
        <v>NEW</v>
      </c>
      <c r="E221" s="6">
        <f>IFERROR(__xludf.DUMMYFUNCTION("""COMPUTED_VALUE"""),44109.66380787037)</f>
        <v>44109.66381</v>
      </c>
      <c r="F221" s="4" t="str">
        <f>IFERROR(__xludf.DUMMYFUNCTION("""COMPUTED_VALUE""")," ---")</f>
        <v> ---</v>
      </c>
      <c r="G221" s="4" t="str">
        <f>IFERROR(__xludf.DUMMYFUNCTION("""COMPUTED_VALUE"""),"SUSE Linux Enterprise Server 15 SP1")</f>
        <v>SUSE Linux Enterprise Server 15 SP1</v>
      </c>
      <c r="H221" s="7" t="str">
        <f t="shared" si="2"/>
        <v>NO</v>
      </c>
      <c r="I221" s="7" t="str">
        <f t="shared" si="3"/>
        <v>NO</v>
      </c>
    </row>
    <row r="222">
      <c r="A222" s="4">
        <f>IFERROR(__xludf.DUMMYFUNCTION("""COMPUTED_VALUE"""),1120321.0)</f>
        <v>1120321</v>
      </c>
      <c r="B222" s="4" t="str">
        <f>IFERROR(__xludf.DUMMYFUNCTION("""COMPUTED_VALUE"""),"P3 - Medium")</f>
        <v>P3 - Medium</v>
      </c>
      <c r="C222" s="5">
        <f>IFERROR(__xludf.DUMMYFUNCTION("""COMPUTED_VALUE"""),43461.321493055555)</f>
        <v>43461.32149</v>
      </c>
      <c r="D222" s="4" t="str">
        <f>IFERROR(__xludf.DUMMYFUNCTION("""COMPUTED_VALUE"""),"NEW")</f>
        <v>NEW</v>
      </c>
      <c r="E222" s="6">
        <f>IFERROR(__xludf.DUMMYFUNCTION("""COMPUTED_VALUE"""),43691.57900462963)</f>
        <v>43691.579</v>
      </c>
      <c r="F222" s="4" t="str">
        <f>IFERROR(__xludf.DUMMYFUNCTION("""COMPUTED_VALUE"""),"Yes")</f>
        <v>Yes</v>
      </c>
      <c r="G222" s="4" t="str">
        <f>IFERROR(__xludf.DUMMYFUNCTION("""COMPUTED_VALUE"""),"SUSE Linux Enterprise Server 15 SP1")</f>
        <v>SUSE Linux Enterprise Server 15 SP1</v>
      </c>
      <c r="H222" s="7" t="str">
        <f t="shared" si="2"/>
        <v>YES</v>
      </c>
      <c r="I222" s="7" t="str">
        <f t="shared" si="3"/>
        <v>NO</v>
      </c>
    </row>
    <row r="223">
      <c r="A223" s="4">
        <f>IFERROR(__xludf.DUMMYFUNCTION("""COMPUTED_VALUE"""),1125194.0)</f>
        <v>1125194</v>
      </c>
      <c r="B223" s="4" t="str">
        <f>IFERROR(__xludf.DUMMYFUNCTION("""COMPUTED_VALUE"""),"P3 - Medium")</f>
        <v>P3 - Medium</v>
      </c>
      <c r="C223" s="5">
        <f>IFERROR(__xludf.DUMMYFUNCTION("""COMPUTED_VALUE"""),43508.86200231482)</f>
        <v>43508.862</v>
      </c>
      <c r="D223" s="4" t="str">
        <f>IFERROR(__xludf.DUMMYFUNCTION("""COMPUTED_VALUE"""),"NEW")</f>
        <v>NEW</v>
      </c>
      <c r="E223" s="6">
        <f>IFERROR(__xludf.DUMMYFUNCTION("""COMPUTED_VALUE"""),43521.56108796296)</f>
        <v>43521.56109</v>
      </c>
      <c r="F223" s="4" t="str">
        <f>IFERROR(__xludf.DUMMYFUNCTION("""COMPUTED_VALUE""")," ---")</f>
        <v> ---</v>
      </c>
      <c r="G223" s="4" t="str">
        <f>IFERROR(__xludf.DUMMYFUNCTION("""COMPUTED_VALUE"""),"Beta SUSE Linux Enterprise Server 15 SP1")</f>
        <v>Beta SUSE Linux Enterprise Server 15 SP1</v>
      </c>
      <c r="H223" s="7" t="str">
        <f t="shared" si="2"/>
        <v>NO</v>
      </c>
      <c r="I223" s="7" t="str">
        <f t="shared" si="3"/>
        <v>NO</v>
      </c>
    </row>
    <row r="224">
      <c r="A224" s="4">
        <f>IFERROR(__xludf.DUMMYFUNCTION("""COMPUTED_VALUE"""),1132383.0)</f>
        <v>1132383</v>
      </c>
      <c r="B224" s="4" t="str">
        <f>IFERROR(__xludf.DUMMYFUNCTION("""COMPUTED_VALUE"""),"P3 - Medium")</f>
        <v>P3 - Medium</v>
      </c>
      <c r="C224" s="5">
        <f>IFERROR(__xludf.DUMMYFUNCTION("""COMPUTED_VALUE"""),43567.633414351854)</f>
        <v>43567.63341</v>
      </c>
      <c r="D224" s="4" t="str">
        <f>IFERROR(__xludf.DUMMYFUNCTION("""COMPUTED_VALUE"""),"NEW")</f>
        <v>NEW</v>
      </c>
      <c r="E224" s="6">
        <f>IFERROR(__xludf.DUMMYFUNCTION("""COMPUTED_VALUE"""),43588.59951388889)</f>
        <v>43588.59951</v>
      </c>
      <c r="F224" s="4" t="str">
        <f>IFERROR(__xludf.DUMMYFUNCTION("""COMPUTED_VALUE""")," ---")</f>
        <v> ---</v>
      </c>
      <c r="G224" s="4" t="str">
        <f>IFERROR(__xludf.DUMMYFUNCTION("""COMPUTED_VALUE"""),"SUSE Linux Enterprise Server 15 SP1")</f>
        <v>SUSE Linux Enterprise Server 15 SP1</v>
      </c>
      <c r="H224" s="7" t="str">
        <f t="shared" si="2"/>
        <v>NO</v>
      </c>
      <c r="I224" s="7" t="str">
        <f t="shared" si="3"/>
        <v>NO</v>
      </c>
    </row>
    <row r="225">
      <c r="A225" s="4">
        <f>IFERROR(__xludf.DUMMYFUNCTION("""COMPUTED_VALUE"""),1104290.0)</f>
        <v>1104290</v>
      </c>
      <c r="B225" s="4" t="str">
        <f>IFERROR(__xludf.DUMMYFUNCTION("""COMPUTED_VALUE"""),"P3 - Medium")</f>
        <v>P3 - Medium</v>
      </c>
      <c r="C225" s="5">
        <f>IFERROR(__xludf.DUMMYFUNCTION("""COMPUTED_VALUE"""),43321.23987268518)</f>
        <v>43321.23987</v>
      </c>
      <c r="D225" s="4" t="str">
        <f>IFERROR(__xludf.DUMMYFUNCTION("""COMPUTED_VALUE"""),"NEW")</f>
        <v>NEW</v>
      </c>
      <c r="E225" s="6">
        <f>IFERROR(__xludf.DUMMYFUNCTION("""COMPUTED_VALUE"""),43333.37372685185)</f>
        <v>43333.37373</v>
      </c>
      <c r="F225" s="4" t="str">
        <f>IFERROR(__xludf.DUMMYFUNCTION("""COMPUTED_VALUE""")," ---")</f>
        <v> ---</v>
      </c>
      <c r="G225" s="4" t="str">
        <f>IFERROR(__xludf.DUMMYFUNCTION("""COMPUTED_VALUE"""),"SUSE Linux Enterprise Server 15 SP1")</f>
        <v>SUSE Linux Enterprise Server 15 SP1</v>
      </c>
      <c r="H225" s="7" t="str">
        <f t="shared" si="2"/>
        <v>NO</v>
      </c>
      <c r="I225" s="7" t="str">
        <f t="shared" si="3"/>
        <v>NO</v>
      </c>
    </row>
    <row r="226">
      <c r="A226" s="4">
        <f>IFERROR(__xludf.DUMMYFUNCTION("""COMPUTED_VALUE"""),1132086.0)</f>
        <v>1132086</v>
      </c>
      <c r="B226" s="4" t="str">
        <f>IFERROR(__xludf.DUMMYFUNCTION("""COMPUTED_VALUE"""),"P3 - Medium")</f>
        <v>P3 - Medium</v>
      </c>
      <c r="C226" s="5">
        <f>IFERROR(__xludf.DUMMYFUNCTION("""COMPUTED_VALUE"""),43565.471863425926)</f>
        <v>43565.47186</v>
      </c>
      <c r="D226" s="4" t="str">
        <f>IFERROR(__xludf.DUMMYFUNCTION("""COMPUTED_VALUE"""),"NEW")</f>
        <v>NEW</v>
      </c>
      <c r="E226" s="6">
        <f>IFERROR(__xludf.DUMMYFUNCTION("""COMPUTED_VALUE"""),44345.34113425926)</f>
        <v>44345.34113</v>
      </c>
      <c r="F226" s="4" t="str">
        <f>IFERROR(__xludf.DUMMYFUNCTION("""COMPUTED_VALUE""")," ---")</f>
        <v> ---</v>
      </c>
      <c r="G226" s="4" t="str">
        <f>IFERROR(__xludf.DUMMYFUNCTION("""COMPUTED_VALUE"""),"SUSE Linux Enterprise Server 15 SP1")</f>
        <v>SUSE Linux Enterprise Server 15 SP1</v>
      </c>
      <c r="H226" s="7" t="str">
        <f t="shared" si="2"/>
        <v>NO</v>
      </c>
      <c r="I226" s="7" t="str">
        <f t="shared" si="3"/>
        <v>NO</v>
      </c>
    </row>
    <row r="227">
      <c r="A227" s="4">
        <f>IFERROR(__xludf.DUMMYFUNCTION("""COMPUTED_VALUE"""),1120171.0)</f>
        <v>1120171</v>
      </c>
      <c r="B227" s="4" t="str">
        <f>IFERROR(__xludf.DUMMYFUNCTION("""COMPUTED_VALUE"""),"P3 - Medium")</f>
        <v>P3 - Medium</v>
      </c>
      <c r="C227" s="5">
        <f>IFERROR(__xludf.DUMMYFUNCTION("""COMPUTED_VALUE"""),43455.33555555555)</f>
        <v>43455.33556</v>
      </c>
      <c r="D227" s="4" t="str">
        <f>IFERROR(__xludf.DUMMYFUNCTION("""COMPUTED_VALUE"""),"NEW")</f>
        <v>NEW</v>
      </c>
      <c r="E227" s="6">
        <f>IFERROR(__xludf.DUMMYFUNCTION("""COMPUTED_VALUE"""),43683.31793981481)</f>
        <v>43683.31794</v>
      </c>
      <c r="F227" s="4" t="str">
        <f>IFERROR(__xludf.DUMMYFUNCTION("""COMPUTED_VALUE""")," ---")</f>
        <v> ---</v>
      </c>
      <c r="G227" s="4" t="str">
        <f>IFERROR(__xludf.DUMMYFUNCTION("""COMPUTED_VALUE"""),"SUSE Linux Enterprise Server 15 SP1")</f>
        <v>SUSE Linux Enterprise Server 15 SP1</v>
      </c>
      <c r="H227" s="7" t="str">
        <f t="shared" si="2"/>
        <v>NO</v>
      </c>
      <c r="I227" s="7" t="str">
        <f t="shared" si="3"/>
        <v>NO</v>
      </c>
    </row>
    <row r="228">
      <c r="A228" s="4">
        <f>IFERROR(__xludf.DUMMYFUNCTION("""COMPUTED_VALUE"""),1127112.0)</f>
        <v>1127112</v>
      </c>
      <c r="B228" s="4" t="str">
        <f>IFERROR(__xludf.DUMMYFUNCTION("""COMPUTED_VALUE"""),"P3 - Medium")</f>
        <v>P3 - Medium</v>
      </c>
      <c r="C228" s="5">
        <f>IFERROR(__xludf.DUMMYFUNCTION("""COMPUTED_VALUE"""),43523.287766203706)</f>
        <v>43523.28777</v>
      </c>
      <c r="D228" s="4" t="str">
        <f>IFERROR(__xludf.DUMMYFUNCTION("""COMPUTED_VALUE"""),"NEW")</f>
        <v>NEW</v>
      </c>
      <c r="E228" s="6">
        <f>IFERROR(__xludf.DUMMYFUNCTION("""COMPUTED_VALUE"""),43767.55385416667)</f>
        <v>43767.55385</v>
      </c>
      <c r="F228" s="4" t="str">
        <f>IFERROR(__xludf.DUMMYFUNCTION("""COMPUTED_VALUE""")," ---")</f>
        <v> ---</v>
      </c>
      <c r="G228" s="4" t="str">
        <f>IFERROR(__xludf.DUMMYFUNCTION("""COMPUTED_VALUE"""),"SUSE Linux Enterprise Server 15 SP1")</f>
        <v>SUSE Linux Enterprise Server 15 SP1</v>
      </c>
      <c r="H228" s="7" t="str">
        <f t="shared" si="2"/>
        <v>NO</v>
      </c>
      <c r="I228" s="7" t="str">
        <f t="shared" si="3"/>
        <v>NO</v>
      </c>
    </row>
    <row r="229">
      <c r="A229" s="4">
        <f>IFERROR(__xludf.DUMMYFUNCTION("""COMPUTED_VALUE"""),1131281.0)</f>
        <v>1131281</v>
      </c>
      <c r="B229" s="4" t="str">
        <f>IFERROR(__xludf.DUMMYFUNCTION("""COMPUTED_VALUE"""),"P3 - Medium")</f>
        <v>P3 - Medium</v>
      </c>
      <c r="C229" s="5">
        <f>IFERROR(__xludf.DUMMYFUNCTION("""COMPUTED_VALUE"""),43557.49638888889)</f>
        <v>43557.49639</v>
      </c>
      <c r="D229" s="4" t="str">
        <f>IFERROR(__xludf.DUMMYFUNCTION("""COMPUTED_VALUE"""),"CONFIRMED")</f>
        <v>CONFIRMED</v>
      </c>
      <c r="E229" s="6">
        <f>IFERROR(__xludf.DUMMYFUNCTION("""COMPUTED_VALUE"""),44624.891909722224)</f>
        <v>44624.89191</v>
      </c>
      <c r="F229" s="4" t="str">
        <f>IFERROR(__xludf.DUMMYFUNCTION("""COMPUTED_VALUE""")," ---")</f>
        <v> ---</v>
      </c>
      <c r="G229" s="4" t="str">
        <f>IFERROR(__xludf.DUMMYFUNCTION("""COMPUTED_VALUE"""),"SUSE Linux Enterprise Server 15 SP1")</f>
        <v>SUSE Linux Enterprise Server 15 SP1</v>
      </c>
      <c r="H229" s="7" t="str">
        <f t="shared" si="2"/>
        <v>NO</v>
      </c>
      <c r="I229" s="7" t="str">
        <f t="shared" si="3"/>
        <v>NO</v>
      </c>
    </row>
    <row r="230">
      <c r="A230" s="4">
        <f>IFERROR(__xludf.DUMMYFUNCTION("""COMPUTED_VALUE"""),1134935.0)</f>
        <v>1134935</v>
      </c>
      <c r="B230" s="4" t="str">
        <f>IFERROR(__xludf.DUMMYFUNCTION("""COMPUTED_VALUE"""),"P3 - Medium")</f>
        <v>P3 - Medium</v>
      </c>
      <c r="C230" s="5">
        <f>IFERROR(__xludf.DUMMYFUNCTION("""COMPUTED_VALUE"""),43599.14575231481)</f>
        <v>43599.14575</v>
      </c>
      <c r="D230" s="4" t="str">
        <f>IFERROR(__xludf.DUMMYFUNCTION("""COMPUTED_VALUE"""),"CONFIRMED")</f>
        <v>CONFIRMED</v>
      </c>
      <c r="E230" s="6">
        <f>IFERROR(__xludf.DUMMYFUNCTION("""COMPUTED_VALUE"""),43938.43457175926)</f>
        <v>43938.43457</v>
      </c>
      <c r="F230" s="4" t="str">
        <f>IFERROR(__xludf.DUMMYFUNCTION("""COMPUTED_VALUE""")," ---")</f>
        <v> ---</v>
      </c>
      <c r="G230" s="4" t="str">
        <f>IFERROR(__xludf.DUMMYFUNCTION("""COMPUTED_VALUE"""),"SUSE Linux Enterprise Server 15 SP1")</f>
        <v>SUSE Linux Enterprise Server 15 SP1</v>
      </c>
      <c r="H230" s="7" t="str">
        <f t="shared" si="2"/>
        <v>NO</v>
      </c>
      <c r="I230" s="7" t="str">
        <f t="shared" si="3"/>
        <v>NO</v>
      </c>
    </row>
    <row r="231">
      <c r="A231" s="4">
        <f>IFERROR(__xludf.DUMMYFUNCTION("""COMPUTED_VALUE"""),1119865.0)</f>
        <v>1119865</v>
      </c>
      <c r="B231" s="4" t="str">
        <f>IFERROR(__xludf.DUMMYFUNCTION("""COMPUTED_VALUE"""),"P3 - Medium")</f>
        <v>P3 - Medium</v>
      </c>
      <c r="C231" s="5">
        <f>IFERROR(__xludf.DUMMYFUNCTION("""COMPUTED_VALUE"""),43452.69275462963)</f>
        <v>43452.69275</v>
      </c>
      <c r="D231" s="4" t="str">
        <f>IFERROR(__xludf.DUMMYFUNCTION("""COMPUTED_VALUE"""),"IN_PROGRESS")</f>
        <v>IN_PROGRESS</v>
      </c>
      <c r="E231" s="6">
        <f>IFERROR(__xludf.DUMMYFUNCTION("""COMPUTED_VALUE"""),44221.631157407406)</f>
        <v>44221.63116</v>
      </c>
      <c r="F231" s="4" t="str">
        <f>IFERROR(__xludf.DUMMYFUNCTION("""COMPUTED_VALUE""")," ---")</f>
        <v> ---</v>
      </c>
      <c r="G231" s="4" t="str">
        <f>IFERROR(__xludf.DUMMYFUNCTION("""COMPUTED_VALUE"""),"SUSE Linux Enterprise Server 15 SP1")</f>
        <v>SUSE Linux Enterprise Server 15 SP1</v>
      </c>
      <c r="H231" s="7" t="str">
        <f t="shared" si="2"/>
        <v>NO</v>
      </c>
      <c r="I231" s="7" t="str">
        <f t="shared" si="3"/>
        <v>NO</v>
      </c>
    </row>
    <row r="232">
      <c r="A232" s="4">
        <f>IFERROR(__xludf.DUMMYFUNCTION("""COMPUTED_VALUE"""),1113956.0)</f>
        <v>1113956</v>
      </c>
      <c r="B232" s="4" t="str">
        <f>IFERROR(__xludf.DUMMYFUNCTION("""COMPUTED_VALUE"""),"P3 - Medium")</f>
        <v>P3 - Medium</v>
      </c>
      <c r="C232" s="5">
        <f>IFERROR(__xludf.DUMMYFUNCTION("""COMPUTED_VALUE"""),43403.55467592592)</f>
        <v>43403.55468</v>
      </c>
      <c r="D232" s="4" t="str">
        <f>IFERROR(__xludf.DUMMYFUNCTION("""COMPUTED_VALUE"""),"IN_PROGRESS")</f>
        <v>IN_PROGRESS</v>
      </c>
      <c r="E232" s="6">
        <f>IFERROR(__xludf.DUMMYFUNCTION("""COMPUTED_VALUE"""),44246.84675925926)</f>
        <v>44246.84676</v>
      </c>
      <c r="F232" s="4" t="str">
        <f>IFERROR(__xludf.DUMMYFUNCTION("""COMPUTED_VALUE""")," ---")</f>
        <v> ---</v>
      </c>
      <c r="G232" s="4" t="str">
        <f>IFERROR(__xludf.DUMMYFUNCTION("""COMPUTED_VALUE"""),"SUSE Linux Enterprise Server 15 SP1")</f>
        <v>SUSE Linux Enterprise Server 15 SP1</v>
      </c>
      <c r="H232" s="7" t="str">
        <f t="shared" si="2"/>
        <v>NO</v>
      </c>
      <c r="I232" s="7" t="str">
        <f t="shared" si="3"/>
        <v>NO</v>
      </c>
    </row>
    <row r="233">
      <c r="A233" s="4">
        <f>IFERROR(__xludf.DUMMYFUNCTION("""COMPUTED_VALUE"""),1127120.0)</f>
        <v>1127120</v>
      </c>
      <c r="B233" s="4" t="str">
        <f>IFERROR(__xludf.DUMMYFUNCTION("""COMPUTED_VALUE"""),"P3 - Medium")</f>
        <v>P3 - Medium</v>
      </c>
      <c r="C233" s="5">
        <f>IFERROR(__xludf.DUMMYFUNCTION("""COMPUTED_VALUE"""),43523.346284722225)</f>
        <v>43523.34628</v>
      </c>
      <c r="D233" s="4" t="str">
        <f>IFERROR(__xludf.DUMMYFUNCTION("""COMPUTED_VALUE"""),"IN_PROGRESS")</f>
        <v>IN_PROGRESS</v>
      </c>
      <c r="E233" s="6">
        <f>IFERROR(__xludf.DUMMYFUNCTION("""COMPUTED_VALUE"""),43843.29050925926)</f>
        <v>43843.29051</v>
      </c>
      <c r="F233" s="4" t="str">
        <f>IFERROR(__xludf.DUMMYFUNCTION("""COMPUTED_VALUE""")," ---")</f>
        <v> ---</v>
      </c>
      <c r="G233" s="4" t="str">
        <f>IFERROR(__xludf.DUMMYFUNCTION("""COMPUTED_VALUE"""),"SUSE Linux Enterprise Server 15 SP1")</f>
        <v>SUSE Linux Enterprise Server 15 SP1</v>
      </c>
      <c r="H233" s="7" t="str">
        <f t="shared" si="2"/>
        <v>NO</v>
      </c>
      <c r="I233" s="7" t="str">
        <f t="shared" si="3"/>
        <v>NO</v>
      </c>
    </row>
    <row r="234">
      <c r="A234" s="4">
        <f>IFERROR(__xludf.DUMMYFUNCTION("""COMPUTED_VALUE"""),1120229.0)</f>
        <v>1120229</v>
      </c>
      <c r="B234" s="4" t="str">
        <f>IFERROR(__xludf.DUMMYFUNCTION("""COMPUTED_VALUE"""),"P3 - Medium")</f>
        <v>P3 - Medium</v>
      </c>
      <c r="C234" s="5">
        <f>IFERROR(__xludf.DUMMYFUNCTION("""COMPUTED_VALUE"""),43455.619421296295)</f>
        <v>43455.61942</v>
      </c>
      <c r="D234" s="4" t="str">
        <f>IFERROR(__xludf.DUMMYFUNCTION("""COMPUTED_VALUE"""),"REOPENED")</f>
        <v>REOPENED</v>
      </c>
      <c r="E234" s="6">
        <f>IFERROR(__xludf.DUMMYFUNCTION("""COMPUTED_VALUE"""),43479.56890046296)</f>
        <v>43479.5689</v>
      </c>
      <c r="F234" s="4" t="str">
        <f>IFERROR(__xludf.DUMMYFUNCTION("""COMPUTED_VALUE""")," ---")</f>
        <v> ---</v>
      </c>
      <c r="G234" s="4" t="str">
        <f>IFERROR(__xludf.DUMMYFUNCTION("""COMPUTED_VALUE"""),"SUSE Linux Enterprise Server 15 SP1")</f>
        <v>SUSE Linux Enterprise Server 15 SP1</v>
      </c>
      <c r="H234" s="7" t="str">
        <f t="shared" si="2"/>
        <v>NO</v>
      </c>
      <c r="I234" s="7" t="str">
        <f t="shared" si="3"/>
        <v>NO</v>
      </c>
    </row>
    <row r="235">
      <c r="A235" s="4">
        <f>IFERROR(__xludf.DUMMYFUNCTION("""COMPUTED_VALUE"""),1129519.0)</f>
        <v>1129519</v>
      </c>
      <c r="B235" s="4" t="str">
        <f>IFERROR(__xludf.DUMMYFUNCTION("""COMPUTED_VALUE"""),"P3 - Medium")</f>
        <v>P3 - Medium</v>
      </c>
      <c r="C235" s="5">
        <f>IFERROR(__xludf.DUMMYFUNCTION("""COMPUTED_VALUE"""),43542.28037037037)</f>
        <v>43542.28037</v>
      </c>
      <c r="D235" s="4" t="str">
        <f>IFERROR(__xludf.DUMMYFUNCTION("""COMPUTED_VALUE"""),"RESOLVED")</f>
        <v>RESOLVED</v>
      </c>
      <c r="E235" s="6">
        <f>IFERROR(__xludf.DUMMYFUNCTION("""COMPUTED_VALUE"""),44624.89032407408)</f>
        <v>44624.89032</v>
      </c>
      <c r="F235" s="4" t="str">
        <f>IFERROR(__xludf.DUMMYFUNCTION("""COMPUTED_VALUE""")," ---")</f>
        <v> ---</v>
      </c>
      <c r="G235" s="4" t="str">
        <f>IFERROR(__xludf.DUMMYFUNCTION("""COMPUTED_VALUE"""),"SUSE Linux Enterprise Server 15 SP1")</f>
        <v>SUSE Linux Enterprise Server 15 SP1</v>
      </c>
      <c r="H235" s="7" t="str">
        <f t="shared" si="2"/>
        <v>NO</v>
      </c>
      <c r="I235" s="7" t="str">
        <f t="shared" si="3"/>
        <v>NO</v>
      </c>
    </row>
    <row r="236">
      <c r="A236" s="4">
        <f>IFERROR(__xludf.DUMMYFUNCTION("""COMPUTED_VALUE"""),1119838.0)</f>
        <v>1119838</v>
      </c>
      <c r="B236" s="4" t="str">
        <f>IFERROR(__xludf.DUMMYFUNCTION("""COMPUTED_VALUE"""),"P3 - Medium")</f>
        <v>P3 - Medium</v>
      </c>
      <c r="C236" s="5">
        <f>IFERROR(__xludf.DUMMYFUNCTION("""COMPUTED_VALUE"""),43452.62048611111)</f>
        <v>43452.62049</v>
      </c>
      <c r="D236" s="4" t="str">
        <f>IFERROR(__xludf.DUMMYFUNCTION("""COMPUTED_VALUE"""),"RESOLVED")</f>
        <v>RESOLVED</v>
      </c>
      <c r="E236" s="6">
        <f>IFERROR(__xludf.DUMMYFUNCTION("""COMPUTED_VALUE"""),44384.78450231482)</f>
        <v>44384.7845</v>
      </c>
      <c r="F236" s="4" t="str">
        <f>IFERROR(__xludf.DUMMYFUNCTION("""COMPUTED_VALUE""")," ---")</f>
        <v> ---</v>
      </c>
      <c r="G236" s="4" t="str">
        <f>IFERROR(__xludf.DUMMYFUNCTION("""COMPUTED_VALUE"""),"SUSE Linux Enterprise Server 15 SP1")</f>
        <v>SUSE Linux Enterprise Server 15 SP1</v>
      </c>
      <c r="H236" s="7" t="str">
        <f t="shared" si="2"/>
        <v>NO</v>
      </c>
      <c r="I236" s="7" t="str">
        <f t="shared" si="3"/>
        <v>NO</v>
      </c>
    </row>
    <row r="237">
      <c r="A237" s="4">
        <f>IFERROR(__xludf.DUMMYFUNCTION("""COMPUTED_VALUE"""),1119842.0)</f>
        <v>1119842</v>
      </c>
      <c r="B237" s="4" t="str">
        <f>IFERROR(__xludf.DUMMYFUNCTION("""COMPUTED_VALUE"""),"P3 - Medium")</f>
        <v>P3 - Medium</v>
      </c>
      <c r="C237" s="5">
        <f>IFERROR(__xludf.DUMMYFUNCTION("""COMPUTED_VALUE"""),43452.62459490741)</f>
        <v>43452.62459</v>
      </c>
      <c r="D237" s="4" t="str">
        <f>IFERROR(__xludf.DUMMYFUNCTION("""COMPUTED_VALUE"""),"RESOLVED")</f>
        <v>RESOLVED</v>
      </c>
      <c r="E237" s="6">
        <f>IFERROR(__xludf.DUMMYFUNCTION("""COMPUTED_VALUE"""),44217.72258101852)</f>
        <v>44217.72258</v>
      </c>
      <c r="F237" s="4" t="str">
        <f>IFERROR(__xludf.DUMMYFUNCTION("""COMPUTED_VALUE""")," ---")</f>
        <v> ---</v>
      </c>
      <c r="G237" s="4" t="str">
        <f>IFERROR(__xludf.DUMMYFUNCTION("""COMPUTED_VALUE"""),"SUSE Linux Enterprise Server 15 SP1")</f>
        <v>SUSE Linux Enterprise Server 15 SP1</v>
      </c>
      <c r="H237" s="7" t="str">
        <f t="shared" si="2"/>
        <v>NO</v>
      </c>
      <c r="I237" s="7" t="str">
        <f t="shared" si="3"/>
        <v>NO</v>
      </c>
    </row>
    <row r="238">
      <c r="A238" s="4">
        <f>IFERROR(__xludf.DUMMYFUNCTION("""COMPUTED_VALUE"""),1119844.0)</f>
        <v>1119844</v>
      </c>
      <c r="B238" s="4" t="str">
        <f>IFERROR(__xludf.DUMMYFUNCTION("""COMPUTED_VALUE"""),"P3 - Medium")</f>
        <v>P3 - Medium</v>
      </c>
      <c r="C238" s="5">
        <f>IFERROR(__xludf.DUMMYFUNCTION("""COMPUTED_VALUE"""),43452.62708333333)</f>
        <v>43452.62708</v>
      </c>
      <c r="D238" s="4" t="str">
        <f>IFERROR(__xludf.DUMMYFUNCTION("""COMPUTED_VALUE"""),"RESOLVED")</f>
        <v>RESOLVED</v>
      </c>
      <c r="E238" s="6">
        <f>IFERROR(__xludf.DUMMYFUNCTION("""COMPUTED_VALUE"""),44217.727997685186)</f>
        <v>44217.728</v>
      </c>
      <c r="F238" s="4" t="str">
        <f>IFERROR(__xludf.DUMMYFUNCTION("""COMPUTED_VALUE""")," ---")</f>
        <v> ---</v>
      </c>
      <c r="G238" s="4" t="str">
        <f>IFERROR(__xludf.DUMMYFUNCTION("""COMPUTED_VALUE"""),"SUSE Linux Enterprise Server 15 SP1")</f>
        <v>SUSE Linux Enterprise Server 15 SP1</v>
      </c>
      <c r="H238" s="7" t="str">
        <f t="shared" si="2"/>
        <v>NO</v>
      </c>
      <c r="I238" s="7" t="str">
        <f t="shared" si="3"/>
        <v>NO</v>
      </c>
    </row>
    <row r="239">
      <c r="A239" s="4">
        <f>IFERROR(__xludf.DUMMYFUNCTION("""COMPUTED_VALUE"""),1119846.0)</f>
        <v>1119846</v>
      </c>
      <c r="B239" s="4" t="str">
        <f>IFERROR(__xludf.DUMMYFUNCTION("""COMPUTED_VALUE"""),"P3 - Medium")</f>
        <v>P3 - Medium</v>
      </c>
      <c r="C239" s="5">
        <f>IFERROR(__xludf.DUMMYFUNCTION("""COMPUTED_VALUE"""),43452.631898148145)</f>
        <v>43452.6319</v>
      </c>
      <c r="D239" s="4" t="str">
        <f>IFERROR(__xludf.DUMMYFUNCTION("""COMPUTED_VALUE"""),"RESOLVED")</f>
        <v>RESOLVED</v>
      </c>
      <c r="E239" s="6">
        <f>IFERROR(__xludf.DUMMYFUNCTION("""COMPUTED_VALUE"""),44384.78457175926)</f>
        <v>44384.78457</v>
      </c>
      <c r="F239" s="4" t="str">
        <f>IFERROR(__xludf.DUMMYFUNCTION("""COMPUTED_VALUE""")," ---")</f>
        <v> ---</v>
      </c>
      <c r="G239" s="4" t="str">
        <f>IFERROR(__xludf.DUMMYFUNCTION("""COMPUTED_VALUE"""),"SUSE Linux Enterprise Server 15 SP1")</f>
        <v>SUSE Linux Enterprise Server 15 SP1</v>
      </c>
      <c r="H239" s="7" t="str">
        <f t="shared" si="2"/>
        <v>NO</v>
      </c>
      <c r="I239" s="7" t="str">
        <f t="shared" si="3"/>
        <v>NO</v>
      </c>
    </row>
    <row r="240">
      <c r="A240" s="4">
        <f>IFERROR(__xludf.DUMMYFUNCTION("""COMPUTED_VALUE"""),1119855.0)</f>
        <v>1119855</v>
      </c>
      <c r="B240" s="4" t="str">
        <f>IFERROR(__xludf.DUMMYFUNCTION("""COMPUTED_VALUE"""),"P3 - Medium")</f>
        <v>P3 - Medium</v>
      </c>
      <c r="C240" s="5">
        <f>IFERROR(__xludf.DUMMYFUNCTION("""COMPUTED_VALUE"""),43452.67822916667)</f>
        <v>43452.67823</v>
      </c>
      <c r="D240" s="4" t="str">
        <f>IFERROR(__xludf.DUMMYFUNCTION("""COMPUTED_VALUE"""),"RESOLVED")</f>
        <v>RESOLVED</v>
      </c>
      <c r="E240" s="6">
        <f>IFERROR(__xludf.DUMMYFUNCTION("""COMPUTED_VALUE"""),44217.71959490741)</f>
        <v>44217.71959</v>
      </c>
      <c r="F240" s="4" t="str">
        <f>IFERROR(__xludf.DUMMYFUNCTION("""COMPUTED_VALUE""")," ---")</f>
        <v> ---</v>
      </c>
      <c r="G240" s="4" t="str">
        <f>IFERROR(__xludf.DUMMYFUNCTION("""COMPUTED_VALUE"""),"SUSE Linux Enterprise Server 15 SP1")</f>
        <v>SUSE Linux Enterprise Server 15 SP1</v>
      </c>
      <c r="H240" s="7" t="str">
        <f t="shared" si="2"/>
        <v>NO</v>
      </c>
      <c r="I240" s="7" t="str">
        <f t="shared" si="3"/>
        <v>NO</v>
      </c>
    </row>
    <row r="241">
      <c r="A241" s="4">
        <f>IFERROR(__xludf.DUMMYFUNCTION("""COMPUTED_VALUE"""),1119857.0)</f>
        <v>1119857</v>
      </c>
      <c r="B241" s="4" t="str">
        <f>IFERROR(__xludf.DUMMYFUNCTION("""COMPUTED_VALUE"""),"P3 - Medium")</f>
        <v>P3 - Medium</v>
      </c>
      <c r="C241" s="5">
        <f>IFERROR(__xludf.DUMMYFUNCTION("""COMPUTED_VALUE"""),43452.681597222225)</f>
        <v>43452.6816</v>
      </c>
      <c r="D241" s="4" t="str">
        <f>IFERROR(__xludf.DUMMYFUNCTION("""COMPUTED_VALUE"""),"RESOLVED")</f>
        <v>RESOLVED</v>
      </c>
      <c r="E241" s="6">
        <f>IFERROR(__xludf.DUMMYFUNCTION("""COMPUTED_VALUE"""),44217.73511574074)</f>
        <v>44217.73512</v>
      </c>
      <c r="F241" s="4" t="str">
        <f>IFERROR(__xludf.DUMMYFUNCTION("""COMPUTED_VALUE""")," ---")</f>
        <v> ---</v>
      </c>
      <c r="G241" s="4" t="str">
        <f>IFERROR(__xludf.DUMMYFUNCTION("""COMPUTED_VALUE"""),"SUSE Linux Enterprise Server 15 SP1")</f>
        <v>SUSE Linux Enterprise Server 15 SP1</v>
      </c>
      <c r="H241" s="7" t="str">
        <f t="shared" si="2"/>
        <v>NO</v>
      </c>
      <c r="I241" s="7" t="str">
        <f t="shared" si="3"/>
        <v>NO</v>
      </c>
    </row>
    <row r="242">
      <c r="A242" s="4">
        <f>IFERROR(__xludf.DUMMYFUNCTION("""COMPUTED_VALUE"""),1119859.0)</f>
        <v>1119859</v>
      </c>
      <c r="B242" s="4" t="str">
        <f>IFERROR(__xludf.DUMMYFUNCTION("""COMPUTED_VALUE"""),"P3 - Medium")</f>
        <v>P3 - Medium</v>
      </c>
      <c r="C242" s="5">
        <f>IFERROR(__xludf.DUMMYFUNCTION("""COMPUTED_VALUE"""),43452.68350694444)</f>
        <v>43452.68351</v>
      </c>
      <c r="D242" s="4" t="str">
        <f>IFERROR(__xludf.DUMMYFUNCTION("""COMPUTED_VALUE"""),"RESOLVED")</f>
        <v>RESOLVED</v>
      </c>
      <c r="E242" s="6">
        <f>IFERROR(__xludf.DUMMYFUNCTION("""COMPUTED_VALUE"""),44217.71943287037)</f>
        <v>44217.71943</v>
      </c>
      <c r="F242" s="4" t="str">
        <f>IFERROR(__xludf.DUMMYFUNCTION("""COMPUTED_VALUE""")," ---")</f>
        <v> ---</v>
      </c>
      <c r="G242" s="4" t="str">
        <f>IFERROR(__xludf.DUMMYFUNCTION("""COMPUTED_VALUE"""),"SUSE Linux Enterprise Server 15 SP1")</f>
        <v>SUSE Linux Enterprise Server 15 SP1</v>
      </c>
      <c r="H242" s="7" t="str">
        <f t="shared" si="2"/>
        <v>NO</v>
      </c>
      <c r="I242" s="7" t="str">
        <f t="shared" si="3"/>
        <v>NO</v>
      </c>
    </row>
    <row r="243">
      <c r="A243" s="4">
        <f>IFERROR(__xludf.DUMMYFUNCTION("""COMPUTED_VALUE"""),1119860.0)</f>
        <v>1119860</v>
      </c>
      <c r="B243" s="4" t="str">
        <f>IFERROR(__xludf.DUMMYFUNCTION("""COMPUTED_VALUE"""),"P3 - Medium")</f>
        <v>P3 - Medium</v>
      </c>
      <c r="C243" s="5">
        <f>IFERROR(__xludf.DUMMYFUNCTION("""COMPUTED_VALUE"""),43452.68672453704)</f>
        <v>43452.68672</v>
      </c>
      <c r="D243" s="4" t="str">
        <f>IFERROR(__xludf.DUMMYFUNCTION("""COMPUTED_VALUE"""),"RESOLVED")</f>
        <v>RESOLVED</v>
      </c>
      <c r="E243" s="6">
        <f>IFERROR(__xludf.DUMMYFUNCTION("""COMPUTED_VALUE"""),44222.50239583333)</f>
        <v>44222.5024</v>
      </c>
      <c r="F243" s="4" t="str">
        <f>IFERROR(__xludf.DUMMYFUNCTION("""COMPUTED_VALUE""")," ---")</f>
        <v> ---</v>
      </c>
      <c r="G243" s="4" t="str">
        <f>IFERROR(__xludf.DUMMYFUNCTION("""COMPUTED_VALUE"""),"SUSE Linux Enterprise Server 15 SP1")</f>
        <v>SUSE Linux Enterprise Server 15 SP1</v>
      </c>
      <c r="H243" s="7" t="str">
        <f t="shared" si="2"/>
        <v>NO</v>
      </c>
      <c r="I243" s="7" t="str">
        <f t="shared" si="3"/>
        <v>NO</v>
      </c>
    </row>
    <row r="244">
      <c r="A244" s="4">
        <f>IFERROR(__xludf.DUMMYFUNCTION("""COMPUTED_VALUE"""),1122271.0)</f>
        <v>1122271</v>
      </c>
      <c r="B244" s="4" t="str">
        <f>IFERROR(__xludf.DUMMYFUNCTION("""COMPUTED_VALUE"""),"P3 - Medium")</f>
        <v>P3 - Medium</v>
      </c>
      <c r="C244" s="5">
        <f>IFERROR(__xludf.DUMMYFUNCTION("""COMPUTED_VALUE"""),43482.29430555556)</f>
        <v>43482.29431</v>
      </c>
      <c r="D244" s="4" t="str">
        <f>IFERROR(__xludf.DUMMYFUNCTION("""COMPUTED_VALUE"""),"RESOLVED")</f>
        <v>RESOLVED</v>
      </c>
      <c r="E244" s="6">
        <f>IFERROR(__xludf.DUMMYFUNCTION("""COMPUTED_VALUE"""),44447.77505787037)</f>
        <v>44447.77506</v>
      </c>
      <c r="F244" s="4" t="str">
        <f>IFERROR(__xludf.DUMMYFUNCTION("""COMPUTED_VALUE""")," ---")</f>
        <v> ---</v>
      </c>
      <c r="G244" s="4" t="str">
        <f>IFERROR(__xludf.DUMMYFUNCTION("""COMPUTED_VALUE"""),"SUSE Linux Enterprise Server 15 SP1")</f>
        <v>SUSE Linux Enterprise Server 15 SP1</v>
      </c>
      <c r="H244" s="7" t="str">
        <f t="shared" si="2"/>
        <v>NO</v>
      </c>
      <c r="I244" s="7" t="str">
        <f t="shared" si="3"/>
        <v>NO</v>
      </c>
    </row>
    <row r="245">
      <c r="A245" s="4">
        <f>IFERROR(__xludf.DUMMYFUNCTION("""COMPUTED_VALUE"""),1123934.0)</f>
        <v>1123934</v>
      </c>
      <c r="B245" s="4" t="str">
        <f>IFERROR(__xludf.DUMMYFUNCTION("""COMPUTED_VALUE"""),"P3 - Medium")</f>
        <v>P3 - Medium</v>
      </c>
      <c r="C245" s="5">
        <f>IFERROR(__xludf.DUMMYFUNCTION("""COMPUTED_VALUE"""),43497.13520833333)</f>
        <v>43497.13521</v>
      </c>
      <c r="D245" s="4" t="str">
        <f>IFERROR(__xludf.DUMMYFUNCTION("""COMPUTED_VALUE"""),"RESOLVED")</f>
        <v>RESOLVED</v>
      </c>
      <c r="E245" s="6">
        <f>IFERROR(__xludf.DUMMYFUNCTION("""COMPUTED_VALUE"""),43509.513819444444)</f>
        <v>43509.51382</v>
      </c>
      <c r="F245" s="4" t="str">
        <f>IFERROR(__xludf.DUMMYFUNCTION("""COMPUTED_VALUE""")," ---")</f>
        <v> ---</v>
      </c>
      <c r="G245" s="4" t="str">
        <f>IFERROR(__xludf.DUMMYFUNCTION("""COMPUTED_VALUE"""),"SUSE Linux Enterprise Server 15 SP1")</f>
        <v>SUSE Linux Enterprise Server 15 SP1</v>
      </c>
      <c r="H245" s="7" t="str">
        <f t="shared" si="2"/>
        <v>NO</v>
      </c>
      <c r="I245" s="7" t="str">
        <f t="shared" si="3"/>
        <v>NO</v>
      </c>
    </row>
    <row r="246">
      <c r="A246" s="4">
        <f>IFERROR(__xludf.DUMMYFUNCTION("""COMPUTED_VALUE"""),1134936.0)</f>
        <v>1134936</v>
      </c>
      <c r="B246" s="4" t="str">
        <f>IFERROR(__xludf.DUMMYFUNCTION("""COMPUTED_VALUE"""),"P3 - Medium")</f>
        <v>P3 - Medium</v>
      </c>
      <c r="C246" s="5">
        <f>IFERROR(__xludf.DUMMYFUNCTION("""COMPUTED_VALUE"""),43599.14818287037)</f>
        <v>43599.14818</v>
      </c>
      <c r="D246" s="4" t="str">
        <f>IFERROR(__xludf.DUMMYFUNCTION("""COMPUTED_VALUE"""),"RESOLVED")</f>
        <v>RESOLVED</v>
      </c>
      <c r="E246" s="6">
        <f>IFERROR(__xludf.DUMMYFUNCTION("""COMPUTED_VALUE"""),44624.89611111111)</f>
        <v>44624.89611</v>
      </c>
      <c r="F246" s="4" t="str">
        <f>IFERROR(__xludf.DUMMYFUNCTION("""COMPUTED_VALUE""")," ---")</f>
        <v> ---</v>
      </c>
      <c r="G246" s="4" t="str">
        <f>IFERROR(__xludf.DUMMYFUNCTION("""COMPUTED_VALUE"""),"SUSE Linux Enterprise Server 15 SP1")</f>
        <v>SUSE Linux Enterprise Server 15 SP1</v>
      </c>
      <c r="H246" s="7" t="str">
        <f t="shared" si="2"/>
        <v>NO</v>
      </c>
      <c r="I246" s="7" t="str">
        <f t="shared" si="3"/>
        <v>NO</v>
      </c>
    </row>
    <row r="247">
      <c r="A247" s="4">
        <f>IFERROR(__xludf.DUMMYFUNCTION("""COMPUTED_VALUE"""),1112178.0)</f>
        <v>1112178</v>
      </c>
      <c r="B247" s="4" t="str">
        <f>IFERROR(__xludf.DUMMYFUNCTION("""COMPUTED_VALUE"""),"P3 - Medium")</f>
        <v>P3 - Medium</v>
      </c>
      <c r="C247" s="5">
        <f>IFERROR(__xludf.DUMMYFUNCTION("""COMPUTED_VALUE"""),43390.50717592592)</f>
        <v>43390.50718</v>
      </c>
      <c r="D247" s="4" t="str">
        <f>IFERROR(__xludf.DUMMYFUNCTION("""COMPUTED_VALUE"""),"RESOLVED")</f>
        <v>RESOLVED</v>
      </c>
      <c r="E247" s="6">
        <f>IFERROR(__xludf.DUMMYFUNCTION("""COMPUTED_VALUE"""),44246.846597222226)</f>
        <v>44246.8466</v>
      </c>
      <c r="F247" s="4" t="str">
        <f>IFERROR(__xludf.DUMMYFUNCTION("""COMPUTED_VALUE""")," ---")</f>
        <v> ---</v>
      </c>
      <c r="G247" s="4" t="str">
        <f>IFERROR(__xludf.DUMMYFUNCTION("""COMPUTED_VALUE"""),"SUSE Linux Enterprise Server 15 SP1")</f>
        <v>SUSE Linux Enterprise Server 15 SP1</v>
      </c>
      <c r="H247" s="7" t="str">
        <f t="shared" si="2"/>
        <v>NO</v>
      </c>
      <c r="I247" s="7" t="str">
        <f t="shared" si="3"/>
        <v>NO</v>
      </c>
    </row>
    <row r="248">
      <c r="A248" s="4">
        <f>IFERROR(__xludf.DUMMYFUNCTION("""COMPUTED_VALUE"""),1126142.0)</f>
        <v>1126142</v>
      </c>
      <c r="B248" s="4" t="str">
        <f>IFERROR(__xludf.DUMMYFUNCTION("""COMPUTED_VALUE"""),"P3 - Medium")</f>
        <v>P3 - Medium</v>
      </c>
      <c r="C248" s="5">
        <f>IFERROR(__xludf.DUMMYFUNCTION("""COMPUTED_VALUE"""),43516.75331018519)</f>
        <v>43516.75331</v>
      </c>
      <c r="D248" s="4" t="str">
        <f>IFERROR(__xludf.DUMMYFUNCTION("""COMPUTED_VALUE"""),"RESOLVED")</f>
        <v>RESOLVED</v>
      </c>
      <c r="E248" s="6">
        <f>IFERROR(__xludf.DUMMYFUNCTION("""COMPUTED_VALUE"""),43630.63337962963)</f>
        <v>43630.63338</v>
      </c>
      <c r="F248" s="4" t="str">
        <f>IFERROR(__xludf.DUMMYFUNCTION("""COMPUTED_VALUE""")," ---")</f>
        <v> ---</v>
      </c>
      <c r="G248" s="4" t="str">
        <f>IFERROR(__xludf.DUMMYFUNCTION("""COMPUTED_VALUE"""),"SUSE Linux Enterprise Server 15 SP1")</f>
        <v>SUSE Linux Enterprise Server 15 SP1</v>
      </c>
      <c r="H248" s="7" t="str">
        <f t="shared" si="2"/>
        <v>NO</v>
      </c>
      <c r="I248" s="7" t="str">
        <f t="shared" si="3"/>
        <v>NO</v>
      </c>
    </row>
    <row r="249">
      <c r="A249" s="4">
        <f>IFERROR(__xludf.DUMMYFUNCTION("""COMPUTED_VALUE"""),1129433.0)</f>
        <v>1129433</v>
      </c>
      <c r="B249" s="4" t="str">
        <f>IFERROR(__xludf.DUMMYFUNCTION("""COMPUTED_VALUE"""),"P3 - Medium")</f>
        <v>P3 - Medium</v>
      </c>
      <c r="C249" s="5">
        <f>IFERROR(__xludf.DUMMYFUNCTION("""COMPUTED_VALUE"""),43539.60773148148)</f>
        <v>43539.60773</v>
      </c>
      <c r="D249" s="4" t="str">
        <f>IFERROR(__xludf.DUMMYFUNCTION("""COMPUTED_VALUE"""),"RESOLVED")</f>
        <v>RESOLVED</v>
      </c>
      <c r="E249" s="6">
        <f>IFERROR(__xludf.DUMMYFUNCTION("""COMPUTED_VALUE"""),43539.74103009259)</f>
        <v>43539.74103</v>
      </c>
      <c r="F249" s="4" t="str">
        <f>IFERROR(__xludf.DUMMYFUNCTION("""COMPUTED_VALUE""")," ---")</f>
        <v> ---</v>
      </c>
      <c r="G249" s="4" t="str">
        <f>IFERROR(__xludf.DUMMYFUNCTION("""COMPUTED_VALUE"""),"SUSE Linux Enterprise Server 15 SP1")</f>
        <v>SUSE Linux Enterprise Server 15 SP1</v>
      </c>
      <c r="H249" s="7" t="str">
        <f t="shared" si="2"/>
        <v>NO</v>
      </c>
      <c r="I249" s="7" t="str">
        <f t="shared" si="3"/>
        <v>NO</v>
      </c>
    </row>
    <row r="250">
      <c r="A250" s="4">
        <f>IFERROR(__xludf.DUMMYFUNCTION("""COMPUTED_VALUE"""),1104399.0)</f>
        <v>1104399</v>
      </c>
      <c r="B250" s="4" t="str">
        <f>IFERROR(__xludf.DUMMYFUNCTION("""COMPUTED_VALUE"""),"P3 - Medium")</f>
        <v>P3 - Medium</v>
      </c>
      <c r="C250" s="5">
        <f>IFERROR(__xludf.DUMMYFUNCTION("""COMPUTED_VALUE"""),43321.77228009259)</f>
        <v>43321.77228</v>
      </c>
      <c r="D250" s="4" t="str">
        <f>IFERROR(__xludf.DUMMYFUNCTION("""COMPUTED_VALUE"""),"RESOLVED")</f>
        <v>RESOLVED</v>
      </c>
      <c r="E250" s="6">
        <f>IFERROR(__xludf.DUMMYFUNCTION("""COMPUTED_VALUE"""),43630.62546296296)</f>
        <v>43630.62546</v>
      </c>
      <c r="F250" s="4" t="str">
        <f>IFERROR(__xludf.DUMMYFUNCTION("""COMPUTED_VALUE""")," ---")</f>
        <v> ---</v>
      </c>
      <c r="G250" s="4" t="str">
        <f>IFERROR(__xludf.DUMMYFUNCTION("""COMPUTED_VALUE"""),"SUSE Linux Enterprise Server 15 SP1")</f>
        <v>SUSE Linux Enterprise Server 15 SP1</v>
      </c>
      <c r="H250" s="7" t="str">
        <f t="shared" si="2"/>
        <v>NO</v>
      </c>
      <c r="I250" s="7" t="str">
        <f t="shared" si="3"/>
        <v>NO</v>
      </c>
    </row>
    <row r="251">
      <c r="A251" s="4">
        <f>IFERROR(__xludf.DUMMYFUNCTION("""COMPUTED_VALUE"""),1104400.0)</f>
        <v>1104400</v>
      </c>
      <c r="B251" s="4" t="str">
        <f>IFERROR(__xludf.DUMMYFUNCTION("""COMPUTED_VALUE"""),"P3 - Medium")</f>
        <v>P3 - Medium</v>
      </c>
      <c r="C251" s="5">
        <f>IFERROR(__xludf.DUMMYFUNCTION("""COMPUTED_VALUE"""),43321.774189814816)</f>
        <v>43321.77419</v>
      </c>
      <c r="D251" s="4" t="str">
        <f>IFERROR(__xludf.DUMMYFUNCTION("""COMPUTED_VALUE"""),"RESOLVED")</f>
        <v>RESOLVED</v>
      </c>
      <c r="E251" s="6">
        <f>IFERROR(__xludf.DUMMYFUNCTION("""COMPUTED_VALUE"""),43630.625497685185)</f>
        <v>43630.6255</v>
      </c>
      <c r="F251" s="4" t="str">
        <f>IFERROR(__xludf.DUMMYFUNCTION("""COMPUTED_VALUE""")," ---")</f>
        <v> ---</v>
      </c>
      <c r="G251" s="4" t="str">
        <f>IFERROR(__xludf.DUMMYFUNCTION("""COMPUTED_VALUE"""),"SUSE Linux Enterprise Server 15 SP1")</f>
        <v>SUSE Linux Enterprise Server 15 SP1</v>
      </c>
      <c r="H251" s="7" t="str">
        <f t="shared" si="2"/>
        <v>NO</v>
      </c>
      <c r="I251" s="7" t="str">
        <f t="shared" si="3"/>
        <v>NO</v>
      </c>
    </row>
    <row r="252">
      <c r="A252" s="4">
        <f>IFERROR(__xludf.DUMMYFUNCTION("""COMPUTED_VALUE"""),1104402.0)</f>
        <v>1104402</v>
      </c>
      <c r="B252" s="4" t="str">
        <f>IFERROR(__xludf.DUMMYFUNCTION("""COMPUTED_VALUE"""),"P3 - Medium")</f>
        <v>P3 - Medium</v>
      </c>
      <c r="C252" s="5">
        <f>IFERROR(__xludf.DUMMYFUNCTION("""COMPUTED_VALUE"""),43321.77777777778)</f>
        <v>43321.77778</v>
      </c>
      <c r="D252" s="4" t="str">
        <f>IFERROR(__xludf.DUMMYFUNCTION("""COMPUTED_VALUE"""),"RESOLVED")</f>
        <v>RESOLVED</v>
      </c>
      <c r="E252" s="6">
        <f>IFERROR(__xludf.DUMMYFUNCTION("""COMPUTED_VALUE"""),43630.625543981485)</f>
        <v>43630.62554</v>
      </c>
      <c r="F252" s="4" t="str">
        <f>IFERROR(__xludf.DUMMYFUNCTION("""COMPUTED_VALUE""")," ---")</f>
        <v> ---</v>
      </c>
      <c r="G252" s="4" t="str">
        <f>IFERROR(__xludf.DUMMYFUNCTION("""COMPUTED_VALUE"""),"SUSE Linux Enterprise Server 15 SP1")</f>
        <v>SUSE Linux Enterprise Server 15 SP1</v>
      </c>
      <c r="H252" s="7" t="str">
        <f t="shared" si="2"/>
        <v>NO</v>
      </c>
      <c r="I252" s="7" t="str">
        <f t="shared" si="3"/>
        <v>NO</v>
      </c>
    </row>
    <row r="253">
      <c r="A253" s="4">
        <f>IFERROR(__xludf.DUMMYFUNCTION("""COMPUTED_VALUE"""),1104419.0)</f>
        <v>1104419</v>
      </c>
      <c r="B253" s="4" t="str">
        <f>IFERROR(__xludf.DUMMYFUNCTION("""COMPUTED_VALUE"""),"P3 - Medium")</f>
        <v>P3 - Medium</v>
      </c>
      <c r="C253" s="5">
        <f>IFERROR(__xludf.DUMMYFUNCTION("""COMPUTED_VALUE"""),43321.85681712963)</f>
        <v>43321.85682</v>
      </c>
      <c r="D253" s="4" t="str">
        <f>IFERROR(__xludf.DUMMYFUNCTION("""COMPUTED_VALUE"""),"RESOLVED")</f>
        <v>RESOLVED</v>
      </c>
      <c r="E253" s="6">
        <f>IFERROR(__xludf.DUMMYFUNCTION("""COMPUTED_VALUE"""),43630.6255787037)</f>
        <v>43630.62558</v>
      </c>
      <c r="F253" s="4" t="str">
        <f>IFERROR(__xludf.DUMMYFUNCTION("""COMPUTED_VALUE""")," ---")</f>
        <v> ---</v>
      </c>
      <c r="G253" s="4" t="str">
        <f>IFERROR(__xludf.DUMMYFUNCTION("""COMPUTED_VALUE"""),"SUSE Linux Enterprise Server 15 SP1")</f>
        <v>SUSE Linux Enterprise Server 15 SP1</v>
      </c>
      <c r="H253" s="7" t="str">
        <f t="shared" si="2"/>
        <v>NO</v>
      </c>
      <c r="I253" s="7" t="str">
        <f t="shared" si="3"/>
        <v>NO</v>
      </c>
    </row>
    <row r="254">
      <c r="A254" s="4">
        <f>IFERROR(__xludf.DUMMYFUNCTION("""COMPUTED_VALUE"""),1104423.0)</f>
        <v>1104423</v>
      </c>
      <c r="B254" s="4" t="str">
        <f>IFERROR(__xludf.DUMMYFUNCTION("""COMPUTED_VALUE"""),"P3 - Medium")</f>
        <v>P3 - Medium</v>
      </c>
      <c r="C254" s="5">
        <f>IFERROR(__xludf.DUMMYFUNCTION("""COMPUTED_VALUE"""),43321.86133101852)</f>
        <v>43321.86133</v>
      </c>
      <c r="D254" s="4" t="str">
        <f>IFERROR(__xludf.DUMMYFUNCTION("""COMPUTED_VALUE"""),"RESOLVED")</f>
        <v>RESOLVED</v>
      </c>
      <c r="E254" s="6">
        <f>IFERROR(__xludf.DUMMYFUNCTION("""COMPUTED_VALUE"""),43630.625659722224)</f>
        <v>43630.62566</v>
      </c>
      <c r="F254" s="4" t="str">
        <f>IFERROR(__xludf.DUMMYFUNCTION("""COMPUTED_VALUE""")," ---")</f>
        <v> ---</v>
      </c>
      <c r="G254" s="4" t="str">
        <f>IFERROR(__xludf.DUMMYFUNCTION("""COMPUTED_VALUE"""),"SUSE Linux Enterprise Server 15 SP1")</f>
        <v>SUSE Linux Enterprise Server 15 SP1</v>
      </c>
      <c r="H254" s="7" t="str">
        <f t="shared" si="2"/>
        <v>NO</v>
      </c>
      <c r="I254" s="7" t="str">
        <f t="shared" si="3"/>
        <v>NO</v>
      </c>
    </row>
    <row r="255">
      <c r="A255" s="4">
        <f>IFERROR(__xludf.DUMMYFUNCTION("""COMPUTED_VALUE"""),1104710.0)</f>
        <v>1104710</v>
      </c>
      <c r="B255" s="4" t="str">
        <f>IFERROR(__xludf.DUMMYFUNCTION("""COMPUTED_VALUE"""),"P3 - Medium")</f>
        <v>P3 - Medium</v>
      </c>
      <c r="C255" s="5">
        <f>IFERROR(__xludf.DUMMYFUNCTION("""COMPUTED_VALUE"""),43325.75960648148)</f>
        <v>43325.75961</v>
      </c>
      <c r="D255" s="4" t="str">
        <f>IFERROR(__xludf.DUMMYFUNCTION("""COMPUTED_VALUE"""),"RESOLVED")</f>
        <v>RESOLVED</v>
      </c>
      <c r="E255" s="6">
        <f>IFERROR(__xludf.DUMMYFUNCTION("""COMPUTED_VALUE"""),43630.625752314816)</f>
        <v>43630.62575</v>
      </c>
      <c r="F255" s="4" t="str">
        <f>IFERROR(__xludf.DUMMYFUNCTION("""COMPUTED_VALUE""")," ---")</f>
        <v> ---</v>
      </c>
      <c r="G255" s="4" t="str">
        <f>IFERROR(__xludf.DUMMYFUNCTION("""COMPUTED_VALUE"""),"SUSE Linux Enterprise Server 15 SP1")</f>
        <v>SUSE Linux Enterprise Server 15 SP1</v>
      </c>
      <c r="H255" s="7" t="str">
        <f t="shared" si="2"/>
        <v>NO</v>
      </c>
      <c r="I255" s="7" t="str">
        <f t="shared" si="3"/>
        <v>NO</v>
      </c>
    </row>
    <row r="256">
      <c r="A256" s="4">
        <f>IFERROR(__xludf.DUMMYFUNCTION("""COMPUTED_VALUE"""),1104714.0)</f>
        <v>1104714</v>
      </c>
      <c r="B256" s="4" t="str">
        <f>IFERROR(__xludf.DUMMYFUNCTION("""COMPUTED_VALUE"""),"P3 - Medium")</f>
        <v>P3 - Medium</v>
      </c>
      <c r="C256" s="5">
        <f>IFERROR(__xludf.DUMMYFUNCTION("""COMPUTED_VALUE"""),43325.7665162037)</f>
        <v>43325.76652</v>
      </c>
      <c r="D256" s="4" t="str">
        <f>IFERROR(__xludf.DUMMYFUNCTION("""COMPUTED_VALUE"""),"RESOLVED")</f>
        <v>RESOLVED</v>
      </c>
      <c r="E256" s="6">
        <f>IFERROR(__xludf.DUMMYFUNCTION("""COMPUTED_VALUE"""),43630.62579861111)</f>
        <v>43630.6258</v>
      </c>
      <c r="F256" s="4" t="str">
        <f>IFERROR(__xludf.DUMMYFUNCTION("""COMPUTED_VALUE""")," ---")</f>
        <v> ---</v>
      </c>
      <c r="G256" s="4" t="str">
        <f>IFERROR(__xludf.DUMMYFUNCTION("""COMPUTED_VALUE"""),"SUSE Linux Enterprise Server 15 SP1")</f>
        <v>SUSE Linux Enterprise Server 15 SP1</v>
      </c>
      <c r="H256" s="7" t="str">
        <f t="shared" si="2"/>
        <v>NO</v>
      </c>
      <c r="I256" s="7" t="str">
        <f t="shared" si="3"/>
        <v>NO</v>
      </c>
    </row>
    <row r="257">
      <c r="A257" s="4">
        <f>IFERROR(__xludf.DUMMYFUNCTION("""COMPUTED_VALUE"""),1111974.0)</f>
        <v>1111974</v>
      </c>
      <c r="B257" s="4" t="str">
        <f>IFERROR(__xludf.DUMMYFUNCTION("""COMPUTED_VALUE"""),"P3 - Medium")</f>
        <v>P3 - Medium</v>
      </c>
      <c r="C257" s="5">
        <f>IFERROR(__xludf.DUMMYFUNCTION("""COMPUTED_VALUE"""),43389.37111111111)</f>
        <v>43389.37111</v>
      </c>
      <c r="D257" s="4" t="str">
        <f>IFERROR(__xludf.DUMMYFUNCTION("""COMPUTED_VALUE"""),"RESOLVED")</f>
        <v>RESOLVED</v>
      </c>
      <c r="E257" s="6">
        <f>IFERROR(__xludf.DUMMYFUNCTION("""COMPUTED_VALUE"""),43950.71555555556)</f>
        <v>43950.71556</v>
      </c>
      <c r="F257" s="4" t="str">
        <f>IFERROR(__xludf.DUMMYFUNCTION("""COMPUTED_VALUE""")," ---")</f>
        <v> ---</v>
      </c>
      <c r="G257" s="4" t="str">
        <f>IFERROR(__xludf.DUMMYFUNCTION("""COMPUTED_VALUE"""),"SUSE Linux Enterprise Server 15 SP1")</f>
        <v>SUSE Linux Enterprise Server 15 SP1</v>
      </c>
      <c r="H257" s="7" t="str">
        <f t="shared" si="2"/>
        <v>NO</v>
      </c>
      <c r="I257" s="7" t="str">
        <f t="shared" si="3"/>
        <v>NO</v>
      </c>
    </row>
    <row r="258">
      <c r="A258" s="4">
        <f>IFERROR(__xludf.DUMMYFUNCTION("""COMPUTED_VALUE"""),1130972.0)</f>
        <v>1130972</v>
      </c>
      <c r="B258" s="4" t="str">
        <f>IFERROR(__xludf.DUMMYFUNCTION("""COMPUTED_VALUE"""),"P3 - Medium")</f>
        <v>P3 - Medium</v>
      </c>
      <c r="C258" s="5">
        <f>IFERROR(__xludf.DUMMYFUNCTION("""COMPUTED_VALUE"""),43553.45746527778)</f>
        <v>43553.45747</v>
      </c>
      <c r="D258" s="4" t="str">
        <f>IFERROR(__xludf.DUMMYFUNCTION("""COMPUTED_VALUE"""),"RESOLVED")</f>
        <v>RESOLVED</v>
      </c>
      <c r="E258" s="6">
        <f>IFERROR(__xludf.DUMMYFUNCTION("""COMPUTED_VALUE"""),43761.943553240744)</f>
        <v>43761.94355</v>
      </c>
      <c r="F258" s="4" t="str">
        <f>IFERROR(__xludf.DUMMYFUNCTION("""COMPUTED_VALUE""")," ---")</f>
        <v> ---</v>
      </c>
      <c r="G258" s="4" t="str">
        <f>IFERROR(__xludf.DUMMYFUNCTION("""COMPUTED_VALUE"""),"SUSE Linux Enterprise Server 15 SP1")</f>
        <v>SUSE Linux Enterprise Server 15 SP1</v>
      </c>
      <c r="H258" s="7" t="str">
        <f t="shared" si="2"/>
        <v>NO</v>
      </c>
      <c r="I258" s="7" t="str">
        <f t="shared" si="3"/>
        <v>NO</v>
      </c>
    </row>
    <row r="259">
      <c r="A259" s="4">
        <f>IFERROR(__xludf.DUMMYFUNCTION("""COMPUTED_VALUE"""),1127989.0)</f>
        <v>1127989</v>
      </c>
      <c r="B259" s="4" t="str">
        <f>IFERROR(__xludf.DUMMYFUNCTION("""COMPUTED_VALUE"""),"P3 - Medium")</f>
        <v>P3 - Medium</v>
      </c>
      <c r="C259" s="5">
        <f>IFERROR(__xludf.DUMMYFUNCTION("""COMPUTED_VALUE"""),43529.71346064815)</f>
        <v>43529.71346</v>
      </c>
      <c r="D259" s="4" t="str">
        <f>IFERROR(__xludf.DUMMYFUNCTION("""COMPUTED_VALUE"""),"RESOLVED")</f>
        <v>RESOLVED</v>
      </c>
      <c r="E259" s="6">
        <f>IFERROR(__xludf.DUMMYFUNCTION("""COMPUTED_VALUE"""),44603.4103125)</f>
        <v>44603.41031</v>
      </c>
      <c r="F259" s="4" t="str">
        <f>IFERROR(__xludf.DUMMYFUNCTION("""COMPUTED_VALUE""")," ---")</f>
        <v> ---</v>
      </c>
      <c r="G259" s="4" t="str">
        <f>IFERROR(__xludf.DUMMYFUNCTION("""COMPUTED_VALUE"""),"SUSE Linux Enterprise Server 15 SP1")</f>
        <v>SUSE Linux Enterprise Server 15 SP1</v>
      </c>
      <c r="H259" s="7" t="str">
        <f t="shared" si="2"/>
        <v>NO</v>
      </c>
      <c r="I259" s="7" t="str">
        <f t="shared" si="3"/>
        <v>NO</v>
      </c>
    </row>
    <row r="260">
      <c r="A260" s="4">
        <f>IFERROR(__xludf.DUMMYFUNCTION("""COMPUTED_VALUE"""),1137322.0)</f>
        <v>1137322</v>
      </c>
      <c r="B260" s="4" t="str">
        <f>IFERROR(__xludf.DUMMYFUNCTION("""COMPUTED_VALUE"""),"P3 - Medium")</f>
        <v>P3 - Medium</v>
      </c>
      <c r="C260" s="5">
        <f>IFERROR(__xludf.DUMMYFUNCTION("""COMPUTED_VALUE"""),43621.38511574074)</f>
        <v>43621.38512</v>
      </c>
      <c r="D260" s="4" t="str">
        <f>IFERROR(__xludf.DUMMYFUNCTION("""COMPUTED_VALUE"""),"RESOLVED")</f>
        <v>RESOLVED</v>
      </c>
      <c r="E260" s="6">
        <f>IFERROR(__xludf.DUMMYFUNCTION("""COMPUTED_VALUE"""),43762.51556712963)</f>
        <v>43762.51557</v>
      </c>
      <c r="F260" s="4" t="str">
        <f>IFERROR(__xludf.DUMMYFUNCTION("""COMPUTED_VALUE""")," ---")</f>
        <v> ---</v>
      </c>
      <c r="G260" s="4" t="str">
        <f>IFERROR(__xludf.DUMMYFUNCTION("""COMPUTED_VALUE"""),"Beta SUSE Linux Enterprise Server 15 SP1")</f>
        <v>Beta SUSE Linux Enterprise Server 15 SP1</v>
      </c>
      <c r="H260" s="7" t="str">
        <f t="shared" si="2"/>
        <v>NO</v>
      </c>
      <c r="I260" s="7" t="str">
        <f t="shared" si="3"/>
        <v>NO</v>
      </c>
    </row>
    <row r="261">
      <c r="A261" s="4">
        <f>IFERROR(__xludf.DUMMYFUNCTION("""COMPUTED_VALUE"""),1137323.0)</f>
        <v>1137323</v>
      </c>
      <c r="B261" s="4" t="str">
        <f>IFERROR(__xludf.DUMMYFUNCTION("""COMPUTED_VALUE"""),"P3 - Medium")</f>
        <v>P3 - Medium</v>
      </c>
      <c r="C261" s="5">
        <f>IFERROR(__xludf.DUMMYFUNCTION("""COMPUTED_VALUE"""),43621.38599537037)</f>
        <v>43621.386</v>
      </c>
      <c r="D261" s="4" t="str">
        <f>IFERROR(__xludf.DUMMYFUNCTION("""COMPUTED_VALUE"""),"RESOLVED")</f>
        <v>RESOLVED</v>
      </c>
      <c r="E261" s="6">
        <f>IFERROR(__xludf.DUMMYFUNCTION("""COMPUTED_VALUE"""),43762.515914351854)</f>
        <v>43762.51591</v>
      </c>
      <c r="F261" s="4" t="str">
        <f>IFERROR(__xludf.DUMMYFUNCTION("""COMPUTED_VALUE""")," ---")</f>
        <v> ---</v>
      </c>
      <c r="G261" s="4" t="str">
        <f>IFERROR(__xludf.DUMMYFUNCTION("""COMPUTED_VALUE"""),"Beta SUSE Linux Enterprise Server 15 SP1")</f>
        <v>Beta SUSE Linux Enterprise Server 15 SP1</v>
      </c>
      <c r="H261" s="7" t="str">
        <f t="shared" si="2"/>
        <v>NO</v>
      </c>
      <c r="I261" s="7" t="str">
        <f t="shared" si="3"/>
        <v>NO</v>
      </c>
    </row>
    <row r="262">
      <c r="A262" s="4">
        <f>IFERROR(__xludf.DUMMYFUNCTION("""COMPUTED_VALUE"""),1122313.0)</f>
        <v>1122313</v>
      </c>
      <c r="B262" s="4" t="str">
        <f>IFERROR(__xludf.DUMMYFUNCTION("""COMPUTED_VALUE"""),"P3 - Medium")</f>
        <v>P3 - Medium</v>
      </c>
      <c r="C262" s="5">
        <f>IFERROR(__xludf.DUMMYFUNCTION("""COMPUTED_VALUE"""),43482.425358796296)</f>
        <v>43482.42536</v>
      </c>
      <c r="D262" s="4" t="str">
        <f>IFERROR(__xludf.DUMMYFUNCTION("""COMPUTED_VALUE"""),"RESOLVED")</f>
        <v>RESOLVED</v>
      </c>
      <c r="E262" s="6">
        <f>IFERROR(__xludf.DUMMYFUNCTION("""COMPUTED_VALUE"""),43718.123078703706)</f>
        <v>43718.12308</v>
      </c>
      <c r="F262" s="4" t="str">
        <f>IFERROR(__xludf.DUMMYFUNCTION("""COMPUTED_VALUE""")," ---")</f>
        <v> ---</v>
      </c>
      <c r="G262" s="4" t="str">
        <f>IFERROR(__xludf.DUMMYFUNCTION("""COMPUTED_VALUE"""),"SUSE Linux Enterprise Server 15 SP1")</f>
        <v>SUSE Linux Enterprise Server 15 SP1</v>
      </c>
      <c r="H262" s="7" t="str">
        <f t="shared" si="2"/>
        <v>NO</v>
      </c>
      <c r="I262" s="7" t="str">
        <f t="shared" si="3"/>
        <v>NO</v>
      </c>
    </row>
    <row r="263">
      <c r="A263" s="4">
        <f>IFERROR(__xludf.DUMMYFUNCTION("""COMPUTED_VALUE"""),1121513.0)</f>
        <v>1121513</v>
      </c>
      <c r="B263" s="4" t="str">
        <f>IFERROR(__xludf.DUMMYFUNCTION("""COMPUTED_VALUE"""),"P3 - Medium")</f>
        <v>P3 - Medium</v>
      </c>
      <c r="C263" s="5">
        <f>IFERROR(__xludf.DUMMYFUNCTION("""COMPUTED_VALUE"""),43475.931655092594)</f>
        <v>43475.93166</v>
      </c>
      <c r="D263" s="4" t="str">
        <f>IFERROR(__xludf.DUMMYFUNCTION("""COMPUTED_VALUE"""),"RESOLVED")</f>
        <v>RESOLVED</v>
      </c>
      <c r="E263" s="6">
        <f>IFERROR(__xludf.DUMMYFUNCTION("""COMPUTED_VALUE"""),43630.63107638889)</f>
        <v>43630.63108</v>
      </c>
      <c r="F263" s="4" t="str">
        <f>IFERROR(__xludf.DUMMYFUNCTION("""COMPUTED_VALUE""")," ---")</f>
        <v> ---</v>
      </c>
      <c r="G263" s="4" t="str">
        <f>IFERROR(__xludf.DUMMYFUNCTION("""COMPUTED_VALUE"""),"SUSE Linux Enterprise Server 15 SP1")</f>
        <v>SUSE Linux Enterprise Server 15 SP1</v>
      </c>
      <c r="H263" s="7" t="str">
        <f t="shared" si="2"/>
        <v>NO</v>
      </c>
      <c r="I263" s="7" t="str">
        <f t="shared" si="3"/>
        <v>NO</v>
      </c>
    </row>
    <row r="264">
      <c r="A264" s="4">
        <f>IFERROR(__xludf.DUMMYFUNCTION("""COMPUTED_VALUE"""),1105118.0)</f>
        <v>1105118</v>
      </c>
      <c r="B264" s="4" t="str">
        <f>IFERROR(__xludf.DUMMYFUNCTION("""COMPUTED_VALUE"""),"P3 - Medium")</f>
        <v>P3 - Medium</v>
      </c>
      <c r="C264" s="5">
        <f>IFERROR(__xludf.DUMMYFUNCTION("""COMPUTED_VALUE"""),43328.69721064815)</f>
        <v>43328.69721</v>
      </c>
      <c r="D264" s="4" t="str">
        <f>IFERROR(__xludf.DUMMYFUNCTION("""COMPUTED_VALUE"""),"RESOLVED")</f>
        <v>RESOLVED</v>
      </c>
      <c r="E264" s="6">
        <f>IFERROR(__xludf.DUMMYFUNCTION("""COMPUTED_VALUE"""),43475.85768518518)</f>
        <v>43475.85769</v>
      </c>
      <c r="F264" s="4" t="str">
        <f>IFERROR(__xludf.DUMMYFUNCTION("""COMPUTED_VALUE""")," ---")</f>
        <v> ---</v>
      </c>
      <c r="G264" s="4" t="str">
        <f>IFERROR(__xludf.DUMMYFUNCTION("""COMPUTED_VALUE"""),"SUSE Linux Enterprise Server 15 SP1")</f>
        <v>SUSE Linux Enterprise Server 15 SP1</v>
      </c>
      <c r="H264" s="7" t="str">
        <f t="shared" si="2"/>
        <v>NO</v>
      </c>
      <c r="I264" s="7" t="str">
        <f t="shared" si="3"/>
        <v>NO</v>
      </c>
    </row>
    <row r="265">
      <c r="A265" s="4">
        <f>IFERROR(__xludf.DUMMYFUNCTION("""COMPUTED_VALUE"""),1105565.0)</f>
        <v>1105565</v>
      </c>
      <c r="B265" s="4" t="str">
        <f>IFERROR(__xludf.DUMMYFUNCTION("""COMPUTED_VALUE"""),"P3 - Medium")</f>
        <v>P3 - Medium</v>
      </c>
      <c r="C265" s="5">
        <f>IFERROR(__xludf.DUMMYFUNCTION("""COMPUTED_VALUE"""),43333.797106481485)</f>
        <v>43333.79711</v>
      </c>
      <c r="D265" s="4" t="str">
        <f>IFERROR(__xludf.DUMMYFUNCTION("""COMPUTED_VALUE"""),"RESOLVED")</f>
        <v>RESOLVED</v>
      </c>
      <c r="E265" s="6">
        <f>IFERROR(__xludf.DUMMYFUNCTION("""COMPUTED_VALUE"""),43354.5378125)</f>
        <v>43354.53781</v>
      </c>
      <c r="F265" s="4" t="str">
        <f>IFERROR(__xludf.DUMMYFUNCTION("""COMPUTED_VALUE""")," ---")</f>
        <v> ---</v>
      </c>
      <c r="G265" s="4" t="str">
        <f>IFERROR(__xludf.DUMMYFUNCTION("""COMPUTED_VALUE"""),"SUSE Linux Enterprise Server 15 SP1")</f>
        <v>SUSE Linux Enterprise Server 15 SP1</v>
      </c>
      <c r="H265" s="7" t="str">
        <f t="shared" si="2"/>
        <v>NO</v>
      </c>
      <c r="I265" s="7" t="str">
        <f t="shared" si="3"/>
        <v>NO</v>
      </c>
    </row>
    <row r="266">
      <c r="A266" s="4">
        <f>IFERROR(__xludf.DUMMYFUNCTION("""COMPUTED_VALUE"""),1102876.0)</f>
        <v>1102876</v>
      </c>
      <c r="B266" s="4" t="str">
        <f>IFERROR(__xludf.DUMMYFUNCTION("""COMPUTED_VALUE"""),"P3 - Medium")</f>
        <v>P3 - Medium</v>
      </c>
      <c r="C266" s="5">
        <f>IFERROR(__xludf.DUMMYFUNCTION("""COMPUTED_VALUE"""),43308.49511574074)</f>
        <v>43308.49512</v>
      </c>
      <c r="D266" s="4" t="str">
        <f>IFERROR(__xludf.DUMMYFUNCTION("""COMPUTED_VALUE"""),"RESOLVED")</f>
        <v>RESOLVED</v>
      </c>
      <c r="E266" s="6">
        <f>IFERROR(__xludf.DUMMYFUNCTION("""COMPUTED_VALUE"""),43630.624444444446)</f>
        <v>43630.62444</v>
      </c>
      <c r="F266" s="4" t="str">
        <f>IFERROR(__xludf.DUMMYFUNCTION("""COMPUTED_VALUE""")," ---")</f>
        <v> ---</v>
      </c>
      <c r="G266" s="4" t="str">
        <f>IFERROR(__xludf.DUMMYFUNCTION("""COMPUTED_VALUE"""),"SUSE Linux Enterprise Server 15 SP1")</f>
        <v>SUSE Linux Enterprise Server 15 SP1</v>
      </c>
      <c r="H266" s="7" t="str">
        <f t="shared" si="2"/>
        <v>NO</v>
      </c>
      <c r="I266" s="7" t="str">
        <f t="shared" si="3"/>
        <v>NO</v>
      </c>
    </row>
    <row r="267">
      <c r="A267" s="4">
        <f>IFERROR(__xludf.DUMMYFUNCTION("""COMPUTED_VALUE"""),1104401.0)</f>
        <v>1104401</v>
      </c>
      <c r="B267" s="4" t="str">
        <f>IFERROR(__xludf.DUMMYFUNCTION("""COMPUTED_VALUE"""),"P3 - Medium")</f>
        <v>P3 - Medium</v>
      </c>
      <c r="C267" s="5">
        <f>IFERROR(__xludf.DUMMYFUNCTION("""COMPUTED_VALUE"""),43321.77587962963)</f>
        <v>43321.77588</v>
      </c>
      <c r="D267" s="4" t="str">
        <f>IFERROR(__xludf.DUMMYFUNCTION("""COMPUTED_VALUE"""),"RESOLVED")</f>
        <v>RESOLVED</v>
      </c>
      <c r="E267" s="6">
        <f>IFERROR(__xludf.DUMMYFUNCTION("""COMPUTED_VALUE"""),43476.50712962963)</f>
        <v>43476.50713</v>
      </c>
      <c r="F267" s="4" t="str">
        <f>IFERROR(__xludf.DUMMYFUNCTION("""COMPUTED_VALUE""")," ---")</f>
        <v> ---</v>
      </c>
      <c r="G267" s="4" t="str">
        <f>IFERROR(__xludf.DUMMYFUNCTION("""COMPUTED_VALUE"""),"SUSE Linux Enterprise Server 15 SP1")</f>
        <v>SUSE Linux Enterprise Server 15 SP1</v>
      </c>
      <c r="H267" s="7" t="str">
        <f t="shared" si="2"/>
        <v>NO</v>
      </c>
      <c r="I267" s="7" t="str">
        <f t="shared" si="3"/>
        <v>NO</v>
      </c>
    </row>
    <row r="268">
      <c r="A268" s="4">
        <f>IFERROR(__xludf.DUMMYFUNCTION("""COMPUTED_VALUE"""),1104424.0)</f>
        <v>1104424</v>
      </c>
      <c r="B268" s="4" t="str">
        <f>IFERROR(__xludf.DUMMYFUNCTION("""COMPUTED_VALUE"""),"P3 - Medium")</f>
        <v>P3 - Medium</v>
      </c>
      <c r="C268" s="5">
        <f>IFERROR(__xludf.DUMMYFUNCTION("""COMPUTED_VALUE"""),43321.862962962965)</f>
        <v>43321.86296</v>
      </c>
      <c r="D268" s="4" t="str">
        <f>IFERROR(__xludf.DUMMYFUNCTION("""COMPUTED_VALUE"""),"RESOLVED")</f>
        <v>RESOLVED</v>
      </c>
      <c r="E268" s="6">
        <f>IFERROR(__xludf.DUMMYFUNCTION("""COMPUTED_VALUE"""),43476.50817129629)</f>
        <v>43476.50817</v>
      </c>
      <c r="F268" s="4" t="str">
        <f>IFERROR(__xludf.DUMMYFUNCTION("""COMPUTED_VALUE""")," ---")</f>
        <v> ---</v>
      </c>
      <c r="G268" s="4" t="str">
        <f>IFERROR(__xludf.DUMMYFUNCTION("""COMPUTED_VALUE"""),"SUSE Linux Enterprise Server 15 SP1")</f>
        <v>SUSE Linux Enterprise Server 15 SP1</v>
      </c>
      <c r="H268" s="7" t="str">
        <f t="shared" si="2"/>
        <v>NO</v>
      </c>
      <c r="I268" s="7" t="str">
        <f t="shared" si="3"/>
        <v>NO</v>
      </c>
    </row>
    <row r="269">
      <c r="A269" s="4">
        <f>IFERROR(__xludf.DUMMYFUNCTION("""COMPUTED_VALUE"""),1104425.0)</f>
        <v>1104425</v>
      </c>
      <c r="B269" s="4" t="str">
        <f>IFERROR(__xludf.DUMMYFUNCTION("""COMPUTED_VALUE"""),"P3 - Medium")</f>
        <v>P3 - Medium</v>
      </c>
      <c r="C269" s="5">
        <f>IFERROR(__xludf.DUMMYFUNCTION("""COMPUTED_VALUE"""),43321.86476851852)</f>
        <v>43321.86477</v>
      </c>
      <c r="D269" s="4" t="str">
        <f>IFERROR(__xludf.DUMMYFUNCTION("""COMPUTED_VALUE"""),"RESOLVED")</f>
        <v>RESOLVED</v>
      </c>
      <c r="E269" s="6">
        <f>IFERROR(__xludf.DUMMYFUNCTION("""COMPUTED_VALUE"""),43398.090266203704)</f>
        <v>43398.09027</v>
      </c>
      <c r="F269" s="4" t="str">
        <f>IFERROR(__xludf.DUMMYFUNCTION("""COMPUTED_VALUE""")," ---")</f>
        <v> ---</v>
      </c>
      <c r="G269" s="4" t="str">
        <f>IFERROR(__xludf.DUMMYFUNCTION("""COMPUTED_VALUE"""),"SUSE Linux Enterprise Server 15 SP1")</f>
        <v>SUSE Linux Enterprise Server 15 SP1</v>
      </c>
      <c r="H269" s="7" t="str">
        <f t="shared" si="2"/>
        <v>NO</v>
      </c>
      <c r="I269" s="7" t="str">
        <f t="shared" si="3"/>
        <v>NO</v>
      </c>
    </row>
    <row r="270">
      <c r="A270" s="4">
        <f>IFERROR(__xludf.DUMMYFUNCTION("""COMPUTED_VALUE"""),1104739.0)</f>
        <v>1104739</v>
      </c>
      <c r="B270" s="4" t="str">
        <f>IFERROR(__xludf.DUMMYFUNCTION("""COMPUTED_VALUE"""),"P3 - Medium")</f>
        <v>P3 - Medium</v>
      </c>
      <c r="C270" s="5">
        <f>IFERROR(__xludf.DUMMYFUNCTION("""COMPUTED_VALUE"""),43325.94627314815)</f>
        <v>43325.94627</v>
      </c>
      <c r="D270" s="4" t="str">
        <f>IFERROR(__xludf.DUMMYFUNCTION("""COMPUTED_VALUE"""),"RESOLVED")</f>
        <v>RESOLVED</v>
      </c>
      <c r="E270" s="6">
        <f>IFERROR(__xludf.DUMMYFUNCTION("""COMPUTED_VALUE"""),43476.510034722225)</f>
        <v>43476.51003</v>
      </c>
      <c r="F270" s="4" t="str">
        <f>IFERROR(__xludf.DUMMYFUNCTION("""COMPUTED_VALUE""")," ---")</f>
        <v> ---</v>
      </c>
      <c r="G270" s="4" t="str">
        <f>IFERROR(__xludf.DUMMYFUNCTION("""COMPUTED_VALUE"""),"SUSE Linux Enterprise Server 15 SP1")</f>
        <v>SUSE Linux Enterprise Server 15 SP1</v>
      </c>
      <c r="H270" s="7" t="str">
        <f t="shared" si="2"/>
        <v>NO</v>
      </c>
      <c r="I270" s="7" t="str">
        <f t="shared" si="3"/>
        <v>NO</v>
      </c>
    </row>
    <row r="271">
      <c r="A271" s="4">
        <f>IFERROR(__xludf.DUMMYFUNCTION("""COMPUTED_VALUE"""),1104961.0)</f>
        <v>1104961</v>
      </c>
      <c r="B271" s="4" t="str">
        <f>IFERROR(__xludf.DUMMYFUNCTION("""COMPUTED_VALUE"""),"P3 - Medium")</f>
        <v>P3 - Medium</v>
      </c>
      <c r="C271" s="5">
        <f>IFERROR(__xludf.DUMMYFUNCTION("""COMPUTED_VALUE"""),43327.69193287037)</f>
        <v>43327.69193</v>
      </c>
      <c r="D271" s="4" t="str">
        <f>IFERROR(__xludf.DUMMYFUNCTION("""COMPUTED_VALUE"""),"RESOLVED")</f>
        <v>RESOLVED</v>
      </c>
      <c r="E271" s="6">
        <f>IFERROR(__xludf.DUMMYFUNCTION("""COMPUTED_VALUE"""),43476.51045138889)</f>
        <v>43476.51045</v>
      </c>
      <c r="F271" s="4" t="str">
        <f>IFERROR(__xludf.DUMMYFUNCTION("""COMPUTED_VALUE""")," ---")</f>
        <v> ---</v>
      </c>
      <c r="G271" s="4" t="str">
        <f>IFERROR(__xludf.DUMMYFUNCTION("""COMPUTED_VALUE"""),"SUSE Linux Enterprise Server 15 SP1")</f>
        <v>SUSE Linux Enterprise Server 15 SP1</v>
      </c>
      <c r="H271" s="7" t="str">
        <f t="shared" si="2"/>
        <v>NO</v>
      </c>
      <c r="I271" s="7" t="str">
        <f t="shared" si="3"/>
        <v>NO</v>
      </c>
    </row>
    <row r="272">
      <c r="A272" s="4">
        <f>IFERROR(__xludf.DUMMYFUNCTION("""COMPUTED_VALUE"""),1104963.0)</f>
        <v>1104963</v>
      </c>
      <c r="B272" s="4" t="str">
        <f>IFERROR(__xludf.DUMMYFUNCTION("""COMPUTED_VALUE"""),"P3 - Medium")</f>
        <v>P3 - Medium</v>
      </c>
      <c r="C272" s="5">
        <f>IFERROR(__xludf.DUMMYFUNCTION("""COMPUTED_VALUE"""),43327.69619212963)</f>
        <v>43327.69619</v>
      </c>
      <c r="D272" s="4" t="str">
        <f>IFERROR(__xludf.DUMMYFUNCTION("""COMPUTED_VALUE"""),"RESOLVED")</f>
        <v>RESOLVED</v>
      </c>
      <c r="E272" s="6">
        <f>IFERROR(__xludf.DUMMYFUNCTION("""COMPUTED_VALUE"""),43476.51322916667)</f>
        <v>43476.51323</v>
      </c>
      <c r="F272" s="4" t="str">
        <f>IFERROR(__xludf.DUMMYFUNCTION("""COMPUTED_VALUE""")," ---")</f>
        <v> ---</v>
      </c>
      <c r="G272" s="4" t="str">
        <f>IFERROR(__xludf.DUMMYFUNCTION("""COMPUTED_VALUE"""),"SUSE Linux Enterprise Server 15 SP1")</f>
        <v>SUSE Linux Enterprise Server 15 SP1</v>
      </c>
      <c r="H272" s="7" t="str">
        <f t="shared" si="2"/>
        <v>NO</v>
      </c>
      <c r="I272" s="7" t="str">
        <f t="shared" si="3"/>
        <v>NO</v>
      </c>
    </row>
    <row r="273">
      <c r="A273" s="4">
        <f>IFERROR(__xludf.DUMMYFUNCTION("""COMPUTED_VALUE"""),1104964.0)</f>
        <v>1104964</v>
      </c>
      <c r="B273" s="4" t="str">
        <f>IFERROR(__xludf.DUMMYFUNCTION("""COMPUTED_VALUE"""),"P3 - Medium")</f>
        <v>P3 - Medium</v>
      </c>
      <c r="C273" s="5">
        <f>IFERROR(__xludf.DUMMYFUNCTION("""COMPUTED_VALUE"""),43327.699155092596)</f>
        <v>43327.69916</v>
      </c>
      <c r="D273" s="4" t="str">
        <f>IFERROR(__xludf.DUMMYFUNCTION("""COMPUTED_VALUE"""),"RESOLVED")</f>
        <v>RESOLVED</v>
      </c>
      <c r="E273" s="6">
        <f>IFERROR(__xludf.DUMMYFUNCTION("""COMPUTED_VALUE"""),43476.511041666665)</f>
        <v>43476.51104</v>
      </c>
      <c r="F273" s="4" t="str">
        <f>IFERROR(__xludf.DUMMYFUNCTION("""COMPUTED_VALUE""")," ---")</f>
        <v> ---</v>
      </c>
      <c r="G273" s="4" t="str">
        <f>IFERROR(__xludf.DUMMYFUNCTION("""COMPUTED_VALUE"""),"SUSE Linux Enterprise Server 15 SP1")</f>
        <v>SUSE Linux Enterprise Server 15 SP1</v>
      </c>
      <c r="H273" s="7" t="str">
        <f t="shared" si="2"/>
        <v>NO</v>
      </c>
      <c r="I273" s="7" t="str">
        <f t="shared" si="3"/>
        <v>NO</v>
      </c>
    </row>
    <row r="274">
      <c r="A274" s="4">
        <f>IFERROR(__xludf.DUMMYFUNCTION("""COMPUTED_VALUE"""),1104967.0)</f>
        <v>1104967</v>
      </c>
      <c r="B274" s="4" t="str">
        <f>IFERROR(__xludf.DUMMYFUNCTION("""COMPUTED_VALUE"""),"P3 - Medium")</f>
        <v>P3 - Medium</v>
      </c>
      <c r="C274" s="5">
        <f>IFERROR(__xludf.DUMMYFUNCTION("""COMPUTED_VALUE"""),43327.71045138889)</f>
        <v>43327.71045</v>
      </c>
      <c r="D274" s="4" t="str">
        <f>IFERROR(__xludf.DUMMYFUNCTION("""COMPUTED_VALUE"""),"RESOLVED")</f>
        <v>RESOLVED</v>
      </c>
      <c r="E274" s="6">
        <f>IFERROR(__xludf.DUMMYFUNCTION("""COMPUTED_VALUE"""),44624.869259259256)</f>
        <v>44624.86926</v>
      </c>
      <c r="F274" s="4" t="str">
        <f>IFERROR(__xludf.DUMMYFUNCTION("""COMPUTED_VALUE""")," ---")</f>
        <v> ---</v>
      </c>
      <c r="G274" s="4" t="str">
        <f>IFERROR(__xludf.DUMMYFUNCTION("""COMPUTED_VALUE"""),"SUSE Linux Enterprise Server 15 SP1")</f>
        <v>SUSE Linux Enterprise Server 15 SP1</v>
      </c>
      <c r="H274" s="7" t="str">
        <f t="shared" si="2"/>
        <v>NO</v>
      </c>
      <c r="I274" s="7" t="str">
        <f t="shared" si="3"/>
        <v>NO</v>
      </c>
    </row>
    <row r="275">
      <c r="A275" s="4">
        <f>IFERROR(__xludf.DUMMYFUNCTION("""COMPUTED_VALUE"""),1105542.0)</f>
        <v>1105542</v>
      </c>
      <c r="B275" s="4" t="str">
        <f>IFERROR(__xludf.DUMMYFUNCTION("""COMPUTED_VALUE"""),"P3 - Medium")</f>
        <v>P3 - Medium</v>
      </c>
      <c r="C275" s="5">
        <f>IFERROR(__xludf.DUMMYFUNCTION("""COMPUTED_VALUE"""),43333.71256944445)</f>
        <v>43333.71257</v>
      </c>
      <c r="D275" s="4" t="str">
        <f>IFERROR(__xludf.DUMMYFUNCTION("""COMPUTED_VALUE"""),"RESOLVED")</f>
        <v>RESOLVED</v>
      </c>
      <c r="E275" s="6">
        <f>IFERROR(__xludf.DUMMYFUNCTION("""COMPUTED_VALUE"""),43477.302465277775)</f>
        <v>43477.30247</v>
      </c>
      <c r="F275" s="4" t="str">
        <f>IFERROR(__xludf.DUMMYFUNCTION("""COMPUTED_VALUE""")," ---")</f>
        <v> ---</v>
      </c>
      <c r="G275" s="4" t="str">
        <f>IFERROR(__xludf.DUMMYFUNCTION("""COMPUTED_VALUE"""),"SUSE Linux Enterprise Server 15 SP1")</f>
        <v>SUSE Linux Enterprise Server 15 SP1</v>
      </c>
      <c r="H275" s="7" t="str">
        <f t="shared" si="2"/>
        <v>NO</v>
      </c>
      <c r="I275" s="7" t="str">
        <f t="shared" si="3"/>
        <v>NO</v>
      </c>
    </row>
    <row r="276">
      <c r="A276" s="4">
        <f>IFERROR(__xludf.DUMMYFUNCTION("""COMPUTED_VALUE"""),1105562.0)</f>
        <v>1105562</v>
      </c>
      <c r="B276" s="4" t="str">
        <f>IFERROR(__xludf.DUMMYFUNCTION("""COMPUTED_VALUE"""),"P3 - Medium")</f>
        <v>P3 - Medium</v>
      </c>
      <c r="C276" s="5">
        <f>IFERROR(__xludf.DUMMYFUNCTION("""COMPUTED_VALUE"""),43333.78503472222)</f>
        <v>43333.78503</v>
      </c>
      <c r="D276" s="4" t="str">
        <f>IFERROR(__xludf.DUMMYFUNCTION("""COMPUTED_VALUE"""),"RESOLVED")</f>
        <v>RESOLVED</v>
      </c>
      <c r="E276" s="6">
        <f>IFERROR(__xludf.DUMMYFUNCTION("""COMPUTED_VALUE"""),43479.27972222222)</f>
        <v>43479.27972</v>
      </c>
      <c r="F276" s="4" t="str">
        <f>IFERROR(__xludf.DUMMYFUNCTION("""COMPUTED_VALUE""")," ---")</f>
        <v> ---</v>
      </c>
      <c r="G276" s="4" t="str">
        <f>IFERROR(__xludf.DUMMYFUNCTION("""COMPUTED_VALUE"""),"SUSE Linux Enterprise Server 15 SP1")</f>
        <v>SUSE Linux Enterprise Server 15 SP1</v>
      </c>
      <c r="H276" s="7" t="str">
        <f t="shared" si="2"/>
        <v>NO</v>
      </c>
      <c r="I276" s="7" t="str">
        <f t="shared" si="3"/>
        <v>NO</v>
      </c>
    </row>
    <row r="277">
      <c r="A277" s="4">
        <f>IFERROR(__xludf.DUMMYFUNCTION("""COMPUTED_VALUE"""),1115617.0)</f>
        <v>1115617</v>
      </c>
      <c r="B277" s="4" t="str">
        <f>IFERROR(__xludf.DUMMYFUNCTION("""COMPUTED_VALUE"""),"P3 - Medium")</f>
        <v>P3 - Medium</v>
      </c>
      <c r="C277" s="5">
        <f>IFERROR(__xludf.DUMMYFUNCTION("""COMPUTED_VALUE"""),43416.49493055556)</f>
        <v>43416.49493</v>
      </c>
      <c r="D277" s="4" t="str">
        <f>IFERROR(__xludf.DUMMYFUNCTION("""COMPUTED_VALUE"""),"RESOLVED")</f>
        <v>RESOLVED</v>
      </c>
      <c r="E277" s="6">
        <f>IFERROR(__xludf.DUMMYFUNCTION("""COMPUTED_VALUE"""),43507.3109837963)</f>
        <v>43507.31098</v>
      </c>
      <c r="F277" s="4" t="str">
        <f>IFERROR(__xludf.DUMMYFUNCTION("""COMPUTED_VALUE""")," ---")</f>
        <v> ---</v>
      </c>
      <c r="G277" s="4" t="str">
        <f>IFERROR(__xludf.DUMMYFUNCTION("""COMPUTED_VALUE"""),"SUSE Linux Enterprise Server 15 SP1")</f>
        <v>SUSE Linux Enterprise Server 15 SP1</v>
      </c>
      <c r="H277" s="7" t="str">
        <f t="shared" si="2"/>
        <v>NO</v>
      </c>
      <c r="I277" s="7" t="str">
        <f t="shared" si="3"/>
        <v>NO</v>
      </c>
    </row>
    <row r="278">
      <c r="A278" s="4">
        <f>IFERROR(__xludf.DUMMYFUNCTION("""COMPUTED_VALUE"""),1115806.0)</f>
        <v>1115806</v>
      </c>
      <c r="B278" s="4" t="str">
        <f>IFERROR(__xludf.DUMMYFUNCTION("""COMPUTED_VALUE"""),"P3 - Medium")</f>
        <v>P3 - Medium</v>
      </c>
      <c r="C278" s="5">
        <f>IFERROR(__xludf.DUMMYFUNCTION("""COMPUTED_VALUE"""),43417.6180787037)</f>
        <v>43417.61808</v>
      </c>
      <c r="D278" s="4" t="str">
        <f>IFERROR(__xludf.DUMMYFUNCTION("""COMPUTED_VALUE"""),"RESOLVED")</f>
        <v>RESOLVED</v>
      </c>
      <c r="E278" s="6">
        <f>IFERROR(__xludf.DUMMYFUNCTION("""COMPUTED_VALUE"""),43476.51211805556)</f>
        <v>43476.51212</v>
      </c>
      <c r="F278" s="4" t="str">
        <f>IFERROR(__xludf.DUMMYFUNCTION("""COMPUTED_VALUE""")," ---")</f>
        <v> ---</v>
      </c>
      <c r="G278" s="4" t="str">
        <f>IFERROR(__xludf.DUMMYFUNCTION("""COMPUTED_VALUE"""),"SUSE Linux Enterprise Server 15 SP1")</f>
        <v>SUSE Linux Enterprise Server 15 SP1</v>
      </c>
      <c r="H278" s="7" t="str">
        <f t="shared" si="2"/>
        <v>NO</v>
      </c>
      <c r="I278" s="7" t="str">
        <f t="shared" si="3"/>
        <v>NO</v>
      </c>
    </row>
    <row r="279">
      <c r="A279" s="4">
        <f>IFERROR(__xludf.DUMMYFUNCTION("""COMPUTED_VALUE"""),1124313.0)</f>
        <v>1124313</v>
      </c>
      <c r="B279" s="4" t="str">
        <f>IFERROR(__xludf.DUMMYFUNCTION("""COMPUTED_VALUE"""),"P3 - Medium")</f>
        <v>P3 - Medium</v>
      </c>
      <c r="C279" s="5">
        <f>IFERROR(__xludf.DUMMYFUNCTION("""COMPUTED_VALUE"""),43501.493472222224)</f>
        <v>43501.49347</v>
      </c>
      <c r="D279" s="4" t="str">
        <f>IFERROR(__xludf.DUMMYFUNCTION("""COMPUTED_VALUE"""),"RESOLVED")</f>
        <v>RESOLVED</v>
      </c>
      <c r="E279" s="6">
        <f>IFERROR(__xludf.DUMMYFUNCTION("""COMPUTED_VALUE"""),43557.532476851855)</f>
        <v>43557.53248</v>
      </c>
      <c r="F279" s="4" t="str">
        <f>IFERROR(__xludf.DUMMYFUNCTION("""COMPUTED_VALUE""")," ---")</f>
        <v> ---</v>
      </c>
      <c r="G279" s="4" t="str">
        <f>IFERROR(__xludf.DUMMYFUNCTION("""COMPUTED_VALUE"""),"Beta SUSE Linux Enterprise Server 15 SP1")</f>
        <v>Beta SUSE Linux Enterprise Server 15 SP1</v>
      </c>
      <c r="H279" s="7" t="str">
        <f t="shared" si="2"/>
        <v>NO</v>
      </c>
      <c r="I279" s="7" t="str">
        <f t="shared" si="3"/>
        <v>YES</v>
      </c>
    </row>
    <row r="280">
      <c r="A280" s="4">
        <f>IFERROR(__xludf.DUMMYFUNCTION("""COMPUTED_VALUE"""),1131450.0)</f>
        <v>1131450</v>
      </c>
      <c r="B280" s="4" t="str">
        <f>IFERROR(__xludf.DUMMYFUNCTION("""COMPUTED_VALUE"""),"P3 - Medium")</f>
        <v>P3 - Medium</v>
      </c>
      <c r="C280" s="5">
        <f>IFERROR(__xludf.DUMMYFUNCTION("""COMPUTED_VALUE"""),43558.67822916667)</f>
        <v>43558.67823</v>
      </c>
      <c r="D280" s="4" t="str">
        <f>IFERROR(__xludf.DUMMYFUNCTION("""COMPUTED_VALUE"""),"RESOLVED")</f>
        <v>RESOLVED</v>
      </c>
      <c r="E280" s="6">
        <f>IFERROR(__xludf.DUMMYFUNCTION("""COMPUTED_VALUE"""),43580.344363425924)</f>
        <v>43580.34436</v>
      </c>
      <c r="F280" s="4" t="str">
        <f>IFERROR(__xludf.DUMMYFUNCTION("""COMPUTED_VALUE""")," ---")</f>
        <v> ---</v>
      </c>
      <c r="G280" s="4" t="str">
        <f>IFERROR(__xludf.DUMMYFUNCTION("""COMPUTED_VALUE"""),"Beta SUSE Linux Enterprise Server 15 SP1")</f>
        <v>Beta SUSE Linux Enterprise Server 15 SP1</v>
      </c>
      <c r="H280" s="7" t="str">
        <f t="shared" si="2"/>
        <v>NO</v>
      </c>
      <c r="I280" s="7" t="str">
        <f t="shared" si="3"/>
        <v>NO</v>
      </c>
    </row>
    <row r="281">
      <c r="A281" s="4">
        <f>IFERROR(__xludf.DUMMYFUNCTION("""COMPUTED_VALUE"""),1132044.0)</f>
        <v>1132044</v>
      </c>
      <c r="B281" s="4" t="str">
        <f>IFERROR(__xludf.DUMMYFUNCTION("""COMPUTED_VALUE"""),"P3 - Medium")</f>
        <v>P3 - Medium</v>
      </c>
      <c r="C281" s="5">
        <f>IFERROR(__xludf.DUMMYFUNCTION("""COMPUTED_VALUE"""),43565.271215277775)</f>
        <v>43565.27122</v>
      </c>
      <c r="D281" s="4" t="str">
        <f>IFERROR(__xludf.DUMMYFUNCTION("""COMPUTED_VALUE"""),"RESOLVED")</f>
        <v>RESOLVED</v>
      </c>
      <c r="E281" s="6">
        <f>IFERROR(__xludf.DUMMYFUNCTION("""COMPUTED_VALUE"""),44624.89241898148)</f>
        <v>44624.89242</v>
      </c>
      <c r="F281" s="4" t="str">
        <f>IFERROR(__xludf.DUMMYFUNCTION("""COMPUTED_VALUE""")," ---")</f>
        <v> ---</v>
      </c>
      <c r="G281" s="4" t="str">
        <f>IFERROR(__xludf.DUMMYFUNCTION("""COMPUTED_VALUE"""),"SUSE Linux Enterprise Server 15 SP1")</f>
        <v>SUSE Linux Enterprise Server 15 SP1</v>
      </c>
      <c r="H281" s="7" t="str">
        <f t="shared" si="2"/>
        <v>NO</v>
      </c>
      <c r="I281" s="7" t="str">
        <f t="shared" si="3"/>
        <v>NO</v>
      </c>
    </row>
    <row r="282">
      <c r="A282" s="4">
        <f>IFERROR(__xludf.DUMMYFUNCTION("""COMPUTED_VALUE"""),1139501.0)</f>
        <v>1139501</v>
      </c>
      <c r="B282" s="4" t="str">
        <f>IFERROR(__xludf.DUMMYFUNCTION("""COMPUTED_VALUE"""),"P3 - Medium")</f>
        <v>P3 - Medium</v>
      </c>
      <c r="C282" s="5">
        <f>IFERROR(__xludf.DUMMYFUNCTION("""COMPUTED_VALUE"""),43642.89671296296)</f>
        <v>43642.89671</v>
      </c>
      <c r="D282" s="4" t="str">
        <f>IFERROR(__xludf.DUMMYFUNCTION("""COMPUTED_VALUE"""),"RESOLVED")</f>
        <v>RESOLVED</v>
      </c>
      <c r="E282" s="6">
        <f>IFERROR(__xludf.DUMMYFUNCTION("""COMPUTED_VALUE"""),43719.57256944444)</f>
        <v>43719.57257</v>
      </c>
      <c r="F282" s="4" t="str">
        <f>IFERROR(__xludf.DUMMYFUNCTION("""COMPUTED_VALUE""")," ---")</f>
        <v> ---</v>
      </c>
      <c r="G282" s="4" t="str">
        <f>IFERROR(__xludf.DUMMYFUNCTION("""COMPUTED_VALUE"""),"SUSE Linux Enterprise Server 15 SP1")</f>
        <v>SUSE Linux Enterprise Server 15 SP1</v>
      </c>
      <c r="H282" s="7" t="str">
        <f t="shared" si="2"/>
        <v>NO</v>
      </c>
      <c r="I282" s="7" t="str">
        <f t="shared" si="3"/>
        <v>NO</v>
      </c>
    </row>
    <row r="283">
      <c r="A283" s="4">
        <f>IFERROR(__xludf.DUMMYFUNCTION("""COMPUTED_VALUE"""),1113508.0)</f>
        <v>1113508</v>
      </c>
      <c r="B283" s="4" t="str">
        <f>IFERROR(__xludf.DUMMYFUNCTION("""COMPUTED_VALUE"""),"P3 - Medium")</f>
        <v>P3 - Medium</v>
      </c>
      <c r="C283" s="5">
        <f>IFERROR(__xludf.DUMMYFUNCTION("""COMPUTED_VALUE"""),43399.4796412037)</f>
        <v>43399.47964</v>
      </c>
      <c r="D283" s="4" t="str">
        <f>IFERROR(__xludf.DUMMYFUNCTION("""COMPUTED_VALUE"""),"RESOLVED")</f>
        <v>RESOLVED</v>
      </c>
      <c r="E283" s="6">
        <f>IFERROR(__xludf.DUMMYFUNCTION("""COMPUTED_VALUE"""),43630.62805555556)</f>
        <v>43630.62806</v>
      </c>
      <c r="F283" s="4" t="str">
        <f>IFERROR(__xludf.DUMMYFUNCTION("""COMPUTED_VALUE""")," ---")</f>
        <v> ---</v>
      </c>
      <c r="G283" s="4" t="str">
        <f>IFERROR(__xludf.DUMMYFUNCTION("""COMPUTED_VALUE"""),"SUSE Linux Enterprise Server 15 SP1")</f>
        <v>SUSE Linux Enterprise Server 15 SP1</v>
      </c>
      <c r="H283" s="7" t="str">
        <f t="shared" si="2"/>
        <v>NO</v>
      </c>
      <c r="I283" s="7" t="str">
        <f t="shared" si="3"/>
        <v>NO</v>
      </c>
    </row>
    <row r="284">
      <c r="A284" s="4">
        <f>IFERROR(__xludf.DUMMYFUNCTION("""COMPUTED_VALUE"""),1113295.0)</f>
        <v>1113295</v>
      </c>
      <c r="B284" s="4" t="str">
        <f>IFERROR(__xludf.DUMMYFUNCTION("""COMPUTED_VALUE"""),"P3 - Medium")</f>
        <v>P3 - Medium</v>
      </c>
      <c r="C284" s="5">
        <f>IFERROR(__xludf.DUMMYFUNCTION("""COMPUTED_VALUE"""),43398.54204861111)</f>
        <v>43398.54205</v>
      </c>
      <c r="D284" s="4" t="str">
        <f>IFERROR(__xludf.DUMMYFUNCTION("""COMPUTED_VALUE"""),"RESOLVED")</f>
        <v>RESOLVED</v>
      </c>
      <c r="E284" s="6">
        <f>IFERROR(__xludf.DUMMYFUNCTION("""COMPUTED_VALUE"""),44624.876875)</f>
        <v>44624.87688</v>
      </c>
      <c r="F284" s="4" t="str">
        <f>IFERROR(__xludf.DUMMYFUNCTION("""COMPUTED_VALUE""")," ---")</f>
        <v> ---</v>
      </c>
      <c r="G284" s="4" t="str">
        <f>IFERROR(__xludf.DUMMYFUNCTION("""COMPUTED_VALUE"""),"SUSE Linux Enterprise Server 15 SP1")</f>
        <v>SUSE Linux Enterprise Server 15 SP1</v>
      </c>
      <c r="H284" s="7" t="str">
        <f t="shared" si="2"/>
        <v>NO</v>
      </c>
      <c r="I284" s="7" t="str">
        <f t="shared" si="3"/>
        <v>NO</v>
      </c>
    </row>
    <row r="285">
      <c r="A285" s="4">
        <f>IFERROR(__xludf.DUMMYFUNCTION("""COMPUTED_VALUE"""),1122019.0)</f>
        <v>1122019</v>
      </c>
      <c r="B285" s="4" t="str">
        <f>IFERROR(__xludf.DUMMYFUNCTION("""COMPUTED_VALUE"""),"P3 - Medium")</f>
        <v>P3 - Medium</v>
      </c>
      <c r="C285" s="5">
        <f>IFERROR(__xludf.DUMMYFUNCTION("""COMPUTED_VALUE"""),43480.6171412037)</f>
        <v>43480.61714</v>
      </c>
      <c r="D285" s="4" t="str">
        <f>IFERROR(__xludf.DUMMYFUNCTION("""COMPUTED_VALUE"""),"RESOLVED")</f>
        <v>RESOLVED</v>
      </c>
      <c r="E285" s="6">
        <f>IFERROR(__xludf.DUMMYFUNCTION("""COMPUTED_VALUE"""),44624.884375)</f>
        <v>44624.88438</v>
      </c>
      <c r="F285" s="4" t="str">
        <f>IFERROR(__xludf.DUMMYFUNCTION("""COMPUTED_VALUE""")," ---")</f>
        <v> ---</v>
      </c>
      <c r="G285" s="4" t="str">
        <f>IFERROR(__xludf.DUMMYFUNCTION("""COMPUTED_VALUE"""),"SUSE Linux Enterprise Server 15 SP1")</f>
        <v>SUSE Linux Enterprise Server 15 SP1</v>
      </c>
      <c r="H285" s="7" t="str">
        <f t="shared" si="2"/>
        <v>NO</v>
      </c>
      <c r="I285" s="7" t="str">
        <f t="shared" si="3"/>
        <v>NO</v>
      </c>
    </row>
    <row r="286">
      <c r="A286" s="4">
        <f>IFERROR(__xludf.DUMMYFUNCTION("""COMPUTED_VALUE"""),1119405.0)</f>
        <v>1119405</v>
      </c>
      <c r="B286" s="4" t="str">
        <f>IFERROR(__xludf.DUMMYFUNCTION("""COMPUTED_VALUE"""),"P3 - Medium")</f>
        <v>P3 - Medium</v>
      </c>
      <c r="C286" s="5">
        <f>IFERROR(__xludf.DUMMYFUNCTION("""COMPUTED_VALUE"""),43447.58917824074)</f>
        <v>43447.58918</v>
      </c>
      <c r="D286" s="4" t="str">
        <f>IFERROR(__xludf.DUMMYFUNCTION("""COMPUTED_VALUE"""),"RESOLVED")</f>
        <v>RESOLVED</v>
      </c>
      <c r="E286" s="6">
        <f>IFERROR(__xludf.DUMMYFUNCTION("""COMPUTED_VALUE"""),43453.31854166667)</f>
        <v>43453.31854</v>
      </c>
      <c r="F286" s="4" t="str">
        <f>IFERROR(__xludf.DUMMYFUNCTION("""COMPUTED_VALUE""")," ---")</f>
        <v> ---</v>
      </c>
      <c r="G286" s="4" t="str">
        <f>IFERROR(__xludf.DUMMYFUNCTION("""COMPUTED_VALUE"""),"SUSE Linux Enterprise Server 15 SP1")</f>
        <v>SUSE Linux Enterprise Server 15 SP1</v>
      </c>
      <c r="H286" s="7" t="str">
        <f t="shared" si="2"/>
        <v>NO</v>
      </c>
      <c r="I286" s="7" t="str">
        <f t="shared" si="3"/>
        <v>NO</v>
      </c>
    </row>
    <row r="287">
      <c r="A287" s="4">
        <f>IFERROR(__xludf.DUMMYFUNCTION("""COMPUTED_VALUE"""),1123876.0)</f>
        <v>1123876</v>
      </c>
      <c r="B287" s="4" t="str">
        <f>IFERROR(__xludf.DUMMYFUNCTION("""COMPUTED_VALUE"""),"P3 - Medium")</f>
        <v>P3 - Medium</v>
      </c>
      <c r="C287" s="5">
        <f>IFERROR(__xludf.DUMMYFUNCTION("""COMPUTED_VALUE"""),43496.592152777775)</f>
        <v>43496.59215</v>
      </c>
      <c r="D287" s="4" t="str">
        <f>IFERROR(__xludf.DUMMYFUNCTION("""COMPUTED_VALUE"""),"RESOLVED")</f>
        <v>RESOLVED</v>
      </c>
      <c r="E287" s="6">
        <f>IFERROR(__xludf.DUMMYFUNCTION("""COMPUTED_VALUE"""),43671.832974537036)</f>
        <v>43671.83297</v>
      </c>
      <c r="F287" s="4" t="str">
        <f>IFERROR(__xludf.DUMMYFUNCTION("""COMPUTED_VALUE""")," ---")</f>
        <v> ---</v>
      </c>
      <c r="G287" s="4" t="str">
        <f>IFERROR(__xludf.DUMMYFUNCTION("""COMPUTED_VALUE"""),"SUSE Linux Enterprise Server 15 SP1")</f>
        <v>SUSE Linux Enterprise Server 15 SP1</v>
      </c>
      <c r="H287" s="7" t="str">
        <f t="shared" si="2"/>
        <v>NO</v>
      </c>
      <c r="I287" s="7" t="str">
        <f t="shared" si="3"/>
        <v>NO</v>
      </c>
    </row>
    <row r="288">
      <c r="A288" s="4">
        <f>IFERROR(__xludf.DUMMYFUNCTION("""COMPUTED_VALUE"""),1128010.0)</f>
        <v>1128010</v>
      </c>
      <c r="B288" s="4" t="str">
        <f>IFERROR(__xludf.DUMMYFUNCTION("""COMPUTED_VALUE"""),"P3 - Medium")</f>
        <v>P3 - Medium</v>
      </c>
      <c r="C288" s="5">
        <f>IFERROR(__xludf.DUMMYFUNCTION("""COMPUTED_VALUE"""),43529.849178240744)</f>
        <v>43529.84918</v>
      </c>
      <c r="D288" s="4" t="str">
        <f>IFERROR(__xludf.DUMMYFUNCTION("""COMPUTED_VALUE"""),"RESOLVED")</f>
        <v>RESOLVED</v>
      </c>
      <c r="E288" s="6">
        <f>IFERROR(__xludf.DUMMYFUNCTION("""COMPUTED_VALUE"""),44446.791342592594)</f>
        <v>44446.79134</v>
      </c>
      <c r="F288" s="4" t="str">
        <f>IFERROR(__xludf.DUMMYFUNCTION("""COMPUTED_VALUE""")," ---")</f>
        <v> ---</v>
      </c>
      <c r="G288" s="4" t="str">
        <f>IFERROR(__xludf.DUMMYFUNCTION("""COMPUTED_VALUE"""),"SUSE Linux Enterprise Server 15 SP1")</f>
        <v>SUSE Linux Enterprise Server 15 SP1</v>
      </c>
      <c r="H288" s="7" t="str">
        <f t="shared" si="2"/>
        <v>NO</v>
      </c>
      <c r="I288" s="7" t="str">
        <f t="shared" si="3"/>
        <v>NO</v>
      </c>
    </row>
    <row r="289">
      <c r="A289" s="4">
        <f>IFERROR(__xludf.DUMMYFUNCTION("""COMPUTED_VALUE"""),1128011.0)</f>
        <v>1128011</v>
      </c>
      <c r="B289" s="4" t="str">
        <f>IFERROR(__xludf.DUMMYFUNCTION("""COMPUTED_VALUE"""),"P3 - Medium")</f>
        <v>P3 - Medium</v>
      </c>
      <c r="C289" s="5">
        <f>IFERROR(__xludf.DUMMYFUNCTION("""COMPUTED_VALUE"""),43529.850011574075)</f>
        <v>43529.85001</v>
      </c>
      <c r="D289" s="4" t="str">
        <f>IFERROR(__xludf.DUMMYFUNCTION("""COMPUTED_VALUE"""),"RESOLVED")</f>
        <v>RESOLVED</v>
      </c>
      <c r="E289" s="6">
        <f>IFERROR(__xludf.DUMMYFUNCTION("""COMPUTED_VALUE"""),44446.791550925926)</f>
        <v>44446.79155</v>
      </c>
      <c r="F289" s="4" t="str">
        <f>IFERROR(__xludf.DUMMYFUNCTION("""COMPUTED_VALUE""")," ---")</f>
        <v> ---</v>
      </c>
      <c r="G289" s="4" t="str">
        <f>IFERROR(__xludf.DUMMYFUNCTION("""COMPUTED_VALUE"""),"SUSE Linux Enterprise Server 15 SP1")</f>
        <v>SUSE Linux Enterprise Server 15 SP1</v>
      </c>
      <c r="H289" s="7" t="str">
        <f t="shared" si="2"/>
        <v>NO</v>
      </c>
      <c r="I289" s="7" t="str">
        <f t="shared" si="3"/>
        <v>NO</v>
      </c>
    </row>
    <row r="290">
      <c r="A290" s="4">
        <f>IFERROR(__xludf.DUMMYFUNCTION("""COMPUTED_VALUE"""),1128013.0)</f>
        <v>1128013</v>
      </c>
      <c r="B290" s="4" t="str">
        <f>IFERROR(__xludf.DUMMYFUNCTION("""COMPUTED_VALUE"""),"P3 - Medium")</f>
        <v>P3 - Medium</v>
      </c>
      <c r="C290" s="5">
        <f>IFERROR(__xludf.DUMMYFUNCTION("""COMPUTED_VALUE"""),43529.851956018516)</f>
        <v>43529.85196</v>
      </c>
      <c r="D290" s="4" t="str">
        <f>IFERROR(__xludf.DUMMYFUNCTION("""COMPUTED_VALUE"""),"RESOLVED")</f>
        <v>RESOLVED</v>
      </c>
      <c r="E290" s="6">
        <f>IFERROR(__xludf.DUMMYFUNCTION("""COMPUTED_VALUE"""),44446.78653935185)</f>
        <v>44446.78654</v>
      </c>
      <c r="F290" s="4" t="str">
        <f>IFERROR(__xludf.DUMMYFUNCTION("""COMPUTED_VALUE""")," ---")</f>
        <v> ---</v>
      </c>
      <c r="G290" s="4" t="str">
        <f>IFERROR(__xludf.DUMMYFUNCTION("""COMPUTED_VALUE"""),"SUSE Linux Enterprise Server 15 SP1")</f>
        <v>SUSE Linux Enterprise Server 15 SP1</v>
      </c>
      <c r="H290" s="7" t="str">
        <f t="shared" si="2"/>
        <v>NO</v>
      </c>
      <c r="I290" s="7" t="str">
        <f t="shared" si="3"/>
        <v>NO</v>
      </c>
    </row>
    <row r="291">
      <c r="A291" s="4">
        <f>IFERROR(__xludf.DUMMYFUNCTION("""COMPUTED_VALUE"""),1128014.0)</f>
        <v>1128014</v>
      </c>
      <c r="B291" s="4" t="str">
        <f>IFERROR(__xludf.DUMMYFUNCTION("""COMPUTED_VALUE"""),"P3 - Medium")</f>
        <v>P3 - Medium</v>
      </c>
      <c r="C291" s="5">
        <f>IFERROR(__xludf.DUMMYFUNCTION("""COMPUTED_VALUE"""),43529.852013888885)</f>
        <v>43529.85201</v>
      </c>
      <c r="D291" s="4" t="str">
        <f>IFERROR(__xludf.DUMMYFUNCTION("""COMPUTED_VALUE"""),"RESOLVED")</f>
        <v>RESOLVED</v>
      </c>
      <c r="E291" s="6">
        <f>IFERROR(__xludf.DUMMYFUNCTION("""COMPUTED_VALUE"""),44446.7866087963)</f>
        <v>44446.78661</v>
      </c>
      <c r="F291" s="4" t="str">
        <f>IFERROR(__xludf.DUMMYFUNCTION("""COMPUTED_VALUE""")," ---")</f>
        <v> ---</v>
      </c>
      <c r="G291" s="4" t="str">
        <f>IFERROR(__xludf.DUMMYFUNCTION("""COMPUTED_VALUE"""),"SUSE Linux Enterprise Server 15 SP1")</f>
        <v>SUSE Linux Enterprise Server 15 SP1</v>
      </c>
      <c r="H291" s="7" t="str">
        <f t="shared" si="2"/>
        <v>NO</v>
      </c>
      <c r="I291" s="7" t="str">
        <f t="shared" si="3"/>
        <v>NO</v>
      </c>
    </row>
    <row r="292">
      <c r="A292" s="4">
        <f>IFERROR(__xludf.DUMMYFUNCTION("""COMPUTED_VALUE"""),1128015.0)</f>
        <v>1128015</v>
      </c>
      <c r="B292" s="4" t="str">
        <f>IFERROR(__xludf.DUMMYFUNCTION("""COMPUTED_VALUE"""),"P3 - Medium")</f>
        <v>P3 - Medium</v>
      </c>
      <c r="C292" s="5">
        <f>IFERROR(__xludf.DUMMYFUNCTION("""COMPUTED_VALUE"""),43529.852060185185)</f>
        <v>43529.85206</v>
      </c>
      <c r="D292" s="4" t="str">
        <f>IFERROR(__xludf.DUMMYFUNCTION("""COMPUTED_VALUE"""),"RESOLVED")</f>
        <v>RESOLVED</v>
      </c>
      <c r="E292" s="6">
        <f>IFERROR(__xludf.DUMMYFUNCTION("""COMPUTED_VALUE"""),44446.786678240744)</f>
        <v>44446.78668</v>
      </c>
      <c r="F292" s="4" t="str">
        <f>IFERROR(__xludf.DUMMYFUNCTION("""COMPUTED_VALUE""")," ---")</f>
        <v> ---</v>
      </c>
      <c r="G292" s="4" t="str">
        <f>IFERROR(__xludf.DUMMYFUNCTION("""COMPUTED_VALUE"""),"SUSE Linux Enterprise Server 15 SP1")</f>
        <v>SUSE Linux Enterprise Server 15 SP1</v>
      </c>
      <c r="H292" s="7" t="str">
        <f t="shared" si="2"/>
        <v>NO</v>
      </c>
      <c r="I292" s="7" t="str">
        <f t="shared" si="3"/>
        <v>NO</v>
      </c>
    </row>
    <row r="293">
      <c r="A293" s="4">
        <f>IFERROR(__xludf.DUMMYFUNCTION("""COMPUTED_VALUE"""),1128016.0)</f>
        <v>1128016</v>
      </c>
      <c r="B293" s="4" t="str">
        <f>IFERROR(__xludf.DUMMYFUNCTION("""COMPUTED_VALUE"""),"P3 - Medium")</f>
        <v>P3 - Medium</v>
      </c>
      <c r="C293" s="5">
        <f>IFERROR(__xludf.DUMMYFUNCTION("""COMPUTED_VALUE"""),43529.852118055554)</f>
        <v>43529.85212</v>
      </c>
      <c r="D293" s="4" t="str">
        <f>IFERROR(__xludf.DUMMYFUNCTION("""COMPUTED_VALUE"""),"RESOLVED")</f>
        <v>RESOLVED</v>
      </c>
      <c r="E293" s="6">
        <f>IFERROR(__xludf.DUMMYFUNCTION("""COMPUTED_VALUE"""),43630.634664351855)</f>
        <v>43630.63466</v>
      </c>
      <c r="F293" s="4" t="str">
        <f>IFERROR(__xludf.DUMMYFUNCTION("""COMPUTED_VALUE""")," ---")</f>
        <v> ---</v>
      </c>
      <c r="G293" s="4" t="str">
        <f>IFERROR(__xludf.DUMMYFUNCTION("""COMPUTED_VALUE"""),"SUSE Linux Enterprise Server 15 SP1")</f>
        <v>SUSE Linux Enterprise Server 15 SP1</v>
      </c>
      <c r="H293" s="7" t="str">
        <f t="shared" si="2"/>
        <v>NO</v>
      </c>
      <c r="I293" s="7" t="str">
        <f t="shared" si="3"/>
        <v>NO</v>
      </c>
    </row>
    <row r="294">
      <c r="A294" s="4">
        <f>IFERROR(__xludf.DUMMYFUNCTION("""COMPUTED_VALUE"""),1128017.0)</f>
        <v>1128017</v>
      </c>
      <c r="B294" s="4" t="str">
        <f>IFERROR(__xludf.DUMMYFUNCTION("""COMPUTED_VALUE"""),"P3 - Medium")</f>
        <v>P3 - Medium</v>
      </c>
      <c r="C294" s="5">
        <f>IFERROR(__xludf.DUMMYFUNCTION("""COMPUTED_VALUE"""),43529.852164351854)</f>
        <v>43529.85216</v>
      </c>
      <c r="D294" s="4" t="str">
        <f>IFERROR(__xludf.DUMMYFUNCTION("""COMPUTED_VALUE"""),"RESOLVED")</f>
        <v>RESOLVED</v>
      </c>
      <c r="E294" s="6">
        <f>IFERROR(__xludf.DUMMYFUNCTION("""COMPUTED_VALUE"""),44446.79127314815)</f>
        <v>44446.79127</v>
      </c>
      <c r="F294" s="4" t="str">
        <f>IFERROR(__xludf.DUMMYFUNCTION("""COMPUTED_VALUE""")," ---")</f>
        <v> ---</v>
      </c>
      <c r="G294" s="4" t="str">
        <f>IFERROR(__xludf.DUMMYFUNCTION("""COMPUTED_VALUE"""),"SUSE Linux Enterprise Server 15 SP1")</f>
        <v>SUSE Linux Enterprise Server 15 SP1</v>
      </c>
      <c r="H294" s="7" t="str">
        <f t="shared" si="2"/>
        <v>NO</v>
      </c>
      <c r="I294" s="7" t="str">
        <f t="shared" si="3"/>
        <v>NO</v>
      </c>
    </row>
    <row r="295">
      <c r="A295" s="4">
        <f>IFERROR(__xludf.DUMMYFUNCTION("""COMPUTED_VALUE"""),1128018.0)</f>
        <v>1128018</v>
      </c>
      <c r="B295" s="4" t="str">
        <f>IFERROR(__xludf.DUMMYFUNCTION("""COMPUTED_VALUE"""),"P3 - Medium")</f>
        <v>P3 - Medium</v>
      </c>
      <c r="C295" s="5">
        <f>IFERROR(__xludf.DUMMYFUNCTION("""COMPUTED_VALUE"""),43529.852222222224)</f>
        <v>43529.85222</v>
      </c>
      <c r="D295" s="4" t="str">
        <f>IFERROR(__xludf.DUMMYFUNCTION("""COMPUTED_VALUE"""),"RESOLVED")</f>
        <v>RESOLVED</v>
      </c>
      <c r="E295" s="6">
        <f>IFERROR(__xludf.DUMMYFUNCTION("""COMPUTED_VALUE"""),44446.791134259256)</f>
        <v>44446.79113</v>
      </c>
      <c r="F295" s="4" t="str">
        <f>IFERROR(__xludf.DUMMYFUNCTION("""COMPUTED_VALUE""")," ---")</f>
        <v> ---</v>
      </c>
      <c r="G295" s="4" t="str">
        <f>IFERROR(__xludf.DUMMYFUNCTION("""COMPUTED_VALUE"""),"SUSE Linux Enterprise Server 15 SP1")</f>
        <v>SUSE Linux Enterprise Server 15 SP1</v>
      </c>
      <c r="H295" s="7" t="str">
        <f t="shared" si="2"/>
        <v>NO</v>
      </c>
      <c r="I295" s="7" t="str">
        <f t="shared" si="3"/>
        <v>NO</v>
      </c>
    </row>
    <row r="296">
      <c r="A296" s="4">
        <f>IFERROR(__xludf.DUMMYFUNCTION("""COMPUTED_VALUE"""),1128019.0)</f>
        <v>1128019</v>
      </c>
      <c r="B296" s="4" t="str">
        <f>IFERROR(__xludf.DUMMYFUNCTION("""COMPUTED_VALUE"""),"P3 - Medium")</f>
        <v>P3 - Medium</v>
      </c>
      <c r="C296" s="5">
        <f>IFERROR(__xludf.DUMMYFUNCTION("""COMPUTED_VALUE"""),43529.85228009259)</f>
        <v>43529.85228</v>
      </c>
      <c r="D296" s="4" t="str">
        <f>IFERROR(__xludf.DUMMYFUNCTION("""COMPUTED_VALUE"""),"RESOLVED")</f>
        <v>RESOLVED</v>
      </c>
      <c r="E296" s="6">
        <f>IFERROR(__xludf.DUMMYFUNCTION("""COMPUTED_VALUE"""),44446.7912037037)</f>
        <v>44446.7912</v>
      </c>
      <c r="F296" s="4" t="str">
        <f>IFERROR(__xludf.DUMMYFUNCTION("""COMPUTED_VALUE""")," ---")</f>
        <v> ---</v>
      </c>
      <c r="G296" s="4" t="str">
        <f>IFERROR(__xludf.DUMMYFUNCTION("""COMPUTED_VALUE"""),"SUSE Linux Enterprise Server 15 SP1")</f>
        <v>SUSE Linux Enterprise Server 15 SP1</v>
      </c>
      <c r="H296" s="7" t="str">
        <f t="shared" si="2"/>
        <v>NO</v>
      </c>
      <c r="I296" s="7" t="str">
        <f t="shared" si="3"/>
        <v>NO</v>
      </c>
    </row>
    <row r="297">
      <c r="A297" s="4">
        <f>IFERROR(__xludf.DUMMYFUNCTION("""COMPUTED_VALUE"""),1128020.0)</f>
        <v>1128020</v>
      </c>
      <c r="B297" s="4" t="str">
        <f>IFERROR(__xludf.DUMMYFUNCTION("""COMPUTED_VALUE"""),"P3 - Medium")</f>
        <v>P3 - Medium</v>
      </c>
      <c r="C297" s="5">
        <f>IFERROR(__xludf.DUMMYFUNCTION("""COMPUTED_VALUE"""),43529.85238425926)</f>
        <v>43529.85238</v>
      </c>
      <c r="D297" s="4" t="str">
        <f>IFERROR(__xludf.DUMMYFUNCTION("""COMPUTED_VALUE"""),"RESOLVED")</f>
        <v>RESOLVED</v>
      </c>
      <c r="E297" s="6">
        <f>IFERROR(__xludf.DUMMYFUNCTION("""COMPUTED_VALUE"""),44446.79141203704)</f>
        <v>44446.79141</v>
      </c>
      <c r="F297" s="4" t="str">
        <f>IFERROR(__xludf.DUMMYFUNCTION("""COMPUTED_VALUE""")," ---")</f>
        <v> ---</v>
      </c>
      <c r="G297" s="4" t="str">
        <f>IFERROR(__xludf.DUMMYFUNCTION("""COMPUTED_VALUE"""),"SUSE Linux Enterprise Server 15 SP1")</f>
        <v>SUSE Linux Enterprise Server 15 SP1</v>
      </c>
      <c r="H297" s="7" t="str">
        <f t="shared" si="2"/>
        <v>NO</v>
      </c>
      <c r="I297" s="7" t="str">
        <f t="shared" si="3"/>
        <v>NO</v>
      </c>
    </row>
    <row r="298">
      <c r="A298" s="4">
        <f>IFERROR(__xludf.DUMMYFUNCTION("""COMPUTED_VALUE"""),1128021.0)</f>
        <v>1128021</v>
      </c>
      <c r="B298" s="4" t="str">
        <f>IFERROR(__xludf.DUMMYFUNCTION("""COMPUTED_VALUE"""),"P3 - Medium")</f>
        <v>P3 - Medium</v>
      </c>
      <c r="C298" s="5">
        <f>IFERROR(__xludf.DUMMYFUNCTION("""COMPUTED_VALUE"""),43529.852430555555)</f>
        <v>43529.85243</v>
      </c>
      <c r="D298" s="4" t="str">
        <f>IFERROR(__xludf.DUMMYFUNCTION("""COMPUTED_VALUE"""),"RESOLVED")</f>
        <v>RESOLVED</v>
      </c>
      <c r="E298" s="6">
        <f>IFERROR(__xludf.DUMMYFUNCTION("""COMPUTED_VALUE"""),44446.79148148148)</f>
        <v>44446.79148</v>
      </c>
      <c r="F298" s="4" t="str">
        <f>IFERROR(__xludf.DUMMYFUNCTION("""COMPUTED_VALUE""")," ---")</f>
        <v> ---</v>
      </c>
      <c r="G298" s="4" t="str">
        <f>IFERROR(__xludf.DUMMYFUNCTION("""COMPUTED_VALUE"""),"SUSE Linux Enterprise Server 15 SP1")</f>
        <v>SUSE Linux Enterprise Server 15 SP1</v>
      </c>
      <c r="H298" s="7" t="str">
        <f t="shared" si="2"/>
        <v>NO</v>
      </c>
      <c r="I298" s="7" t="str">
        <f t="shared" si="3"/>
        <v>NO</v>
      </c>
    </row>
    <row r="299">
      <c r="A299" s="4">
        <f>IFERROR(__xludf.DUMMYFUNCTION("""COMPUTED_VALUE"""),1128022.0)</f>
        <v>1128022</v>
      </c>
      <c r="B299" s="4" t="str">
        <f>IFERROR(__xludf.DUMMYFUNCTION("""COMPUTED_VALUE"""),"P3 - Medium")</f>
        <v>P3 - Medium</v>
      </c>
      <c r="C299" s="5">
        <f>IFERROR(__xludf.DUMMYFUNCTION("""COMPUTED_VALUE"""),43529.852488425924)</f>
        <v>43529.85249</v>
      </c>
      <c r="D299" s="4" t="str">
        <f>IFERROR(__xludf.DUMMYFUNCTION("""COMPUTED_VALUE"""),"RESOLVED")</f>
        <v>RESOLVED</v>
      </c>
      <c r="E299" s="6">
        <f>IFERROR(__xludf.DUMMYFUNCTION("""COMPUTED_VALUE"""),44446.78674768518)</f>
        <v>44446.78675</v>
      </c>
      <c r="F299" s="4" t="str">
        <f>IFERROR(__xludf.DUMMYFUNCTION("""COMPUTED_VALUE""")," ---")</f>
        <v> ---</v>
      </c>
      <c r="G299" s="4" t="str">
        <f>IFERROR(__xludf.DUMMYFUNCTION("""COMPUTED_VALUE"""),"SUSE Linux Enterprise Server 15 SP1")</f>
        <v>SUSE Linux Enterprise Server 15 SP1</v>
      </c>
      <c r="H299" s="7" t="str">
        <f t="shared" si="2"/>
        <v>NO</v>
      </c>
      <c r="I299" s="7" t="str">
        <f t="shared" si="3"/>
        <v>NO</v>
      </c>
    </row>
    <row r="300">
      <c r="A300" s="4">
        <f>IFERROR(__xludf.DUMMYFUNCTION("""COMPUTED_VALUE"""),1128024.0)</f>
        <v>1128024</v>
      </c>
      <c r="B300" s="4" t="str">
        <f>IFERROR(__xludf.DUMMYFUNCTION("""COMPUTED_VALUE"""),"P3 - Medium")</f>
        <v>P3 - Medium</v>
      </c>
      <c r="C300" s="5">
        <f>IFERROR(__xludf.DUMMYFUNCTION("""COMPUTED_VALUE"""),43529.85254629629)</f>
        <v>43529.85255</v>
      </c>
      <c r="D300" s="4" t="str">
        <f>IFERROR(__xludf.DUMMYFUNCTION("""COMPUTED_VALUE"""),"RESOLVED")</f>
        <v>RESOLVED</v>
      </c>
      <c r="E300" s="6">
        <f>IFERROR(__xludf.DUMMYFUNCTION("""COMPUTED_VALUE"""),44446.78681712963)</f>
        <v>44446.78682</v>
      </c>
      <c r="F300" s="4" t="str">
        <f>IFERROR(__xludf.DUMMYFUNCTION("""COMPUTED_VALUE""")," ---")</f>
        <v> ---</v>
      </c>
      <c r="G300" s="4" t="str">
        <f>IFERROR(__xludf.DUMMYFUNCTION("""COMPUTED_VALUE"""),"SUSE Linux Enterprise Server 15 SP1")</f>
        <v>SUSE Linux Enterprise Server 15 SP1</v>
      </c>
      <c r="H300" s="7" t="str">
        <f t="shared" si="2"/>
        <v>NO</v>
      </c>
      <c r="I300" s="7" t="str">
        <f t="shared" si="3"/>
        <v>NO</v>
      </c>
    </row>
    <row r="301">
      <c r="A301" s="4">
        <f>IFERROR(__xludf.DUMMYFUNCTION("""COMPUTED_VALUE"""),1128025.0)</f>
        <v>1128025</v>
      </c>
      <c r="B301" s="4" t="str">
        <f>IFERROR(__xludf.DUMMYFUNCTION("""COMPUTED_VALUE"""),"P3 - Medium")</f>
        <v>P3 - Medium</v>
      </c>
      <c r="C301" s="5">
        <f>IFERROR(__xludf.DUMMYFUNCTION("""COMPUTED_VALUE"""),43529.85259259259)</f>
        <v>43529.85259</v>
      </c>
      <c r="D301" s="4" t="str">
        <f>IFERROR(__xludf.DUMMYFUNCTION("""COMPUTED_VALUE"""),"RESOLVED")</f>
        <v>RESOLVED</v>
      </c>
      <c r="E301" s="6">
        <f>IFERROR(__xludf.DUMMYFUNCTION("""COMPUTED_VALUE"""),44446.786886574075)</f>
        <v>44446.78689</v>
      </c>
      <c r="F301" s="4" t="str">
        <f>IFERROR(__xludf.DUMMYFUNCTION("""COMPUTED_VALUE""")," ---")</f>
        <v> ---</v>
      </c>
      <c r="G301" s="4" t="str">
        <f>IFERROR(__xludf.DUMMYFUNCTION("""COMPUTED_VALUE"""),"SUSE Linux Enterprise Server 15 SP1")</f>
        <v>SUSE Linux Enterprise Server 15 SP1</v>
      </c>
      <c r="H301" s="7" t="str">
        <f t="shared" si="2"/>
        <v>NO</v>
      </c>
      <c r="I301" s="7" t="str">
        <f t="shared" si="3"/>
        <v>NO</v>
      </c>
    </row>
    <row r="302">
      <c r="A302" s="4">
        <f>IFERROR(__xludf.DUMMYFUNCTION("""COMPUTED_VALUE"""),1128026.0)</f>
        <v>1128026</v>
      </c>
      <c r="B302" s="4" t="str">
        <f>IFERROR(__xludf.DUMMYFUNCTION("""COMPUTED_VALUE"""),"P3 - Medium")</f>
        <v>P3 - Medium</v>
      </c>
      <c r="C302" s="5">
        <f>IFERROR(__xludf.DUMMYFUNCTION("""COMPUTED_VALUE"""),43529.85265046296)</f>
        <v>43529.85265</v>
      </c>
      <c r="D302" s="4" t="str">
        <f>IFERROR(__xludf.DUMMYFUNCTION("""COMPUTED_VALUE"""),"RESOLVED")</f>
        <v>RESOLVED</v>
      </c>
      <c r="E302" s="6">
        <f>IFERROR(__xludf.DUMMYFUNCTION("""COMPUTED_VALUE"""),44446.78696759259)</f>
        <v>44446.78697</v>
      </c>
      <c r="F302" s="4" t="str">
        <f>IFERROR(__xludf.DUMMYFUNCTION("""COMPUTED_VALUE""")," ---")</f>
        <v> ---</v>
      </c>
      <c r="G302" s="4" t="str">
        <f>IFERROR(__xludf.DUMMYFUNCTION("""COMPUTED_VALUE"""),"SUSE Linux Enterprise Server 15 SP1")</f>
        <v>SUSE Linux Enterprise Server 15 SP1</v>
      </c>
      <c r="H302" s="7" t="str">
        <f t="shared" si="2"/>
        <v>NO</v>
      </c>
      <c r="I302" s="7" t="str">
        <f t="shared" si="3"/>
        <v>NO</v>
      </c>
    </row>
    <row r="303">
      <c r="A303" s="4">
        <f>IFERROR(__xludf.DUMMYFUNCTION("""COMPUTED_VALUE"""),1128027.0)</f>
        <v>1128027</v>
      </c>
      <c r="B303" s="4" t="str">
        <f>IFERROR(__xludf.DUMMYFUNCTION("""COMPUTED_VALUE"""),"P3 - Medium")</f>
        <v>P3 - Medium</v>
      </c>
      <c r="C303" s="5">
        <f>IFERROR(__xludf.DUMMYFUNCTION("""COMPUTED_VALUE"""),43529.85270833333)</f>
        <v>43529.85271</v>
      </c>
      <c r="D303" s="4" t="str">
        <f>IFERROR(__xludf.DUMMYFUNCTION("""COMPUTED_VALUE"""),"RESOLVED")</f>
        <v>RESOLVED</v>
      </c>
      <c r="E303" s="6">
        <f>IFERROR(__xludf.DUMMYFUNCTION("""COMPUTED_VALUE"""),44446.78703703704)</f>
        <v>44446.78704</v>
      </c>
      <c r="F303" s="4" t="str">
        <f>IFERROR(__xludf.DUMMYFUNCTION("""COMPUTED_VALUE""")," ---")</f>
        <v> ---</v>
      </c>
      <c r="G303" s="4" t="str">
        <f>IFERROR(__xludf.DUMMYFUNCTION("""COMPUTED_VALUE"""),"SUSE Linux Enterprise Server 15 SP1")</f>
        <v>SUSE Linux Enterprise Server 15 SP1</v>
      </c>
      <c r="H303" s="7" t="str">
        <f t="shared" si="2"/>
        <v>NO</v>
      </c>
      <c r="I303" s="7" t="str">
        <f t="shared" si="3"/>
        <v>NO</v>
      </c>
    </row>
    <row r="304">
      <c r="A304" s="4">
        <f>IFERROR(__xludf.DUMMYFUNCTION("""COMPUTED_VALUE"""),1128028.0)</f>
        <v>1128028</v>
      </c>
      <c r="B304" s="4" t="str">
        <f>IFERROR(__xludf.DUMMYFUNCTION("""COMPUTED_VALUE"""),"P3 - Medium")</f>
        <v>P3 - Medium</v>
      </c>
      <c r="C304" s="5">
        <f>IFERROR(__xludf.DUMMYFUNCTION("""COMPUTED_VALUE"""),43529.85275462963)</f>
        <v>43529.85275</v>
      </c>
      <c r="D304" s="4" t="str">
        <f>IFERROR(__xludf.DUMMYFUNCTION("""COMPUTED_VALUE"""),"RESOLVED")</f>
        <v>RESOLVED</v>
      </c>
      <c r="E304" s="6">
        <f>IFERROR(__xludf.DUMMYFUNCTION("""COMPUTED_VALUE"""),44446.78710648148)</f>
        <v>44446.78711</v>
      </c>
      <c r="F304" s="4" t="str">
        <f>IFERROR(__xludf.DUMMYFUNCTION("""COMPUTED_VALUE""")," ---")</f>
        <v> ---</v>
      </c>
      <c r="G304" s="4" t="str">
        <f>IFERROR(__xludf.DUMMYFUNCTION("""COMPUTED_VALUE"""),"SUSE Linux Enterprise Server 15 SP1")</f>
        <v>SUSE Linux Enterprise Server 15 SP1</v>
      </c>
      <c r="H304" s="7" t="str">
        <f t="shared" si="2"/>
        <v>NO</v>
      </c>
      <c r="I304" s="7" t="str">
        <f t="shared" si="3"/>
        <v>NO</v>
      </c>
    </row>
    <row r="305">
      <c r="A305" s="4">
        <f>IFERROR(__xludf.DUMMYFUNCTION("""COMPUTED_VALUE"""),1128029.0)</f>
        <v>1128029</v>
      </c>
      <c r="B305" s="4" t="str">
        <f>IFERROR(__xludf.DUMMYFUNCTION("""COMPUTED_VALUE"""),"P3 - Medium")</f>
        <v>P3 - Medium</v>
      </c>
      <c r="C305" s="5">
        <f>IFERROR(__xludf.DUMMYFUNCTION("""COMPUTED_VALUE"""),43529.8528125)</f>
        <v>43529.85281</v>
      </c>
      <c r="D305" s="4" t="str">
        <f>IFERROR(__xludf.DUMMYFUNCTION("""COMPUTED_VALUE"""),"RESOLVED")</f>
        <v>RESOLVED</v>
      </c>
      <c r="E305" s="6">
        <f>IFERROR(__xludf.DUMMYFUNCTION("""COMPUTED_VALUE"""),44446.78717592593)</f>
        <v>44446.78718</v>
      </c>
      <c r="F305" s="4" t="str">
        <f>IFERROR(__xludf.DUMMYFUNCTION("""COMPUTED_VALUE""")," ---")</f>
        <v> ---</v>
      </c>
      <c r="G305" s="4" t="str">
        <f>IFERROR(__xludf.DUMMYFUNCTION("""COMPUTED_VALUE"""),"SUSE Linux Enterprise Server 15 SP1")</f>
        <v>SUSE Linux Enterprise Server 15 SP1</v>
      </c>
      <c r="H305" s="7" t="str">
        <f t="shared" si="2"/>
        <v>NO</v>
      </c>
      <c r="I305" s="7" t="str">
        <f t="shared" si="3"/>
        <v>NO</v>
      </c>
    </row>
    <row r="306">
      <c r="A306" s="4">
        <f>IFERROR(__xludf.DUMMYFUNCTION("""COMPUTED_VALUE"""),1128030.0)</f>
        <v>1128030</v>
      </c>
      <c r="B306" s="4" t="str">
        <f>IFERROR(__xludf.DUMMYFUNCTION("""COMPUTED_VALUE"""),"P3 - Medium")</f>
        <v>P3 - Medium</v>
      </c>
      <c r="C306" s="5">
        <f>IFERROR(__xludf.DUMMYFUNCTION("""COMPUTED_VALUE"""),43529.852858796294)</f>
        <v>43529.85286</v>
      </c>
      <c r="D306" s="4" t="str">
        <f>IFERROR(__xludf.DUMMYFUNCTION("""COMPUTED_VALUE"""),"RESOLVED")</f>
        <v>RESOLVED</v>
      </c>
      <c r="E306" s="6">
        <f>IFERROR(__xludf.DUMMYFUNCTION("""COMPUTED_VALUE"""),44446.78724537037)</f>
        <v>44446.78725</v>
      </c>
      <c r="F306" s="4" t="str">
        <f>IFERROR(__xludf.DUMMYFUNCTION("""COMPUTED_VALUE""")," ---")</f>
        <v> ---</v>
      </c>
      <c r="G306" s="4" t="str">
        <f>IFERROR(__xludf.DUMMYFUNCTION("""COMPUTED_VALUE"""),"SUSE Linux Enterprise Server 15 SP1")</f>
        <v>SUSE Linux Enterprise Server 15 SP1</v>
      </c>
      <c r="H306" s="7" t="str">
        <f t="shared" si="2"/>
        <v>NO</v>
      </c>
      <c r="I306" s="7" t="str">
        <f t="shared" si="3"/>
        <v>NO</v>
      </c>
    </row>
    <row r="307">
      <c r="A307" s="4">
        <f>IFERROR(__xludf.DUMMYFUNCTION("""COMPUTED_VALUE"""),1128031.0)</f>
        <v>1128031</v>
      </c>
      <c r="B307" s="4" t="str">
        <f>IFERROR(__xludf.DUMMYFUNCTION("""COMPUTED_VALUE"""),"P3 - Medium")</f>
        <v>P3 - Medium</v>
      </c>
      <c r="C307" s="5">
        <f>IFERROR(__xludf.DUMMYFUNCTION("""COMPUTED_VALUE"""),43529.85291666666)</f>
        <v>43529.85292</v>
      </c>
      <c r="D307" s="4" t="str">
        <f>IFERROR(__xludf.DUMMYFUNCTION("""COMPUTED_VALUE"""),"RESOLVED")</f>
        <v>RESOLVED</v>
      </c>
      <c r="E307" s="6">
        <f>IFERROR(__xludf.DUMMYFUNCTION("""COMPUTED_VALUE"""),44446.78732638889)</f>
        <v>44446.78733</v>
      </c>
      <c r="F307" s="4" t="str">
        <f>IFERROR(__xludf.DUMMYFUNCTION("""COMPUTED_VALUE""")," ---")</f>
        <v> ---</v>
      </c>
      <c r="G307" s="4" t="str">
        <f>IFERROR(__xludf.DUMMYFUNCTION("""COMPUTED_VALUE"""),"SUSE Linux Enterprise Server 15 SP1")</f>
        <v>SUSE Linux Enterprise Server 15 SP1</v>
      </c>
      <c r="H307" s="7" t="str">
        <f t="shared" si="2"/>
        <v>NO</v>
      </c>
      <c r="I307" s="7" t="str">
        <f t="shared" si="3"/>
        <v>NO</v>
      </c>
    </row>
    <row r="308">
      <c r="A308" s="4">
        <f>IFERROR(__xludf.DUMMYFUNCTION("""COMPUTED_VALUE"""),1128033.0)</f>
        <v>1128033</v>
      </c>
      <c r="B308" s="4" t="str">
        <f>IFERROR(__xludf.DUMMYFUNCTION("""COMPUTED_VALUE"""),"P3 - Medium")</f>
        <v>P3 - Medium</v>
      </c>
      <c r="C308" s="5">
        <f>IFERROR(__xludf.DUMMYFUNCTION("""COMPUTED_VALUE"""),43529.85296296296)</f>
        <v>43529.85296</v>
      </c>
      <c r="D308" s="4" t="str">
        <f>IFERROR(__xludf.DUMMYFUNCTION("""COMPUTED_VALUE"""),"RESOLVED")</f>
        <v>RESOLVED</v>
      </c>
      <c r="E308" s="6">
        <f>IFERROR(__xludf.DUMMYFUNCTION("""COMPUTED_VALUE"""),44446.78739583334)</f>
        <v>44446.7874</v>
      </c>
      <c r="F308" s="4" t="str">
        <f>IFERROR(__xludf.DUMMYFUNCTION("""COMPUTED_VALUE""")," ---")</f>
        <v> ---</v>
      </c>
      <c r="G308" s="4" t="str">
        <f>IFERROR(__xludf.DUMMYFUNCTION("""COMPUTED_VALUE"""),"SUSE Linux Enterprise Server 15 SP1")</f>
        <v>SUSE Linux Enterprise Server 15 SP1</v>
      </c>
      <c r="H308" s="7" t="str">
        <f t="shared" si="2"/>
        <v>NO</v>
      </c>
      <c r="I308" s="7" t="str">
        <f t="shared" si="3"/>
        <v>NO</v>
      </c>
    </row>
    <row r="309">
      <c r="A309" s="4">
        <f>IFERROR(__xludf.DUMMYFUNCTION("""COMPUTED_VALUE"""),1128034.0)</f>
        <v>1128034</v>
      </c>
      <c r="B309" s="4" t="str">
        <f>IFERROR(__xludf.DUMMYFUNCTION("""COMPUTED_VALUE"""),"P3 - Medium")</f>
        <v>P3 - Medium</v>
      </c>
      <c r="C309" s="5">
        <f>IFERROR(__xludf.DUMMYFUNCTION("""COMPUTED_VALUE"""),43529.85302083333)</f>
        <v>43529.85302</v>
      </c>
      <c r="D309" s="4" t="str">
        <f>IFERROR(__xludf.DUMMYFUNCTION("""COMPUTED_VALUE"""),"RESOLVED")</f>
        <v>RESOLVED</v>
      </c>
      <c r="E309" s="6">
        <f>IFERROR(__xludf.DUMMYFUNCTION("""COMPUTED_VALUE"""),44446.787465277775)</f>
        <v>44446.78747</v>
      </c>
      <c r="F309" s="4" t="str">
        <f>IFERROR(__xludf.DUMMYFUNCTION("""COMPUTED_VALUE""")," ---")</f>
        <v> ---</v>
      </c>
      <c r="G309" s="4" t="str">
        <f>IFERROR(__xludf.DUMMYFUNCTION("""COMPUTED_VALUE"""),"SUSE Linux Enterprise Server 15 SP1")</f>
        <v>SUSE Linux Enterprise Server 15 SP1</v>
      </c>
      <c r="H309" s="7" t="str">
        <f t="shared" si="2"/>
        <v>NO</v>
      </c>
      <c r="I309" s="7" t="str">
        <f t="shared" si="3"/>
        <v>NO</v>
      </c>
    </row>
    <row r="310">
      <c r="A310" s="4">
        <f>IFERROR(__xludf.DUMMYFUNCTION("""COMPUTED_VALUE"""),1128035.0)</f>
        <v>1128035</v>
      </c>
      <c r="B310" s="4" t="str">
        <f>IFERROR(__xludf.DUMMYFUNCTION("""COMPUTED_VALUE"""),"P3 - Medium")</f>
        <v>P3 - Medium</v>
      </c>
      <c r="C310" s="5">
        <f>IFERROR(__xludf.DUMMYFUNCTION("""COMPUTED_VALUE"""),43529.85306712963)</f>
        <v>43529.85307</v>
      </c>
      <c r="D310" s="4" t="str">
        <f>IFERROR(__xludf.DUMMYFUNCTION("""COMPUTED_VALUE"""),"RESOLVED")</f>
        <v>RESOLVED</v>
      </c>
      <c r="E310" s="6">
        <f>IFERROR(__xludf.DUMMYFUNCTION("""COMPUTED_VALUE"""),44446.78753472222)</f>
        <v>44446.78753</v>
      </c>
      <c r="F310" s="4" t="str">
        <f>IFERROR(__xludf.DUMMYFUNCTION("""COMPUTED_VALUE""")," ---")</f>
        <v> ---</v>
      </c>
      <c r="G310" s="4" t="str">
        <f>IFERROR(__xludf.DUMMYFUNCTION("""COMPUTED_VALUE"""),"SUSE Linux Enterprise Server 15 SP1")</f>
        <v>SUSE Linux Enterprise Server 15 SP1</v>
      </c>
      <c r="H310" s="7" t="str">
        <f t="shared" si="2"/>
        <v>NO</v>
      </c>
      <c r="I310" s="7" t="str">
        <f t="shared" si="3"/>
        <v>NO</v>
      </c>
    </row>
    <row r="311">
      <c r="A311" s="4">
        <f>IFERROR(__xludf.DUMMYFUNCTION("""COMPUTED_VALUE"""),1128036.0)</f>
        <v>1128036</v>
      </c>
      <c r="B311" s="4" t="str">
        <f>IFERROR(__xludf.DUMMYFUNCTION("""COMPUTED_VALUE"""),"P3 - Medium")</f>
        <v>P3 - Medium</v>
      </c>
      <c r="C311" s="5">
        <f>IFERROR(__xludf.DUMMYFUNCTION("""COMPUTED_VALUE"""),43529.853125)</f>
        <v>43529.85313</v>
      </c>
      <c r="D311" s="4" t="str">
        <f>IFERROR(__xludf.DUMMYFUNCTION("""COMPUTED_VALUE"""),"RESOLVED")</f>
        <v>RESOLVED</v>
      </c>
      <c r="E311" s="6">
        <f>IFERROR(__xludf.DUMMYFUNCTION("""COMPUTED_VALUE"""),44446.78760416667)</f>
        <v>44446.7876</v>
      </c>
      <c r="F311" s="4" t="str">
        <f>IFERROR(__xludf.DUMMYFUNCTION("""COMPUTED_VALUE""")," ---")</f>
        <v> ---</v>
      </c>
      <c r="G311" s="4" t="str">
        <f>IFERROR(__xludf.DUMMYFUNCTION("""COMPUTED_VALUE"""),"SUSE Linux Enterprise Server 15 SP1")</f>
        <v>SUSE Linux Enterprise Server 15 SP1</v>
      </c>
      <c r="H311" s="7" t="str">
        <f t="shared" si="2"/>
        <v>NO</v>
      </c>
      <c r="I311" s="7" t="str">
        <f t="shared" si="3"/>
        <v>NO</v>
      </c>
    </row>
    <row r="312">
      <c r="A312" s="4">
        <f>IFERROR(__xludf.DUMMYFUNCTION("""COMPUTED_VALUE"""),1128037.0)</f>
        <v>1128037</v>
      </c>
      <c r="B312" s="4" t="str">
        <f>IFERROR(__xludf.DUMMYFUNCTION("""COMPUTED_VALUE"""),"P3 - Medium")</f>
        <v>P3 - Medium</v>
      </c>
      <c r="C312" s="5">
        <f>IFERROR(__xludf.DUMMYFUNCTION("""COMPUTED_VALUE"""),43529.85318287037)</f>
        <v>43529.85318</v>
      </c>
      <c r="D312" s="4" t="str">
        <f>IFERROR(__xludf.DUMMYFUNCTION("""COMPUTED_VALUE"""),"RESOLVED")</f>
        <v>RESOLVED</v>
      </c>
      <c r="E312" s="6">
        <f>IFERROR(__xludf.DUMMYFUNCTION("""COMPUTED_VALUE"""),44446.787673611114)</f>
        <v>44446.78767</v>
      </c>
      <c r="F312" s="4" t="str">
        <f>IFERROR(__xludf.DUMMYFUNCTION("""COMPUTED_VALUE""")," ---")</f>
        <v> ---</v>
      </c>
      <c r="G312" s="4" t="str">
        <f>IFERROR(__xludf.DUMMYFUNCTION("""COMPUTED_VALUE"""),"SUSE Linux Enterprise Server 15 SP1")</f>
        <v>SUSE Linux Enterprise Server 15 SP1</v>
      </c>
      <c r="H312" s="7" t="str">
        <f t="shared" si="2"/>
        <v>NO</v>
      </c>
      <c r="I312" s="7" t="str">
        <f t="shared" si="3"/>
        <v>NO</v>
      </c>
    </row>
    <row r="313">
      <c r="A313" s="4">
        <f>IFERROR(__xludf.DUMMYFUNCTION("""COMPUTED_VALUE"""),1128038.0)</f>
        <v>1128038</v>
      </c>
      <c r="B313" s="4" t="str">
        <f>IFERROR(__xludf.DUMMYFUNCTION("""COMPUTED_VALUE"""),"P3 - Medium")</f>
        <v>P3 - Medium</v>
      </c>
      <c r="C313" s="5">
        <f>IFERROR(__xludf.DUMMYFUNCTION("""COMPUTED_VALUE"""),43529.85322916666)</f>
        <v>43529.85323</v>
      </c>
      <c r="D313" s="4" t="str">
        <f>IFERROR(__xludf.DUMMYFUNCTION("""COMPUTED_VALUE"""),"RESOLVED")</f>
        <v>RESOLVED</v>
      </c>
      <c r="E313" s="6">
        <f>IFERROR(__xludf.DUMMYFUNCTION("""COMPUTED_VALUE"""),43630.63471064815)</f>
        <v>43630.63471</v>
      </c>
      <c r="F313" s="4" t="str">
        <f>IFERROR(__xludf.DUMMYFUNCTION("""COMPUTED_VALUE""")," ---")</f>
        <v> ---</v>
      </c>
      <c r="G313" s="4" t="str">
        <f>IFERROR(__xludf.DUMMYFUNCTION("""COMPUTED_VALUE"""),"SUSE Linux Enterprise Server 15 SP1")</f>
        <v>SUSE Linux Enterprise Server 15 SP1</v>
      </c>
      <c r="H313" s="7" t="str">
        <f t="shared" si="2"/>
        <v>NO</v>
      </c>
      <c r="I313" s="7" t="str">
        <f t="shared" si="3"/>
        <v>NO</v>
      </c>
    </row>
    <row r="314">
      <c r="A314" s="4">
        <f>IFERROR(__xludf.DUMMYFUNCTION("""COMPUTED_VALUE"""),1128039.0)</f>
        <v>1128039</v>
      </c>
      <c r="B314" s="4" t="str">
        <f>IFERROR(__xludf.DUMMYFUNCTION("""COMPUTED_VALUE"""),"P3 - Medium")</f>
        <v>P3 - Medium</v>
      </c>
      <c r="C314" s="5">
        <f>IFERROR(__xludf.DUMMYFUNCTION("""COMPUTED_VALUE"""),43529.85328703704)</f>
        <v>43529.85329</v>
      </c>
      <c r="D314" s="4" t="str">
        <f>IFERROR(__xludf.DUMMYFUNCTION("""COMPUTED_VALUE"""),"RESOLVED")</f>
        <v>RESOLVED</v>
      </c>
      <c r="E314" s="6">
        <f>IFERROR(__xludf.DUMMYFUNCTION("""COMPUTED_VALUE"""),43630.63474537037)</f>
        <v>43630.63475</v>
      </c>
      <c r="F314" s="4" t="str">
        <f>IFERROR(__xludf.DUMMYFUNCTION("""COMPUTED_VALUE""")," ---")</f>
        <v> ---</v>
      </c>
      <c r="G314" s="4" t="str">
        <f>IFERROR(__xludf.DUMMYFUNCTION("""COMPUTED_VALUE"""),"SUSE Linux Enterprise Server 15 SP1")</f>
        <v>SUSE Linux Enterprise Server 15 SP1</v>
      </c>
      <c r="H314" s="7" t="str">
        <f t="shared" si="2"/>
        <v>NO</v>
      </c>
      <c r="I314" s="7" t="str">
        <f t="shared" si="3"/>
        <v>NO</v>
      </c>
    </row>
    <row r="315">
      <c r="A315" s="4">
        <f>IFERROR(__xludf.DUMMYFUNCTION("""COMPUTED_VALUE"""),1128040.0)</f>
        <v>1128040</v>
      </c>
      <c r="B315" s="4" t="str">
        <f>IFERROR(__xludf.DUMMYFUNCTION("""COMPUTED_VALUE"""),"P3 - Medium")</f>
        <v>P3 - Medium</v>
      </c>
      <c r="C315" s="5">
        <f>IFERROR(__xludf.DUMMYFUNCTION("""COMPUTED_VALUE"""),43529.85334490741)</f>
        <v>43529.85334</v>
      </c>
      <c r="D315" s="4" t="str">
        <f>IFERROR(__xludf.DUMMYFUNCTION("""COMPUTED_VALUE"""),"RESOLVED")</f>
        <v>RESOLVED</v>
      </c>
      <c r="E315" s="6">
        <f>IFERROR(__xludf.DUMMYFUNCTION("""COMPUTED_VALUE"""),43630.634780092594)</f>
        <v>43630.63478</v>
      </c>
      <c r="F315" s="4" t="str">
        <f>IFERROR(__xludf.DUMMYFUNCTION("""COMPUTED_VALUE""")," ---")</f>
        <v> ---</v>
      </c>
      <c r="G315" s="4" t="str">
        <f>IFERROR(__xludf.DUMMYFUNCTION("""COMPUTED_VALUE"""),"SUSE Linux Enterprise Server 15 SP1")</f>
        <v>SUSE Linux Enterprise Server 15 SP1</v>
      </c>
      <c r="H315" s="7" t="str">
        <f t="shared" si="2"/>
        <v>NO</v>
      </c>
      <c r="I315" s="7" t="str">
        <f t="shared" si="3"/>
        <v>NO</v>
      </c>
    </row>
    <row r="316">
      <c r="A316" s="4">
        <f>IFERROR(__xludf.DUMMYFUNCTION("""COMPUTED_VALUE"""),1128041.0)</f>
        <v>1128041</v>
      </c>
      <c r="B316" s="4" t="str">
        <f>IFERROR(__xludf.DUMMYFUNCTION("""COMPUTED_VALUE"""),"P3 - Medium")</f>
        <v>P3 - Medium</v>
      </c>
      <c r="C316" s="5">
        <f>IFERROR(__xludf.DUMMYFUNCTION("""COMPUTED_VALUE"""),43529.8533912037)</f>
        <v>43529.85339</v>
      </c>
      <c r="D316" s="4" t="str">
        <f>IFERROR(__xludf.DUMMYFUNCTION("""COMPUTED_VALUE"""),"RESOLVED")</f>
        <v>RESOLVED</v>
      </c>
      <c r="E316" s="6">
        <f>IFERROR(__xludf.DUMMYFUNCTION("""COMPUTED_VALUE"""),43630.63482638889)</f>
        <v>43630.63483</v>
      </c>
      <c r="F316" s="4" t="str">
        <f>IFERROR(__xludf.DUMMYFUNCTION("""COMPUTED_VALUE""")," ---")</f>
        <v> ---</v>
      </c>
      <c r="G316" s="4" t="str">
        <f>IFERROR(__xludf.DUMMYFUNCTION("""COMPUTED_VALUE"""),"SUSE Linux Enterprise Server 15 SP1")</f>
        <v>SUSE Linux Enterprise Server 15 SP1</v>
      </c>
      <c r="H316" s="7" t="str">
        <f t="shared" si="2"/>
        <v>NO</v>
      </c>
      <c r="I316" s="7" t="str">
        <f t="shared" si="3"/>
        <v>NO</v>
      </c>
    </row>
    <row r="317">
      <c r="A317" s="4">
        <f>IFERROR(__xludf.DUMMYFUNCTION("""COMPUTED_VALUE"""),1128043.0)</f>
        <v>1128043</v>
      </c>
      <c r="B317" s="4" t="str">
        <f>IFERROR(__xludf.DUMMYFUNCTION("""COMPUTED_VALUE"""),"P3 - Medium")</f>
        <v>P3 - Medium</v>
      </c>
      <c r="C317" s="5">
        <f>IFERROR(__xludf.DUMMYFUNCTION("""COMPUTED_VALUE"""),43529.87293981481)</f>
        <v>43529.87294</v>
      </c>
      <c r="D317" s="4" t="str">
        <f>IFERROR(__xludf.DUMMYFUNCTION("""COMPUTED_VALUE"""),"RESOLVED")</f>
        <v>RESOLVED</v>
      </c>
      <c r="E317" s="6">
        <f>IFERROR(__xludf.DUMMYFUNCTION("""COMPUTED_VALUE"""),44446.791550925926)</f>
        <v>44446.79155</v>
      </c>
      <c r="F317" s="4" t="str">
        <f>IFERROR(__xludf.DUMMYFUNCTION("""COMPUTED_VALUE""")," ---")</f>
        <v> ---</v>
      </c>
      <c r="G317" s="4" t="str">
        <f>IFERROR(__xludf.DUMMYFUNCTION("""COMPUTED_VALUE"""),"SUSE Linux Enterprise Server 15 SP1")</f>
        <v>SUSE Linux Enterprise Server 15 SP1</v>
      </c>
      <c r="H317" s="7" t="str">
        <f t="shared" si="2"/>
        <v>NO</v>
      </c>
      <c r="I317" s="7" t="str">
        <f t="shared" si="3"/>
        <v>NO</v>
      </c>
    </row>
    <row r="318">
      <c r="A318" s="4">
        <f>IFERROR(__xludf.DUMMYFUNCTION("""COMPUTED_VALUE"""),1128046.0)</f>
        <v>1128046</v>
      </c>
      <c r="B318" s="4" t="str">
        <f>IFERROR(__xludf.DUMMYFUNCTION("""COMPUTED_VALUE"""),"P3 - Medium")</f>
        <v>P3 - Medium</v>
      </c>
      <c r="C318" s="5">
        <f>IFERROR(__xludf.DUMMYFUNCTION("""COMPUTED_VALUE"""),43529.92663194444)</f>
        <v>43529.92663</v>
      </c>
      <c r="D318" s="4" t="str">
        <f>IFERROR(__xludf.DUMMYFUNCTION("""COMPUTED_VALUE"""),"RESOLVED")</f>
        <v>RESOLVED</v>
      </c>
      <c r="E318" s="6">
        <f>IFERROR(__xludf.DUMMYFUNCTION("""COMPUTED_VALUE"""),44446.78774305555)</f>
        <v>44446.78774</v>
      </c>
      <c r="F318" s="4" t="str">
        <f>IFERROR(__xludf.DUMMYFUNCTION("""COMPUTED_VALUE""")," ---")</f>
        <v> ---</v>
      </c>
      <c r="G318" s="4" t="str">
        <f>IFERROR(__xludf.DUMMYFUNCTION("""COMPUTED_VALUE"""),"SUSE Linux Enterprise Server 15 SP1")</f>
        <v>SUSE Linux Enterprise Server 15 SP1</v>
      </c>
      <c r="H318" s="7" t="str">
        <f t="shared" si="2"/>
        <v>NO</v>
      </c>
      <c r="I318" s="7" t="str">
        <f t="shared" si="3"/>
        <v>NO</v>
      </c>
    </row>
    <row r="319">
      <c r="A319" s="4">
        <f>IFERROR(__xludf.DUMMYFUNCTION("""COMPUTED_VALUE"""),1131324.0)</f>
        <v>1131324</v>
      </c>
      <c r="B319" s="4" t="str">
        <f>IFERROR(__xludf.DUMMYFUNCTION("""COMPUTED_VALUE"""),"P3 - Medium")</f>
        <v>P3 - Medium</v>
      </c>
      <c r="C319" s="5">
        <f>IFERROR(__xludf.DUMMYFUNCTION("""COMPUTED_VALUE"""),43557.668587962966)</f>
        <v>43557.66859</v>
      </c>
      <c r="D319" s="4" t="str">
        <f>IFERROR(__xludf.DUMMYFUNCTION("""COMPUTED_VALUE"""),"RESOLVED")</f>
        <v>RESOLVED</v>
      </c>
      <c r="E319" s="6">
        <f>IFERROR(__xludf.DUMMYFUNCTION("""COMPUTED_VALUE"""),43558.40287037037)</f>
        <v>43558.40287</v>
      </c>
      <c r="F319" s="4" t="str">
        <f>IFERROR(__xludf.DUMMYFUNCTION("""COMPUTED_VALUE""")," ---")</f>
        <v> ---</v>
      </c>
      <c r="G319" s="4" t="str">
        <f>IFERROR(__xludf.DUMMYFUNCTION("""COMPUTED_VALUE"""),"SUSE Linux Enterprise Server 15 SP1")</f>
        <v>SUSE Linux Enterprise Server 15 SP1</v>
      </c>
      <c r="H319" s="7" t="str">
        <f t="shared" si="2"/>
        <v>NO</v>
      </c>
      <c r="I319" s="7" t="str">
        <f t="shared" si="3"/>
        <v>NO</v>
      </c>
    </row>
    <row r="320">
      <c r="A320" s="4">
        <f>IFERROR(__xludf.DUMMYFUNCTION("""COMPUTED_VALUE"""),1126762.0)</f>
        <v>1126762</v>
      </c>
      <c r="B320" s="4" t="str">
        <f>IFERROR(__xludf.DUMMYFUNCTION("""COMPUTED_VALUE"""),"P3 - Medium")</f>
        <v>P3 - Medium</v>
      </c>
      <c r="C320" s="5">
        <f>IFERROR(__xludf.DUMMYFUNCTION("""COMPUTED_VALUE"""),43521.428877314815)</f>
        <v>43521.42888</v>
      </c>
      <c r="D320" s="4" t="str">
        <f>IFERROR(__xludf.DUMMYFUNCTION("""COMPUTED_VALUE"""),"RESOLVED")</f>
        <v>RESOLVED</v>
      </c>
      <c r="E320" s="6">
        <f>IFERROR(__xludf.DUMMYFUNCTION("""COMPUTED_VALUE"""),43570.43138888889)</f>
        <v>43570.43139</v>
      </c>
      <c r="F320" s="4" t="str">
        <f>IFERROR(__xludf.DUMMYFUNCTION("""COMPUTED_VALUE""")," ---")</f>
        <v> ---</v>
      </c>
      <c r="G320" s="4" t="str">
        <f>IFERROR(__xludf.DUMMYFUNCTION("""COMPUTED_VALUE"""),"SUSE Linux Enterprise Server 15 SP1")</f>
        <v>SUSE Linux Enterprise Server 15 SP1</v>
      </c>
      <c r="H320" s="7" t="str">
        <f t="shared" si="2"/>
        <v>NO</v>
      </c>
      <c r="I320" s="7" t="str">
        <f t="shared" si="3"/>
        <v>NO</v>
      </c>
    </row>
    <row r="321">
      <c r="A321" s="4">
        <f>IFERROR(__xludf.DUMMYFUNCTION("""COMPUTED_VALUE"""),1104281.0)</f>
        <v>1104281</v>
      </c>
      <c r="B321" s="4" t="str">
        <f>IFERROR(__xludf.DUMMYFUNCTION("""COMPUTED_VALUE"""),"P3 - Medium")</f>
        <v>P3 - Medium</v>
      </c>
      <c r="C321" s="5">
        <f>IFERROR(__xludf.DUMMYFUNCTION("""COMPUTED_VALUE"""),43321.20041666667)</f>
        <v>43321.20042</v>
      </c>
      <c r="D321" s="4" t="str">
        <f>IFERROR(__xludf.DUMMYFUNCTION("""COMPUTED_VALUE"""),"RESOLVED")</f>
        <v>RESOLVED</v>
      </c>
      <c r="E321" s="6">
        <f>IFERROR(__xludf.DUMMYFUNCTION("""COMPUTED_VALUE"""),43630.625081018516)</f>
        <v>43630.62508</v>
      </c>
      <c r="F321" s="4" t="str">
        <f>IFERROR(__xludf.DUMMYFUNCTION("""COMPUTED_VALUE""")," ---")</f>
        <v> ---</v>
      </c>
      <c r="G321" s="4" t="str">
        <f>IFERROR(__xludf.DUMMYFUNCTION("""COMPUTED_VALUE"""),"SUSE Linux Enterprise Server 15 SP1")</f>
        <v>SUSE Linux Enterprise Server 15 SP1</v>
      </c>
      <c r="H321" s="7" t="str">
        <f t="shared" si="2"/>
        <v>NO</v>
      </c>
      <c r="I321" s="7" t="str">
        <f t="shared" si="3"/>
        <v>NO</v>
      </c>
    </row>
    <row r="322">
      <c r="A322" s="4">
        <f>IFERROR(__xludf.DUMMYFUNCTION("""COMPUTED_VALUE"""),1104387.0)</f>
        <v>1104387</v>
      </c>
      <c r="B322" s="4" t="str">
        <f>IFERROR(__xludf.DUMMYFUNCTION("""COMPUTED_VALUE"""),"P3 - Medium")</f>
        <v>P3 - Medium</v>
      </c>
      <c r="C322" s="5">
        <f>IFERROR(__xludf.DUMMYFUNCTION("""COMPUTED_VALUE"""),43321.74585648148)</f>
        <v>43321.74586</v>
      </c>
      <c r="D322" s="4" t="str">
        <f>IFERROR(__xludf.DUMMYFUNCTION("""COMPUTED_VALUE"""),"RESOLVED")</f>
        <v>RESOLVED</v>
      </c>
      <c r="E322" s="6">
        <f>IFERROR(__xludf.DUMMYFUNCTION("""COMPUTED_VALUE"""),43479.28481481481)</f>
        <v>43479.28481</v>
      </c>
      <c r="F322" s="4" t="str">
        <f>IFERROR(__xludf.DUMMYFUNCTION("""COMPUTED_VALUE""")," ---")</f>
        <v> ---</v>
      </c>
      <c r="G322" s="4" t="str">
        <f>IFERROR(__xludf.DUMMYFUNCTION("""COMPUTED_VALUE"""),"SUSE Linux Enterprise Server 15 SP1")</f>
        <v>SUSE Linux Enterprise Server 15 SP1</v>
      </c>
      <c r="H322" s="7" t="str">
        <f t="shared" si="2"/>
        <v>NO</v>
      </c>
      <c r="I322" s="7" t="str">
        <f t="shared" si="3"/>
        <v>NO</v>
      </c>
    </row>
    <row r="323">
      <c r="A323" s="4">
        <f>IFERROR(__xludf.DUMMYFUNCTION("""COMPUTED_VALUE"""),1104395.0)</f>
        <v>1104395</v>
      </c>
      <c r="B323" s="4" t="str">
        <f>IFERROR(__xludf.DUMMYFUNCTION("""COMPUTED_VALUE"""),"P3 - Medium")</f>
        <v>P3 - Medium</v>
      </c>
      <c r="C323" s="5">
        <f>IFERROR(__xludf.DUMMYFUNCTION("""COMPUTED_VALUE"""),43321.766064814816)</f>
        <v>43321.76606</v>
      </c>
      <c r="D323" s="4" t="str">
        <f>IFERROR(__xludf.DUMMYFUNCTION("""COMPUTED_VALUE"""),"RESOLVED")</f>
        <v>RESOLVED</v>
      </c>
      <c r="E323" s="6">
        <f>IFERROR(__xludf.DUMMYFUNCTION("""COMPUTED_VALUE"""),43630.62533564815)</f>
        <v>43630.62534</v>
      </c>
      <c r="F323" s="4" t="str">
        <f>IFERROR(__xludf.DUMMYFUNCTION("""COMPUTED_VALUE""")," ---")</f>
        <v> ---</v>
      </c>
      <c r="G323" s="4" t="str">
        <f>IFERROR(__xludf.DUMMYFUNCTION("""COMPUTED_VALUE"""),"SUSE Linux Enterprise Server 15 SP1")</f>
        <v>SUSE Linux Enterprise Server 15 SP1</v>
      </c>
      <c r="H323" s="7" t="str">
        <f t="shared" si="2"/>
        <v>NO</v>
      </c>
      <c r="I323" s="7" t="str">
        <f t="shared" si="3"/>
        <v>NO</v>
      </c>
    </row>
    <row r="324">
      <c r="A324" s="4">
        <f>IFERROR(__xludf.DUMMYFUNCTION("""COMPUTED_VALUE"""),1105544.0)</f>
        <v>1105544</v>
      </c>
      <c r="B324" s="4" t="str">
        <f>IFERROR(__xludf.DUMMYFUNCTION("""COMPUTED_VALUE"""),"P3 - Medium")</f>
        <v>P3 - Medium</v>
      </c>
      <c r="C324" s="5">
        <f>IFERROR(__xludf.DUMMYFUNCTION("""COMPUTED_VALUE"""),43333.716875)</f>
        <v>43333.71688</v>
      </c>
      <c r="D324" s="4" t="str">
        <f>IFERROR(__xludf.DUMMYFUNCTION("""COMPUTED_VALUE"""),"RESOLVED")</f>
        <v>RESOLVED</v>
      </c>
      <c r="E324" s="6">
        <f>IFERROR(__xludf.DUMMYFUNCTION("""COMPUTED_VALUE"""),43391.276400462964)</f>
        <v>43391.2764</v>
      </c>
      <c r="F324" s="4" t="str">
        <f>IFERROR(__xludf.DUMMYFUNCTION("""COMPUTED_VALUE""")," ---")</f>
        <v> ---</v>
      </c>
      <c r="G324" s="4" t="str">
        <f>IFERROR(__xludf.DUMMYFUNCTION("""COMPUTED_VALUE"""),"SUSE Linux Enterprise Server 15 SP1")</f>
        <v>SUSE Linux Enterprise Server 15 SP1</v>
      </c>
      <c r="H324" s="7" t="str">
        <f t="shared" si="2"/>
        <v>NO</v>
      </c>
      <c r="I324" s="7" t="str">
        <f t="shared" si="3"/>
        <v>NO</v>
      </c>
    </row>
    <row r="325">
      <c r="A325" s="4">
        <f>IFERROR(__xludf.DUMMYFUNCTION("""COMPUTED_VALUE"""),1105547.0)</f>
        <v>1105547</v>
      </c>
      <c r="B325" s="4" t="str">
        <f>IFERROR(__xludf.DUMMYFUNCTION("""COMPUTED_VALUE"""),"P3 - Medium")</f>
        <v>P3 - Medium</v>
      </c>
      <c r="C325" s="5">
        <f>IFERROR(__xludf.DUMMYFUNCTION("""COMPUTED_VALUE"""),43333.72269675926)</f>
        <v>43333.7227</v>
      </c>
      <c r="D325" s="4" t="str">
        <f>IFERROR(__xludf.DUMMYFUNCTION("""COMPUTED_VALUE"""),"RESOLVED")</f>
        <v>RESOLVED</v>
      </c>
      <c r="E325" s="6">
        <f>IFERROR(__xludf.DUMMYFUNCTION("""COMPUTED_VALUE"""),43479.27842592593)</f>
        <v>43479.27843</v>
      </c>
      <c r="F325" s="4" t="str">
        <f>IFERROR(__xludf.DUMMYFUNCTION("""COMPUTED_VALUE""")," ---")</f>
        <v> ---</v>
      </c>
      <c r="G325" s="4" t="str">
        <f>IFERROR(__xludf.DUMMYFUNCTION("""COMPUTED_VALUE"""),"SUSE Linux Enterprise Server 15 SP1")</f>
        <v>SUSE Linux Enterprise Server 15 SP1</v>
      </c>
      <c r="H325" s="7" t="str">
        <f t="shared" si="2"/>
        <v>NO</v>
      </c>
      <c r="I325" s="7" t="str">
        <f t="shared" si="3"/>
        <v>NO</v>
      </c>
    </row>
    <row r="326">
      <c r="A326" s="4">
        <f>IFERROR(__xludf.DUMMYFUNCTION("""COMPUTED_VALUE"""),1105549.0)</f>
        <v>1105549</v>
      </c>
      <c r="B326" s="4" t="str">
        <f>IFERROR(__xludf.DUMMYFUNCTION("""COMPUTED_VALUE"""),"P3 - Medium")</f>
        <v>P3 - Medium</v>
      </c>
      <c r="C326" s="5">
        <f>IFERROR(__xludf.DUMMYFUNCTION("""COMPUTED_VALUE"""),43333.73359953704)</f>
        <v>43333.7336</v>
      </c>
      <c r="D326" s="4" t="str">
        <f>IFERROR(__xludf.DUMMYFUNCTION("""COMPUTED_VALUE"""),"RESOLVED")</f>
        <v>RESOLVED</v>
      </c>
      <c r="E326" s="6">
        <f>IFERROR(__xludf.DUMMYFUNCTION("""COMPUTED_VALUE"""),43391.291817129626)</f>
        <v>43391.29182</v>
      </c>
      <c r="F326" s="4" t="str">
        <f>IFERROR(__xludf.DUMMYFUNCTION("""COMPUTED_VALUE""")," ---")</f>
        <v> ---</v>
      </c>
      <c r="G326" s="4" t="str">
        <f>IFERROR(__xludf.DUMMYFUNCTION("""COMPUTED_VALUE"""),"SUSE Linux Enterprise Server 15 SP1")</f>
        <v>SUSE Linux Enterprise Server 15 SP1</v>
      </c>
      <c r="H326" s="7" t="str">
        <f t="shared" si="2"/>
        <v>NO</v>
      </c>
      <c r="I326" s="7" t="str">
        <f t="shared" si="3"/>
        <v>NO</v>
      </c>
    </row>
    <row r="327">
      <c r="A327" s="4">
        <f>IFERROR(__xludf.DUMMYFUNCTION("""COMPUTED_VALUE"""),1105552.0)</f>
        <v>1105552</v>
      </c>
      <c r="B327" s="4" t="str">
        <f>IFERROR(__xludf.DUMMYFUNCTION("""COMPUTED_VALUE"""),"P3 - Medium")</f>
        <v>P3 - Medium</v>
      </c>
      <c r="C327" s="5">
        <f>IFERROR(__xludf.DUMMYFUNCTION("""COMPUTED_VALUE"""),43333.73715277778)</f>
        <v>43333.73715</v>
      </c>
      <c r="D327" s="4" t="str">
        <f>IFERROR(__xludf.DUMMYFUNCTION("""COMPUTED_VALUE"""),"RESOLVED")</f>
        <v>RESOLVED</v>
      </c>
      <c r="E327" s="6">
        <f>IFERROR(__xludf.DUMMYFUNCTION("""COMPUTED_VALUE"""),43389.572800925926)</f>
        <v>43389.5728</v>
      </c>
      <c r="F327" s="4" t="str">
        <f>IFERROR(__xludf.DUMMYFUNCTION("""COMPUTED_VALUE""")," ---")</f>
        <v> ---</v>
      </c>
      <c r="G327" s="4" t="str">
        <f>IFERROR(__xludf.DUMMYFUNCTION("""COMPUTED_VALUE"""),"SUSE Linux Enterprise Server 15 SP1")</f>
        <v>SUSE Linux Enterprise Server 15 SP1</v>
      </c>
      <c r="H327" s="7" t="str">
        <f t="shared" si="2"/>
        <v>NO</v>
      </c>
      <c r="I327" s="7" t="str">
        <f t="shared" si="3"/>
        <v>NO</v>
      </c>
    </row>
    <row r="328">
      <c r="A328" s="4">
        <f>IFERROR(__xludf.DUMMYFUNCTION("""COMPUTED_VALUE"""),1105554.0)</f>
        <v>1105554</v>
      </c>
      <c r="B328" s="4" t="str">
        <f>IFERROR(__xludf.DUMMYFUNCTION("""COMPUTED_VALUE"""),"P3 - Medium")</f>
        <v>P3 - Medium</v>
      </c>
      <c r="C328" s="5">
        <f>IFERROR(__xludf.DUMMYFUNCTION("""COMPUTED_VALUE"""),43333.741122685184)</f>
        <v>43333.74112</v>
      </c>
      <c r="D328" s="4" t="str">
        <f>IFERROR(__xludf.DUMMYFUNCTION("""COMPUTED_VALUE"""),"RESOLVED")</f>
        <v>RESOLVED</v>
      </c>
      <c r="E328" s="6">
        <f>IFERROR(__xludf.DUMMYFUNCTION("""COMPUTED_VALUE"""),43479.27836805556)</f>
        <v>43479.27837</v>
      </c>
      <c r="F328" s="4" t="str">
        <f>IFERROR(__xludf.DUMMYFUNCTION("""COMPUTED_VALUE""")," ---")</f>
        <v> ---</v>
      </c>
      <c r="G328" s="4" t="str">
        <f>IFERROR(__xludf.DUMMYFUNCTION("""COMPUTED_VALUE"""),"SUSE Linux Enterprise Server 15 SP1")</f>
        <v>SUSE Linux Enterprise Server 15 SP1</v>
      </c>
      <c r="H328" s="7" t="str">
        <f t="shared" si="2"/>
        <v>NO</v>
      </c>
      <c r="I328" s="7" t="str">
        <f t="shared" si="3"/>
        <v>NO</v>
      </c>
    </row>
    <row r="329">
      <c r="A329" s="4">
        <f>IFERROR(__xludf.DUMMYFUNCTION("""COMPUTED_VALUE"""),1106862.0)</f>
        <v>1106862</v>
      </c>
      <c r="B329" s="4" t="str">
        <f>IFERROR(__xludf.DUMMYFUNCTION("""COMPUTED_VALUE"""),"P3 - Medium")</f>
        <v>P3 - Medium</v>
      </c>
      <c r="C329" s="5">
        <f>IFERROR(__xludf.DUMMYFUNCTION("""COMPUTED_VALUE"""),43346.27410879629)</f>
        <v>43346.27411</v>
      </c>
      <c r="D329" s="4" t="str">
        <f>IFERROR(__xludf.DUMMYFUNCTION("""COMPUTED_VALUE"""),"RESOLVED")</f>
        <v>RESOLVED</v>
      </c>
      <c r="E329" s="6">
        <f>IFERROR(__xludf.DUMMYFUNCTION("""COMPUTED_VALUE"""),43507.41962962963)</f>
        <v>43507.41963</v>
      </c>
      <c r="F329" s="4" t="str">
        <f>IFERROR(__xludf.DUMMYFUNCTION("""COMPUTED_VALUE""")," ---")</f>
        <v> ---</v>
      </c>
      <c r="G329" s="4" t="str">
        <f>IFERROR(__xludf.DUMMYFUNCTION("""COMPUTED_VALUE"""),"SUSE Linux Enterprise Server 15 SP1")</f>
        <v>SUSE Linux Enterprise Server 15 SP1</v>
      </c>
      <c r="H329" s="7" t="str">
        <f t="shared" si="2"/>
        <v>NO</v>
      </c>
      <c r="I329" s="7" t="str">
        <f t="shared" si="3"/>
        <v>NO</v>
      </c>
    </row>
    <row r="330">
      <c r="A330" s="4">
        <f>IFERROR(__xludf.DUMMYFUNCTION("""COMPUTED_VALUE"""),1134754.0)</f>
        <v>1134754</v>
      </c>
      <c r="B330" s="4" t="str">
        <f>IFERROR(__xludf.DUMMYFUNCTION("""COMPUTED_VALUE"""),"P3 - Medium")</f>
        <v>P3 - Medium</v>
      </c>
      <c r="C330" s="5">
        <f>IFERROR(__xludf.DUMMYFUNCTION("""COMPUTED_VALUE"""),43595.67197916667)</f>
        <v>43595.67198</v>
      </c>
      <c r="D330" s="4" t="str">
        <f>IFERROR(__xludf.DUMMYFUNCTION("""COMPUTED_VALUE"""),"RESOLVED")</f>
        <v>RESOLVED</v>
      </c>
      <c r="E330" s="6">
        <f>IFERROR(__xludf.DUMMYFUNCTION("""COMPUTED_VALUE"""),43607.57680555555)</f>
        <v>43607.57681</v>
      </c>
      <c r="F330" s="4" t="str">
        <f>IFERROR(__xludf.DUMMYFUNCTION("""COMPUTED_VALUE""")," ---")</f>
        <v> ---</v>
      </c>
      <c r="G330" s="4" t="str">
        <f>IFERROR(__xludf.DUMMYFUNCTION("""COMPUTED_VALUE"""),"SUSE Linux Enterprise Server 15 SP1")</f>
        <v>SUSE Linux Enterprise Server 15 SP1</v>
      </c>
      <c r="H330" s="7" t="str">
        <f t="shared" si="2"/>
        <v>NO</v>
      </c>
      <c r="I330" s="7" t="str">
        <f t="shared" si="3"/>
        <v>NO</v>
      </c>
    </row>
    <row r="331">
      <c r="A331" s="4">
        <f>IFERROR(__xludf.DUMMYFUNCTION("""COMPUTED_VALUE"""),1123657.0)</f>
        <v>1123657</v>
      </c>
      <c r="B331" s="4" t="str">
        <f>IFERROR(__xludf.DUMMYFUNCTION("""COMPUTED_VALUE"""),"P3 - Medium")</f>
        <v>P3 - Medium</v>
      </c>
      <c r="C331" s="5">
        <f>IFERROR(__xludf.DUMMYFUNCTION("""COMPUTED_VALUE"""),43495.42053240741)</f>
        <v>43495.42053</v>
      </c>
      <c r="D331" s="4" t="str">
        <f>IFERROR(__xludf.DUMMYFUNCTION("""COMPUTED_VALUE"""),"RESOLVED")</f>
        <v>RESOLVED</v>
      </c>
      <c r="E331" s="6">
        <f>IFERROR(__xludf.DUMMYFUNCTION("""COMPUTED_VALUE"""),43496.5330787037)</f>
        <v>43496.53308</v>
      </c>
      <c r="F331" s="4" t="str">
        <f>IFERROR(__xludf.DUMMYFUNCTION("""COMPUTED_VALUE""")," ---")</f>
        <v> ---</v>
      </c>
      <c r="G331" s="4" t="str">
        <f>IFERROR(__xludf.DUMMYFUNCTION("""COMPUTED_VALUE"""),"SUSE Linux Enterprise Server 15 SP1")</f>
        <v>SUSE Linux Enterprise Server 15 SP1</v>
      </c>
      <c r="H331" s="7" t="str">
        <f t="shared" si="2"/>
        <v>NO</v>
      </c>
      <c r="I331" s="7" t="str">
        <f t="shared" si="3"/>
        <v>NO</v>
      </c>
    </row>
    <row r="332">
      <c r="A332" s="4">
        <f>IFERROR(__xludf.DUMMYFUNCTION("""COMPUTED_VALUE"""),1130666.0)</f>
        <v>1130666</v>
      </c>
      <c r="B332" s="4" t="str">
        <f>IFERROR(__xludf.DUMMYFUNCTION("""COMPUTED_VALUE"""),"P3 - Medium")</f>
        <v>P3 - Medium</v>
      </c>
      <c r="C332" s="5">
        <f>IFERROR(__xludf.DUMMYFUNCTION("""COMPUTED_VALUE"""),43551.466875)</f>
        <v>43551.46688</v>
      </c>
      <c r="D332" s="4" t="str">
        <f>IFERROR(__xludf.DUMMYFUNCTION("""COMPUTED_VALUE"""),"RESOLVED")</f>
        <v>RESOLVED</v>
      </c>
      <c r="E332" s="6">
        <f>IFERROR(__xludf.DUMMYFUNCTION("""COMPUTED_VALUE"""),43558.58583333333)</f>
        <v>43558.58583</v>
      </c>
      <c r="F332" s="4" t="str">
        <f>IFERROR(__xludf.DUMMYFUNCTION("""COMPUTED_VALUE""")," ---")</f>
        <v> ---</v>
      </c>
      <c r="G332" s="4" t="str">
        <f>IFERROR(__xludf.DUMMYFUNCTION("""COMPUTED_VALUE"""),"SUSE Linux Enterprise Server 15 SP1")</f>
        <v>SUSE Linux Enterprise Server 15 SP1</v>
      </c>
      <c r="H332" s="7" t="str">
        <f t="shared" si="2"/>
        <v>NO</v>
      </c>
      <c r="I332" s="7" t="str">
        <f t="shared" si="3"/>
        <v>NO</v>
      </c>
    </row>
    <row r="333">
      <c r="A333" s="4">
        <f>IFERROR(__xludf.DUMMYFUNCTION("""COMPUTED_VALUE"""),1138504.0)</f>
        <v>1138504</v>
      </c>
      <c r="B333" s="4" t="str">
        <f>IFERROR(__xludf.DUMMYFUNCTION("""COMPUTED_VALUE"""),"P3 - Medium")</f>
        <v>P3 - Medium</v>
      </c>
      <c r="C333" s="5">
        <f>IFERROR(__xludf.DUMMYFUNCTION("""COMPUTED_VALUE"""),43634.0252662037)</f>
        <v>43634.02527</v>
      </c>
      <c r="D333" s="4" t="str">
        <f>IFERROR(__xludf.DUMMYFUNCTION("""COMPUTED_VALUE"""),"RESOLVED")</f>
        <v>RESOLVED</v>
      </c>
      <c r="E333" s="6">
        <f>IFERROR(__xludf.DUMMYFUNCTION("""COMPUTED_VALUE"""),43732.87070601852)</f>
        <v>43732.87071</v>
      </c>
      <c r="F333" s="4" t="str">
        <f>IFERROR(__xludf.DUMMYFUNCTION("""COMPUTED_VALUE""")," ---")</f>
        <v> ---</v>
      </c>
      <c r="G333" s="4" t="str">
        <f>IFERROR(__xludf.DUMMYFUNCTION("""COMPUTED_VALUE"""),"SUSE Linux Enterprise Server 15 SP1")</f>
        <v>SUSE Linux Enterprise Server 15 SP1</v>
      </c>
      <c r="H333" s="7" t="str">
        <f t="shared" si="2"/>
        <v>NO</v>
      </c>
      <c r="I333" s="7" t="str">
        <f t="shared" si="3"/>
        <v>NO</v>
      </c>
    </row>
    <row r="334">
      <c r="A334" s="4">
        <f>IFERROR(__xludf.DUMMYFUNCTION("""COMPUTED_VALUE"""),1104275.0)</f>
        <v>1104275</v>
      </c>
      <c r="B334" s="4" t="str">
        <f>IFERROR(__xludf.DUMMYFUNCTION("""COMPUTED_VALUE"""),"P3 - Medium")</f>
        <v>P3 - Medium</v>
      </c>
      <c r="C334" s="5">
        <f>IFERROR(__xludf.DUMMYFUNCTION("""COMPUTED_VALUE"""),43321.17234953704)</f>
        <v>43321.17235</v>
      </c>
      <c r="D334" s="4" t="str">
        <f>IFERROR(__xludf.DUMMYFUNCTION("""COMPUTED_VALUE"""),"RESOLVED")</f>
        <v>RESOLVED</v>
      </c>
      <c r="E334" s="6">
        <f>IFERROR(__xludf.DUMMYFUNCTION("""COMPUTED_VALUE"""),43630.624872685185)</f>
        <v>43630.62487</v>
      </c>
      <c r="F334" s="4" t="str">
        <f>IFERROR(__xludf.DUMMYFUNCTION("""COMPUTED_VALUE""")," ---")</f>
        <v> ---</v>
      </c>
      <c r="G334" s="4" t="str">
        <f>IFERROR(__xludf.DUMMYFUNCTION("""COMPUTED_VALUE"""),"SUSE Linux Enterprise Server 15 SP1")</f>
        <v>SUSE Linux Enterprise Server 15 SP1</v>
      </c>
      <c r="H334" s="7" t="str">
        <f t="shared" si="2"/>
        <v>NO</v>
      </c>
      <c r="I334" s="7" t="str">
        <f t="shared" si="3"/>
        <v>NO</v>
      </c>
    </row>
    <row r="335">
      <c r="A335" s="4">
        <f>IFERROR(__xludf.DUMMYFUNCTION("""COMPUTED_VALUE"""),1104278.0)</f>
        <v>1104278</v>
      </c>
      <c r="B335" s="4" t="str">
        <f>IFERROR(__xludf.DUMMYFUNCTION("""COMPUTED_VALUE"""),"P3 - Medium")</f>
        <v>P3 - Medium</v>
      </c>
      <c r="C335" s="5">
        <f>IFERROR(__xludf.DUMMYFUNCTION("""COMPUTED_VALUE"""),43321.188263888886)</f>
        <v>43321.18826</v>
      </c>
      <c r="D335" s="4" t="str">
        <f>IFERROR(__xludf.DUMMYFUNCTION("""COMPUTED_VALUE"""),"RESOLVED")</f>
        <v>RESOLVED</v>
      </c>
      <c r="E335" s="6">
        <f>IFERROR(__xludf.DUMMYFUNCTION("""COMPUTED_VALUE"""),43630.62498842592)</f>
        <v>43630.62499</v>
      </c>
      <c r="F335" s="4" t="str">
        <f>IFERROR(__xludf.DUMMYFUNCTION("""COMPUTED_VALUE""")," ---")</f>
        <v> ---</v>
      </c>
      <c r="G335" s="4" t="str">
        <f>IFERROR(__xludf.DUMMYFUNCTION("""COMPUTED_VALUE"""),"SUSE Linux Enterprise Server 15 SP1")</f>
        <v>SUSE Linux Enterprise Server 15 SP1</v>
      </c>
      <c r="H335" s="7" t="str">
        <f t="shared" si="2"/>
        <v>NO</v>
      </c>
      <c r="I335" s="7" t="str">
        <f t="shared" si="3"/>
        <v>NO</v>
      </c>
    </row>
    <row r="336">
      <c r="A336" s="4">
        <f>IFERROR(__xludf.DUMMYFUNCTION("""COMPUTED_VALUE"""),1104282.0)</f>
        <v>1104282</v>
      </c>
      <c r="B336" s="4" t="str">
        <f>IFERROR(__xludf.DUMMYFUNCTION("""COMPUTED_VALUE"""),"P3 - Medium")</f>
        <v>P3 - Medium</v>
      </c>
      <c r="C336" s="5">
        <f>IFERROR(__xludf.DUMMYFUNCTION("""COMPUTED_VALUE"""),43321.203518518516)</f>
        <v>43321.20352</v>
      </c>
      <c r="D336" s="4" t="str">
        <f>IFERROR(__xludf.DUMMYFUNCTION("""COMPUTED_VALUE"""),"RESOLVED")</f>
        <v>RESOLVED</v>
      </c>
      <c r="E336" s="6">
        <f>IFERROR(__xludf.DUMMYFUNCTION("""COMPUTED_VALUE"""),43399.0700462963)</f>
        <v>43399.07005</v>
      </c>
      <c r="F336" s="4" t="str">
        <f>IFERROR(__xludf.DUMMYFUNCTION("""COMPUTED_VALUE""")," ---")</f>
        <v> ---</v>
      </c>
      <c r="G336" s="4" t="str">
        <f>IFERROR(__xludf.DUMMYFUNCTION("""COMPUTED_VALUE"""),"SUSE Linux Enterprise Server 15 SP1")</f>
        <v>SUSE Linux Enterprise Server 15 SP1</v>
      </c>
      <c r="H336" s="7" t="str">
        <f t="shared" si="2"/>
        <v>NO</v>
      </c>
      <c r="I336" s="7" t="str">
        <f t="shared" si="3"/>
        <v>NO</v>
      </c>
    </row>
    <row r="337">
      <c r="A337" s="4">
        <f>IFERROR(__xludf.DUMMYFUNCTION("""COMPUTED_VALUE"""),1104394.0)</f>
        <v>1104394</v>
      </c>
      <c r="B337" s="4" t="str">
        <f>IFERROR(__xludf.DUMMYFUNCTION("""COMPUTED_VALUE"""),"P3 - Medium")</f>
        <v>P3 - Medium</v>
      </c>
      <c r="C337" s="5">
        <f>IFERROR(__xludf.DUMMYFUNCTION("""COMPUTED_VALUE"""),43321.75171296296)</f>
        <v>43321.75171</v>
      </c>
      <c r="D337" s="4" t="str">
        <f>IFERROR(__xludf.DUMMYFUNCTION("""COMPUTED_VALUE"""),"RESOLVED")</f>
        <v>RESOLVED</v>
      </c>
      <c r="E337" s="6">
        <f>IFERROR(__xludf.DUMMYFUNCTION("""COMPUTED_VALUE"""),43630.62530092592)</f>
        <v>43630.6253</v>
      </c>
      <c r="F337" s="4" t="str">
        <f>IFERROR(__xludf.DUMMYFUNCTION("""COMPUTED_VALUE""")," ---")</f>
        <v> ---</v>
      </c>
      <c r="G337" s="4" t="str">
        <f>IFERROR(__xludf.DUMMYFUNCTION("""COMPUTED_VALUE"""),"SUSE Linux Enterprise Server 15 SP1")</f>
        <v>SUSE Linux Enterprise Server 15 SP1</v>
      </c>
      <c r="H337" s="7" t="str">
        <f t="shared" si="2"/>
        <v>NO</v>
      </c>
      <c r="I337" s="7" t="str">
        <f t="shared" si="3"/>
        <v>NO</v>
      </c>
    </row>
    <row r="338">
      <c r="A338" s="4">
        <f>IFERROR(__xludf.DUMMYFUNCTION("""COMPUTED_VALUE"""),1104422.0)</f>
        <v>1104422</v>
      </c>
      <c r="B338" s="4" t="str">
        <f>IFERROR(__xludf.DUMMYFUNCTION("""COMPUTED_VALUE"""),"P3 - Medium")</f>
        <v>P3 - Medium</v>
      </c>
      <c r="C338" s="5">
        <f>IFERROR(__xludf.DUMMYFUNCTION("""COMPUTED_VALUE"""),43321.85957175926)</f>
        <v>43321.85957</v>
      </c>
      <c r="D338" s="4" t="str">
        <f>IFERROR(__xludf.DUMMYFUNCTION("""COMPUTED_VALUE"""),"RESOLVED")</f>
        <v>RESOLVED</v>
      </c>
      <c r="E338" s="6">
        <f>IFERROR(__xludf.DUMMYFUNCTION("""COMPUTED_VALUE"""),43630.625625)</f>
        <v>43630.62563</v>
      </c>
      <c r="F338" s="4" t="str">
        <f>IFERROR(__xludf.DUMMYFUNCTION("""COMPUTED_VALUE""")," ---")</f>
        <v> ---</v>
      </c>
      <c r="G338" s="4" t="str">
        <f>IFERROR(__xludf.DUMMYFUNCTION("""COMPUTED_VALUE"""),"SUSE Linux Enterprise Server 15 SP1")</f>
        <v>SUSE Linux Enterprise Server 15 SP1</v>
      </c>
      <c r="H338" s="7" t="str">
        <f t="shared" si="2"/>
        <v>NO</v>
      </c>
      <c r="I338" s="7" t="str">
        <f t="shared" si="3"/>
        <v>NO</v>
      </c>
    </row>
    <row r="339">
      <c r="A339" s="4">
        <f>IFERROR(__xludf.DUMMYFUNCTION("""COMPUTED_VALUE"""),1104426.0)</f>
        <v>1104426</v>
      </c>
      <c r="B339" s="4" t="str">
        <f>IFERROR(__xludf.DUMMYFUNCTION("""COMPUTED_VALUE"""),"P3 - Medium")</f>
        <v>P3 - Medium</v>
      </c>
      <c r="C339" s="5">
        <f>IFERROR(__xludf.DUMMYFUNCTION("""COMPUTED_VALUE"""),43321.866643518515)</f>
        <v>43321.86664</v>
      </c>
      <c r="D339" s="4" t="str">
        <f>IFERROR(__xludf.DUMMYFUNCTION("""COMPUTED_VALUE"""),"RESOLVED")</f>
        <v>RESOLVED</v>
      </c>
      <c r="E339" s="6">
        <f>IFERROR(__xludf.DUMMYFUNCTION("""COMPUTED_VALUE"""),43399.07402777778)</f>
        <v>43399.07403</v>
      </c>
      <c r="F339" s="4" t="str">
        <f>IFERROR(__xludf.DUMMYFUNCTION("""COMPUTED_VALUE""")," ---")</f>
        <v> ---</v>
      </c>
      <c r="G339" s="4" t="str">
        <f>IFERROR(__xludf.DUMMYFUNCTION("""COMPUTED_VALUE"""),"SUSE Linux Enterprise Server 15 SP1")</f>
        <v>SUSE Linux Enterprise Server 15 SP1</v>
      </c>
      <c r="H339" s="7" t="str">
        <f t="shared" si="2"/>
        <v>NO</v>
      </c>
      <c r="I339" s="7" t="str">
        <f t="shared" si="3"/>
        <v>NO</v>
      </c>
    </row>
    <row r="340">
      <c r="A340" s="4">
        <f>IFERROR(__xludf.DUMMYFUNCTION("""COMPUTED_VALUE"""),1104738.0)</f>
        <v>1104738</v>
      </c>
      <c r="B340" s="4" t="str">
        <f>IFERROR(__xludf.DUMMYFUNCTION("""COMPUTED_VALUE"""),"P3 - Medium")</f>
        <v>P3 - Medium</v>
      </c>
      <c r="C340" s="5">
        <f>IFERROR(__xludf.DUMMYFUNCTION("""COMPUTED_VALUE"""),43325.94236111111)</f>
        <v>43325.94236</v>
      </c>
      <c r="D340" s="4" t="str">
        <f>IFERROR(__xludf.DUMMYFUNCTION("""COMPUTED_VALUE"""),"RESOLVED")</f>
        <v>RESOLVED</v>
      </c>
      <c r="E340" s="6">
        <f>IFERROR(__xludf.DUMMYFUNCTION("""COMPUTED_VALUE"""),43630.62583333333)</f>
        <v>43630.62583</v>
      </c>
      <c r="F340" s="4" t="str">
        <f>IFERROR(__xludf.DUMMYFUNCTION("""COMPUTED_VALUE""")," ---")</f>
        <v> ---</v>
      </c>
      <c r="G340" s="4" t="str">
        <f>IFERROR(__xludf.DUMMYFUNCTION("""COMPUTED_VALUE"""),"SUSE Linux Enterprise Server 15 SP1")</f>
        <v>SUSE Linux Enterprise Server 15 SP1</v>
      </c>
      <c r="H340" s="7" t="str">
        <f t="shared" si="2"/>
        <v>NO</v>
      </c>
      <c r="I340" s="7" t="str">
        <f t="shared" si="3"/>
        <v>NO</v>
      </c>
    </row>
    <row r="341">
      <c r="A341" s="4">
        <f>IFERROR(__xludf.DUMMYFUNCTION("""COMPUTED_VALUE"""),1122961.0)</f>
        <v>1122961</v>
      </c>
      <c r="B341" s="4" t="str">
        <f>IFERROR(__xludf.DUMMYFUNCTION("""COMPUTED_VALUE"""),"P3 - Medium")</f>
        <v>P3 - Medium</v>
      </c>
      <c r="C341" s="5">
        <f>IFERROR(__xludf.DUMMYFUNCTION("""COMPUTED_VALUE"""),43489.24444444444)</f>
        <v>43489.24444</v>
      </c>
      <c r="D341" s="4" t="str">
        <f>IFERROR(__xludf.DUMMYFUNCTION("""COMPUTED_VALUE"""),"RESOLVED")</f>
        <v>RESOLVED</v>
      </c>
      <c r="E341" s="6">
        <f>IFERROR(__xludf.DUMMYFUNCTION("""COMPUTED_VALUE"""),43599.83497685185)</f>
        <v>43599.83498</v>
      </c>
      <c r="F341" s="4" t="str">
        <f>IFERROR(__xludf.DUMMYFUNCTION("""COMPUTED_VALUE""")," ---")</f>
        <v> ---</v>
      </c>
      <c r="G341" s="4" t="str">
        <f>IFERROR(__xludf.DUMMYFUNCTION("""COMPUTED_VALUE"""),"SUSE Linux Enterprise Server 15 SP1")</f>
        <v>SUSE Linux Enterprise Server 15 SP1</v>
      </c>
      <c r="H341" s="7" t="str">
        <f t="shared" si="2"/>
        <v>NO</v>
      </c>
      <c r="I341" s="7" t="str">
        <f t="shared" si="3"/>
        <v>NO</v>
      </c>
    </row>
    <row r="342">
      <c r="A342" s="4">
        <f>IFERROR(__xludf.DUMMYFUNCTION("""COMPUTED_VALUE"""),1126738.0)</f>
        <v>1126738</v>
      </c>
      <c r="B342" s="4" t="str">
        <f>IFERROR(__xludf.DUMMYFUNCTION("""COMPUTED_VALUE"""),"P3 - Medium")</f>
        <v>P3 - Medium</v>
      </c>
      <c r="C342" s="5">
        <f>IFERROR(__xludf.DUMMYFUNCTION("""COMPUTED_VALUE"""),43521.347083333334)</f>
        <v>43521.34708</v>
      </c>
      <c r="D342" s="4" t="str">
        <f>IFERROR(__xludf.DUMMYFUNCTION("""COMPUTED_VALUE"""),"RESOLVED")</f>
        <v>RESOLVED</v>
      </c>
      <c r="E342" s="6">
        <f>IFERROR(__xludf.DUMMYFUNCTION("""COMPUTED_VALUE"""),43648.97929398148)</f>
        <v>43648.97929</v>
      </c>
      <c r="F342" s="4" t="str">
        <f>IFERROR(__xludf.DUMMYFUNCTION("""COMPUTED_VALUE""")," ---")</f>
        <v> ---</v>
      </c>
      <c r="G342" s="4" t="str">
        <f>IFERROR(__xludf.DUMMYFUNCTION("""COMPUTED_VALUE"""),"SUSE Linux Enterprise Server 15 SP1")</f>
        <v>SUSE Linux Enterprise Server 15 SP1</v>
      </c>
      <c r="H342" s="7" t="str">
        <f t="shared" si="2"/>
        <v>NO</v>
      </c>
      <c r="I342" s="7" t="str">
        <f t="shared" si="3"/>
        <v>NO</v>
      </c>
    </row>
    <row r="343">
      <c r="A343" s="4">
        <f>IFERROR(__xludf.DUMMYFUNCTION("""COMPUTED_VALUE"""),1135021.0)</f>
        <v>1135021</v>
      </c>
      <c r="B343" s="4" t="str">
        <f>IFERROR(__xludf.DUMMYFUNCTION("""COMPUTED_VALUE"""),"P3 - Medium")</f>
        <v>P3 - Medium</v>
      </c>
      <c r="C343" s="5">
        <f>IFERROR(__xludf.DUMMYFUNCTION("""COMPUTED_VALUE"""),43599.43896990741)</f>
        <v>43599.43897</v>
      </c>
      <c r="D343" s="4" t="str">
        <f>IFERROR(__xludf.DUMMYFUNCTION("""COMPUTED_VALUE"""),"RESOLVED")</f>
        <v>RESOLVED</v>
      </c>
      <c r="E343" s="6">
        <f>IFERROR(__xludf.DUMMYFUNCTION("""COMPUTED_VALUE"""),43731.94603009259)</f>
        <v>43731.94603</v>
      </c>
      <c r="F343" s="4" t="str">
        <f>IFERROR(__xludf.DUMMYFUNCTION("""COMPUTED_VALUE""")," ---")</f>
        <v> ---</v>
      </c>
      <c r="G343" s="4" t="str">
        <f>IFERROR(__xludf.DUMMYFUNCTION("""COMPUTED_VALUE"""),"Beta SUSE Linux Enterprise Server 15 SP1")</f>
        <v>Beta SUSE Linux Enterprise Server 15 SP1</v>
      </c>
      <c r="H343" s="7" t="str">
        <f t="shared" si="2"/>
        <v>NO</v>
      </c>
      <c r="I343" s="7" t="str">
        <f t="shared" si="3"/>
        <v>NO</v>
      </c>
    </row>
    <row r="344">
      <c r="A344" s="4">
        <f>IFERROR(__xludf.DUMMYFUNCTION("""COMPUTED_VALUE"""),1135024.0)</f>
        <v>1135024</v>
      </c>
      <c r="B344" s="4" t="str">
        <f>IFERROR(__xludf.DUMMYFUNCTION("""COMPUTED_VALUE"""),"P3 - Medium")</f>
        <v>P3 - Medium</v>
      </c>
      <c r="C344" s="5">
        <f>IFERROR(__xludf.DUMMYFUNCTION("""COMPUTED_VALUE"""),43599.44063657407)</f>
        <v>43599.44064</v>
      </c>
      <c r="D344" s="4" t="str">
        <f>IFERROR(__xludf.DUMMYFUNCTION("""COMPUTED_VALUE"""),"RESOLVED")</f>
        <v>RESOLVED</v>
      </c>
      <c r="E344" s="6">
        <f>IFERROR(__xludf.DUMMYFUNCTION("""COMPUTED_VALUE"""),43731.94609953704)</f>
        <v>43731.9461</v>
      </c>
      <c r="F344" s="4" t="str">
        <f>IFERROR(__xludf.DUMMYFUNCTION("""COMPUTED_VALUE""")," ---")</f>
        <v> ---</v>
      </c>
      <c r="G344" s="4" t="str">
        <f>IFERROR(__xludf.DUMMYFUNCTION("""COMPUTED_VALUE"""),"Beta SUSE Linux Enterprise Server 15 SP1")</f>
        <v>Beta SUSE Linux Enterprise Server 15 SP1</v>
      </c>
      <c r="H344" s="7" t="str">
        <f t="shared" si="2"/>
        <v>NO</v>
      </c>
      <c r="I344" s="7" t="str">
        <f t="shared" si="3"/>
        <v>NO</v>
      </c>
    </row>
    <row r="345">
      <c r="A345" s="4">
        <f>IFERROR(__xludf.DUMMYFUNCTION("""COMPUTED_VALUE"""),1135026.0)</f>
        <v>1135026</v>
      </c>
      <c r="B345" s="4" t="str">
        <f>IFERROR(__xludf.DUMMYFUNCTION("""COMPUTED_VALUE"""),"P3 - Medium")</f>
        <v>P3 - Medium</v>
      </c>
      <c r="C345" s="5">
        <f>IFERROR(__xludf.DUMMYFUNCTION("""COMPUTED_VALUE"""),43599.45704861111)</f>
        <v>43599.45705</v>
      </c>
      <c r="D345" s="4" t="str">
        <f>IFERROR(__xludf.DUMMYFUNCTION("""COMPUTED_VALUE"""),"RESOLVED")</f>
        <v>RESOLVED</v>
      </c>
      <c r="E345" s="6">
        <f>IFERROR(__xludf.DUMMYFUNCTION("""COMPUTED_VALUE"""),43731.94615740741)</f>
        <v>43731.94616</v>
      </c>
      <c r="F345" s="4" t="str">
        <f>IFERROR(__xludf.DUMMYFUNCTION("""COMPUTED_VALUE""")," ---")</f>
        <v> ---</v>
      </c>
      <c r="G345" s="4" t="str">
        <f>IFERROR(__xludf.DUMMYFUNCTION("""COMPUTED_VALUE"""),"Beta SUSE Linux Enterprise Server 15 SP1")</f>
        <v>Beta SUSE Linux Enterprise Server 15 SP1</v>
      </c>
      <c r="H345" s="7" t="str">
        <f t="shared" si="2"/>
        <v>NO</v>
      </c>
      <c r="I345" s="7" t="str">
        <f t="shared" si="3"/>
        <v>NO</v>
      </c>
    </row>
    <row r="346">
      <c r="A346" s="4">
        <f>IFERROR(__xludf.DUMMYFUNCTION("""COMPUTED_VALUE"""),1135027.0)</f>
        <v>1135027</v>
      </c>
      <c r="B346" s="4" t="str">
        <f>IFERROR(__xludf.DUMMYFUNCTION("""COMPUTED_VALUE"""),"P3 - Medium")</f>
        <v>P3 - Medium</v>
      </c>
      <c r="C346" s="5">
        <f>IFERROR(__xludf.DUMMYFUNCTION("""COMPUTED_VALUE"""),43599.45961805555)</f>
        <v>43599.45962</v>
      </c>
      <c r="D346" s="4" t="str">
        <f>IFERROR(__xludf.DUMMYFUNCTION("""COMPUTED_VALUE"""),"RESOLVED")</f>
        <v>RESOLVED</v>
      </c>
      <c r="E346" s="6">
        <f>IFERROR(__xludf.DUMMYFUNCTION("""COMPUTED_VALUE"""),43731.946226851855)</f>
        <v>43731.94623</v>
      </c>
      <c r="F346" s="4" t="str">
        <f>IFERROR(__xludf.DUMMYFUNCTION("""COMPUTED_VALUE""")," ---")</f>
        <v> ---</v>
      </c>
      <c r="G346" s="4" t="str">
        <f>IFERROR(__xludf.DUMMYFUNCTION("""COMPUTED_VALUE"""),"Beta SUSE Linux Enterprise Server 15 SP1")</f>
        <v>Beta SUSE Linux Enterprise Server 15 SP1</v>
      </c>
      <c r="H346" s="7" t="str">
        <f t="shared" si="2"/>
        <v>NO</v>
      </c>
      <c r="I346" s="7" t="str">
        <f t="shared" si="3"/>
        <v>NO</v>
      </c>
    </row>
    <row r="347">
      <c r="A347" s="4">
        <f>IFERROR(__xludf.DUMMYFUNCTION("""COMPUTED_VALUE"""),1135028.0)</f>
        <v>1135028</v>
      </c>
      <c r="B347" s="4" t="str">
        <f>IFERROR(__xludf.DUMMYFUNCTION("""COMPUTED_VALUE"""),"P3 - Medium")</f>
        <v>P3 - Medium</v>
      </c>
      <c r="C347" s="5">
        <f>IFERROR(__xludf.DUMMYFUNCTION("""COMPUTED_VALUE"""),43599.46107638889)</f>
        <v>43599.46108</v>
      </c>
      <c r="D347" s="4" t="str">
        <f>IFERROR(__xludf.DUMMYFUNCTION("""COMPUTED_VALUE"""),"RESOLVED")</f>
        <v>RESOLVED</v>
      </c>
      <c r="E347" s="6">
        <f>IFERROR(__xludf.DUMMYFUNCTION("""COMPUTED_VALUE"""),43731.94629629629)</f>
        <v>43731.9463</v>
      </c>
      <c r="F347" s="4" t="str">
        <f>IFERROR(__xludf.DUMMYFUNCTION("""COMPUTED_VALUE""")," ---")</f>
        <v> ---</v>
      </c>
      <c r="G347" s="4" t="str">
        <f>IFERROR(__xludf.DUMMYFUNCTION("""COMPUTED_VALUE"""),"Beta SUSE Linux Enterprise Server 15 SP1")</f>
        <v>Beta SUSE Linux Enterprise Server 15 SP1</v>
      </c>
      <c r="H347" s="7" t="str">
        <f t="shared" si="2"/>
        <v>NO</v>
      </c>
      <c r="I347" s="7" t="str">
        <f t="shared" si="3"/>
        <v>NO</v>
      </c>
    </row>
    <row r="348">
      <c r="A348" s="4">
        <f>IFERROR(__xludf.DUMMYFUNCTION("""COMPUTED_VALUE"""),1135029.0)</f>
        <v>1135029</v>
      </c>
      <c r="B348" s="4" t="str">
        <f>IFERROR(__xludf.DUMMYFUNCTION("""COMPUTED_VALUE"""),"P3 - Medium")</f>
        <v>P3 - Medium</v>
      </c>
      <c r="C348" s="5">
        <f>IFERROR(__xludf.DUMMYFUNCTION("""COMPUTED_VALUE"""),43599.462164351855)</f>
        <v>43599.46216</v>
      </c>
      <c r="D348" s="4" t="str">
        <f>IFERROR(__xludf.DUMMYFUNCTION("""COMPUTED_VALUE"""),"RESOLVED")</f>
        <v>RESOLVED</v>
      </c>
      <c r="E348" s="6">
        <f>IFERROR(__xludf.DUMMYFUNCTION("""COMPUTED_VALUE"""),43731.94636574074)</f>
        <v>43731.94637</v>
      </c>
      <c r="F348" s="4" t="str">
        <f>IFERROR(__xludf.DUMMYFUNCTION("""COMPUTED_VALUE""")," ---")</f>
        <v> ---</v>
      </c>
      <c r="G348" s="4" t="str">
        <f>IFERROR(__xludf.DUMMYFUNCTION("""COMPUTED_VALUE"""),"Beta SUSE Linux Enterprise Server 15 SP1")</f>
        <v>Beta SUSE Linux Enterprise Server 15 SP1</v>
      </c>
      <c r="H348" s="7" t="str">
        <f t="shared" si="2"/>
        <v>NO</v>
      </c>
      <c r="I348" s="7" t="str">
        <f t="shared" si="3"/>
        <v>NO</v>
      </c>
    </row>
    <row r="349">
      <c r="A349" s="4">
        <f>IFERROR(__xludf.DUMMYFUNCTION("""COMPUTED_VALUE"""),1135031.0)</f>
        <v>1135031</v>
      </c>
      <c r="B349" s="4" t="str">
        <f>IFERROR(__xludf.DUMMYFUNCTION("""COMPUTED_VALUE"""),"P3 - Medium")</f>
        <v>P3 - Medium</v>
      </c>
      <c r="C349" s="5">
        <f>IFERROR(__xludf.DUMMYFUNCTION("""COMPUTED_VALUE"""),43599.46399305556)</f>
        <v>43599.46399</v>
      </c>
      <c r="D349" s="4" t="str">
        <f>IFERROR(__xludf.DUMMYFUNCTION("""COMPUTED_VALUE"""),"RESOLVED")</f>
        <v>RESOLVED</v>
      </c>
      <c r="E349" s="6">
        <f>IFERROR(__xludf.DUMMYFUNCTION("""COMPUTED_VALUE"""),43731.94642361111)</f>
        <v>43731.94642</v>
      </c>
      <c r="F349" s="4" t="str">
        <f>IFERROR(__xludf.DUMMYFUNCTION("""COMPUTED_VALUE""")," ---")</f>
        <v> ---</v>
      </c>
      <c r="G349" s="4" t="str">
        <f>IFERROR(__xludf.DUMMYFUNCTION("""COMPUTED_VALUE"""),"Beta SUSE Linux Enterprise Server 15 SP1")</f>
        <v>Beta SUSE Linux Enterprise Server 15 SP1</v>
      </c>
      <c r="H349" s="7" t="str">
        <f t="shared" si="2"/>
        <v>NO</v>
      </c>
      <c r="I349" s="7" t="str">
        <f t="shared" si="3"/>
        <v>NO</v>
      </c>
    </row>
    <row r="350">
      <c r="A350" s="4">
        <f>IFERROR(__xludf.DUMMYFUNCTION("""COMPUTED_VALUE"""),1135033.0)</f>
        <v>1135033</v>
      </c>
      <c r="B350" s="4" t="str">
        <f>IFERROR(__xludf.DUMMYFUNCTION("""COMPUTED_VALUE"""),"P3 - Medium")</f>
        <v>P3 - Medium</v>
      </c>
      <c r="C350" s="5">
        <f>IFERROR(__xludf.DUMMYFUNCTION("""COMPUTED_VALUE"""),43599.46524305556)</f>
        <v>43599.46524</v>
      </c>
      <c r="D350" s="4" t="str">
        <f>IFERROR(__xludf.DUMMYFUNCTION("""COMPUTED_VALUE"""),"RESOLVED")</f>
        <v>RESOLVED</v>
      </c>
      <c r="E350" s="6">
        <f>IFERROR(__xludf.DUMMYFUNCTION("""COMPUTED_VALUE"""),43731.946493055555)</f>
        <v>43731.94649</v>
      </c>
      <c r="F350" s="4" t="str">
        <f>IFERROR(__xludf.DUMMYFUNCTION("""COMPUTED_VALUE""")," ---")</f>
        <v> ---</v>
      </c>
      <c r="G350" s="4" t="str">
        <f>IFERROR(__xludf.DUMMYFUNCTION("""COMPUTED_VALUE"""),"Beta SUSE Linux Enterprise Server 15 SP1")</f>
        <v>Beta SUSE Linux Enterprise Server 15 SP1</v>
      </c>
      <c r="H350" s="7" t="str">
        <f t="shared" si="2"/>
        <v>NO</v>
      </c>
      <c r="I350" s="7" t="str">
        <f t="shared" si="3"/>
        <v>NO</v>
      </c>
    </row>
    <row r="351">
      <c r="A351" s="4">
        <f>IFERROR(__xludf.DUMMYFUNCTION("""COMPUTED_VALUE"""),1135034.0)</f>
        <v>1135034</v>
      </c>
      <c r="B351" s="4" t="str">
        <f>IFERROR(__xludf.DUMMYFUNCTION("""COMPUTED_VALUE"""),"P3 - Medium")</f>
        <v>P3 - Medium</v>
      </c>
      <c r="C351" s="5">
        <f>IFERROR(__xludf.DUMMYFUNCTION("""COMPUTED_VALUE"""),43599.46665509259)</f>
        <v>43599.46666</v>
      </c>
      <c r="D351" s="4" t="str">
        <f>IFERROR(__xludf.DUMMYFUNCTION("""COMPUTED_VALUE"""),"RESOLVED")</f>
        <v>RESOLVED</v>
      </c>
      <c r="E351" s="6">
        <f>IFERROR(__xludf.DUMMYFUNCTION("""COMPUTED_VALUE"""),43731.9465625)</f>
        <v>43731.94656</v>
      </c>
      <c r="F351" s="4" t="str">
        <f>IFERROR(__xludf.DUMMYFUNCTION("""COMPUTED_VALUE""")," ---")</f>
        <v> ---</v>
      </c>
      <c r="G351" s="4" t="str">
        <f>IFERROR(__xludf.DUMMYFUNCTION("""COMPUTED_VALUE"""),"Beta SUSE Linux Enterprise Server 15 SP1")</f>
        <v>Beta SUSE Linux Enterprise Server 15 SP1</v>
      </c>
      <c r="H351" s="7" t="str">
        <f t="shared" si="2"/>
        <v>NO</v>
      </c>
      <c r="I351" s="7" t="str">
        <f t="shared" si="3"/>
        <v>NO</v>
      </c>
    </row>
    <row r="352">
      <c r="A352" s="4">
        <f>IFERROR(__xludf.DUMMYFUNCTION("""COMPUTED_VALUE"""),1135035.0)</f>
        <v>1135035</v>
      </c>
      <c r="B352" s="4" t="str">
        <f>IFERROR(__xludf.DUMMYFUNCTION("""COMPUTED_VALUE"""),"P3 - Medium")</f>
        <v>P3 - Medium</v>
      </c>
      <c r="C352" s="5">
        <f>IFERROR(__xludf.DUMMYFUNCTION("""COMPUTED_VALUE"""),43599.46896990741)</f>
        <v>43599.46897</v>
      </c>
      <c r="D352" s="4" t="str">
        <f>IFERROR(__xludf.DUMMYFUNCTION("""COMPUTED_VALUE"""),"RESOLVED")</f>
        <v>RESOLVED</v>
      </c>
      <c r="E352" s="6">
        <f>IFERROR(__xludf.DUMMYFUNCTION("""COMPUTED_VALUE"""),43731.94662037037)</f>
        <v>43731.94662</v>
      </c>
      <c r="F352" s="4" t="str">
        <f>IFERROR(__xludf.DUMMYFUNCTION("""COMPUTED_VALUE""")," ---")</f>
        <v> ---</v>
      </c>
      <c r="G352" s="4" t="str">
        <f>IFERROR(__xludf.DUMMYFUNCTION("""COMPUTED_VALUE"""),"Beta SUSE Linux Enterprise Server 15 SP1")</f>
        <v>Beta SUSE Linux Enterprise Server 15 SP1</v>
      </c>
      <c r="H352" s="7" t="str">
        <f t="shared" si="2"/>
        <v>NO</v>
      </c>
      <c r="I352" s="7" t="str">
        <f t="shared" si="3"/>
        <v>NO</v>
      </c>
    </row>
    <row r="353">
      <c r="A353" s="4">
        <f>IFERROR(__xludf.DUMMYFUNCTION("""COMPUTED_VALUE"""),1135036.0)</f>
        <v>1135036</v>
      </c>
      <c r="B353" s="4" t="str">
        <f>IFERROR(__xludf.DUMMYFUNCTION("""COMPUTED_VALUE"""),"P3 - Medium")</f>
        <v>P3 - Medium</v>
      </c>
      <c r="C353" s="5">
        <f>IFERROR(__xludf.DUMMYFUNCTION("""COMPUTED_VALUE"""),43599.469988425924)</f>
        <v>43599.46999</v>
      </c>
      <c r="D353" s="4" t="str">
        <f>IFERROR(__xludf.DUMMYFUNCTION("""COMPUTED_VALUE"""),"RESOLVED")</f>
        <v>RESOLVED</v>
      </c>
      <c r="E353" s="6">
        <f>IFERROR(__xludf.DUMMYFUNCTION("""COMPUTED_VALUE"""),43731.622777777775)</f>
        <v>43731.62278</v>
      </c>
      <c r="F353" s="4" t="str">
        <f>IFERROR(__xludf.DUMMYFUNCTION("""COMPUTED_VALUE""")," ---")</f>
        <v> ---</v>
      </c>
      <c r="G353" s="4" t="str">
        <f>IFERROR(__xludf.DUMMYFUNCTION("""COMPUTED_VALUE"""),"Beta SUSE Linux Enterprise Server 15 SP1")</f>
        <v>Beta SUSE Linux Enterprise Server 15 SP1</v>
      </c>
      <c r="H353" s="7" t="str">
        <f t="shared" si="2"/>
        <v>NO</v>
      </c>
      <c r="I353" s="7" t="str">
        <f t="shared" si="3"/>
        <v>NO</v>
      </c>
    </row>
    <row r="354">
      <c r="A354" s="4">
        <f>IFERROR(__xludf.DUMMYFUNCTION("""COMPUTED_VALUE"""),1135037.0)</f>
        <v>1135037</v>
      </c>
      <c r="B354" s="4" t="str">
        <f>IFERROR(__xludf.DUMMYFUNCTION("""COMPUTED_VALUE"""),"P3 - Medium")</f>
        <v>P3 - Medium</v>
      </c>
      <c r="C354" s="5">
        <f>IFERROR(__xludf.DUMMYFUNCTION("""COMPUTED_VALUE"""),43599.47096064815)</f>
        <v>43599.47096</v>
      </c>
      <c r="D354" s="4" t="str">
        <f>IFERROR(__xludf.DUMMYFUNCTION("""COMPUTED_VALUE"""),"RESOLVED")</f>
        <v>RESOLVED</v>
      </c>
      <c r="E354" s="6">
        <f>IFERROR(__xludf.DUMMYFUNCTION("""COMPUTED_VALUE"""),43731.94668981482)</f>
        <v>43731.94669</v>
      </c>
      <c r="F354" s="4" t="str">
        <f>IFERROR(__xludf.DUMMYFUNCTION("""COMPUTED_VALUE""")," ---")</f>
        <v> ---</v>
      </c>
      <c r="G354" s="4" t="str">
        <f>IFERROR(__xludf.DUMMYFUNCTION("""COMPUTED_VALUE"""),"Beta SUSE Linux Enterprise Server 15 SP1")</f>
        <v>Beta SUSE Linux Enterprise Server 15 SP1</v>
      </c>
      <c r="H354" s="7" t="str">
        <f t="shared" si="2"/>
        <v>NO</v>
      </c>
      <c r="I354" s="7" t="str">
        <f t="shared" si="3"/>
        <v>NO</v>
      </c>
    </row>
    <row r="355">
      <c r="A355" s="4">
        <f>IFERROR(__xludf.DUMMYFUNCTION("""COMPUTED_VALUE"""),1135038.0)</f>
        <v>1135038</v>
      </c>
      <c r="B355" s="4" t="str">
        <f>IFERROR(__xludf.DUMMYFUNCTION("""COMPUTED_VALUE"""),"P3 - Medium")</f>
        <v>P3 - Medium</v>
      </c>
      <c r="C355" s="5">
        <f>IFERROR(__xludf.DUMMYFUNCTION("""COMPUTED_VALUE"""),43599.47190972222)</f>
        <v>43599.47191</v>
      </c>
      <c r="D355" s="4" t="str">
        <f>IFERROR(__xludf.DUMMYFUNCTION("""COMPUTED_VALUE"""),"RESOLVED")</f>
        <v>RESOLVED</v>
      </c>
      <c r="E355" s="6">
        <f>IFERROR(__xludf.DUMMYFUNCTION("""COMPUTED_VALUE"""),43732.27679398148)</f>
        <v>43732.27679</v>
      </c>
      <c r="F355" s="4" t="str">
        <f>IFERROR(__xludf.DUMMYFUNCTION("""COMPUTED_VALUE""")," ---")</f>
        <v> ---</v>
      </c>
      <c r="G355" s="4" t="str">
        <f>IFERROR(__xludf.DUMMYFUNCTION("""COMPUTED_VALUE"""),"Beta SUSE Linux Enterprise Server 15 SP1")</f>
        <v>Beta SUSE Linux Enterprise Server 15 SP1</v>
      </c>
      <c r="H355" s="7" t="str">
        <f t="shared" si="2"/>
        <v>NO</v>
      </c>
      <c r="I355" s="7" t="str">
        <f t="shared" si="3"/>
        <v>NO</v>
      </c>
    </row>
    <row r="356">
      <c r="A356" s="4">
        <f>IFERROR(__xludf.DUMMYFUNCTION("""COMPUTED_VALUE"""),1135039.0)</f>
        <v>1135039</v>
      </c>
      <c r="B356" s="4" t="str">
        <f>IFERROR(__xludf.DUMMYFUNCTION("""COMPUTED_VALUE"""),"P3 - Medium")</f>
        <v>P3 - Medium</v>
      </c>
      <c r="C356" s="5">
        <f>IFERROR(__xludf.DUMMYFUNCTION("""COMPUTED_VALUE"""),43599.47331018518)</f>
        <v>43599.47331</v>
      </c>
      <c r="D356" s="4" t="str">
        <f>IFERROR(__xludf.DUMMYFUNCTION("""COMPUTED_VALUE"""),"RESOLVED")</f>
        <v>RESOLVED</v>
      </c>
      <c r="E356" s="6">
        <f>IFERROR(__xludf.DUMMYFUNCTION("""COMPUTED_VALUE"""),43731.94675925926)</f>
        <v>43731.94676</v>
      </c>
      <c r="F356" s="4" t="str">
        <f>IFERROR(__xludf.DUMMYFUNCTION("""COMPUTED_VALUE""")," ---")</f>
        <v> ---</v>
      </c>
      <c r="G356" s="4" t="str">
        <f>IFERROR(__xludf.DUMMYFUNCTION("""COMPUTED_VALUE"""),"Beta SUSE Linux Enterprise Server 15 SP1")</f>
        <v>Beta SUSE Linux Enterprise Server 15 SP1</v>
      </c>
      <c r="H356" s="7" t="str">
        <f t="shared" si="2"/>
        <v>NO</v>
      </c>
      <c r="I356" s="7" t="str">
        <f t="shared" si="3"/>
        <v>NO</v>
      </c>
    </row>
    <row r="357">
      <c r="A357" s="4">
        <f>IFERROR(__xludf.DUMMYFUNCTION("""COMPUTED_VALUE"""),1135041.0)</f>
        <v>1135041</v>
      </c>
      <c r="B357" s="4" t="str">
        <f>IFERROR(__xludf.DUMMYFUNCTION("""COMPUTED_VALUE"""),"P3 - Medium")</f>
        <v>P3 - Medium</v>
      </c>
      <c r="C357" s="5">
        <f>IFERROR(__xludf.DUMMYFUNCTION("""COMPUTED_VALUE"""),43599.47826388889)</f>
        <v>43599.47826</v>
      </c>
      <c r="D357" s="4" t="str">
        <f>IFERROR(__xludf.DUMMYFUNCTION("""COMPUTED_VALUE"""),"RESOLVED")</f>
        <v>RESOLVED</v>
      </c>
      <c r="E357" s="6">
        <f>IFERROR(__xludf.DUMMYFUNCTION("""COMPUTED_VALUE"""),43731.9468287037)</f>
        <v>43731.94683</v>
      </c>
      <c r="F357" s="4" t="str">
        <f>IFERROR(__xludf.DUMMYFUNCTION("""COMPUTED_VALUE""")," ---")</f>
        <v> ---</v>
      </c>
      <c r="G357" s="4" t="str">
        <f>IFERROR(__xludf.DUMMYFUNCTION("""COMPUTED_VALUE"""),"Beta SUSE Linux Enterprise Server 15 SP1")</f>
        <v>Beta SUSE Linux Enterprise Server 15 SP1</v>
      </c>
      <c r="H357" s="7" t="str">
        <f t="shared" si="2"/>
        <v>NO</v>
      </c>
      <c r="I357" s="7" t="str">
        <f t="shared" si="3"/>
        <v>NO</v>
      </c>
    </row>
    <row r="358">
      <c r="A358" s="4">
        <f>IFERROR(__xludf.DUMMYFUNCTION("""COMPUTED_VALUE"""),1122776.0)</f>
        <v>1122776</v>
      </c>
      <c r="B358" s="4" t="str">
        <f>IFERROR(__xludf.DUMMYFUNCTION("""COMPUTED_VALUE"""),"P3 - Medium")</f>
        <v>P3 - Medium</v>
      </c>
      <c r="C358" s="5">
        <f>IFERROR(__xludf.DUMMYFUNCTION("""COMPUTED_VALUE"""),43487.6078587963)</f>
        <v>43487.60786</v>
      </c>
      <c r="D358" s="4" t="str">
        <f>IFERROR(__xludf.DUMMYFUNCTION("""COMPUTED_VALUE"""),"RESOLVED")</f>
        <v>RESOLVED</v>
      </c>
      <c r="E358" s="6">
        <f>IFERROR(__xludf.DUMMYFUNCTION("""COMPUTED_VALUE"""),43731.61167824074)</f>
        <v>43731.61168</v>
      </c>
      <c r="F358" s="4" t="str">
        <f>IFERROR(__xludf.DUMMYFUNCTION("""COMPUTED_VALUE""")," ---")</f>
        <v> ---</v>
      </c>
      <c r="G358" s="4" t="str">
        <f>IFERROR(__xludf.DUMMYFUNCTION("""COMPUTED_VALUE"""),"SUSE Linux Enterprise Server 15 SP1")</f>
        <v>SUSE Linux Enterprise Server 15 SP1</v>
      </c>
      <c r="H358" s="7" t="str">
        <f t="shared" si="2"/>
        <v>NO</v>
      </c>
      <c r="I358" s="7" t="str">
        <f t="shared" si="3"/>
        <v>NO</v>
      </c>
    </row>
    <row r="359">
      <c r="A359" s="4">
        <f>IFERROR(__xludf.DUMMYFUNCTION("""COMPUTED_VALUE"""),1126774.0)</f>
        <v>1126774</v>
      </c>
      <c r="B359" s="4" t="str">
        <f>IFERROR(__xludf.DUMMYFUNCTION("""COMPUTED_VALUE"""),"P3 - Medium")</f>
        <v>P3 - Medium</v>
      </c>
      <c r="C359" s="5">
        <f>IFERROR(__xludf.DUMMYFUNCTION("""COMPUTED_VALUE"""),43521.46092592592)</f>
        <v>43521.46093</v>
      </c>
      <c r="D359" s="4" t="str">
        <f>IFERROR(__xludf.DUMMYFUNCTION("""COMPUTED_VALUE"""),"RESOLVED")</f>
        <v>RESOLVED</v>
      </c>
      <c r="E359" s="6">
        <f>IFERROR(__xludf.DUMMYFUNCTION("""COMPUTED_VALUE"""),43630.63395833333)</f>
        <v>43630.63396</v>
      </c>
      <c r="F359" s="4" t="str">
        <f>IFERROR(__xludf.DUMMYFUNCTION("""COMPUTED_VALUE""")," ---")</f>
        <v> ---</v>
      </c>
      <c r="G359" s="4" t="str">
        <f>IFERROR(__xludf.DUMMYFUNCTION("""COMPUTED_VALUE"""),"SUSE Linux Enterprise Server 15 SP1")</f>
        <v>SUSE Linux Enterprise Server 15 SP1</v>
      </c>
      <c r="H359" s="7" t="str">
        <f t="shared" si="2"/>
        <v>NO</v>
      </c>
      <c r="I359" s="7" t="str">
        <f t="shared" si="3"/>
        <v>NO</v>
      </c>
    </row>
    <row r="360">
      <c r="A360" s="4">
        <f>IFERROR(__xludf.DUMMYFUNCTION("""COMPUTED_VALUE"""),1126775.0)</f>
        <v>1126775</v>
      </c>
      <c r="B360" s="4" t="str">
        <f>IFERROR(__xludf.DUMMYFUNCTION("""COMPUTED_VALUE"""),"P3 - Medium")</f>
        <v>P3 - Medium</v>
      </c>
      <c r="C360" s="5">
        <f>IFERROR(__xludf.DUMMYFUNCTION("""COMPUTED_VALUE"""),43521.46114583333)</f>
        <v>43521.46115</v>
      </c>
      <c r="D360" s="4" t="str">
        <f>IFERROR(__xludf.DUMMYFUNCTION("""COMPUTED_VALUE"""),"RESOLVED")</f>
        <v>RESOLVED</v>
      </c>
      <c r="E360" s="6">
        <f>IFERROR(__xludf.DUMMYFUNCTION("""COMPUTED_VALUE"""),43630.633993055555)</f>
        <v>43630.63399</v>
      </c>
      <c r="F360" s="4" t="str">
        <f>IFERROR(__xludf.DUMMYFUNCTION("""COMPUTED_VALUE""")," ---")</f>
        <v> ---</v>
      </c>
      <c r="G360" s="4" t="str">
        <f>IFERROR(__xludf.DUMMYFUNCTION("""COMPUTED_VALUE"""),"SUSE Linux Enterprise Server 15 SP1")</f>
        <v>SUSE Linux Enterprise Server 15 SP1</v>
      </c>
      <c r="H360" s="7" t="str">
        <f t="shared" si="2"/>
        <v>NO</v>
      </c>
      <c r="I360" s="7" t="str">
        <f t="shared" si="3"/>
        <v>NO</v>
      </c>
    </row>
    <row r="361">
      <c r="A361" s="4">
        <f>IFERROR(__xludf.DUMMYFUNCTION("""COMPUTED_VALUE"""),1138539.0)</f>
        <v>1138539</v>
      </c>
      <c r="B361" s="4" t="str">
        <f>IFERROR(__xludf.DUMMYFUNCTION("""COMPUTED_VALUE"""),"P3 - Medium")</f>
        <v>P3 - Medium</v>
      </c>
      <c r="C361" s="5">
        <f>IFERROR(__xludf.DUMMYFUNCTION("""COMPUTED_VALUE"""),43634.344976851855)</f>
        <v>43634.34498</v>
      </c>
      <c r="D361" s="4" t="str">
        <f>IFERROR(__xludf.DUMMYFUNCTION("""COMPUTED_VALUE"""),"RESOLVED")</f>
        <v>RESOLVED</v>
      </c>
      <c r="E361" s="6">
        <f>IFERROR(__xludf.DUMMYFUNCTION("""COMPUTED_VALUE"""),44626.34048611111)</f>
        <v>44626.34049</v>
      </c>
      <c r="F361" s="4" t="str">
        <f>IFERROR(__xludf.DUMMYFUNCTION("""COMPUTED_VALUE""")," ---")</f>
        <v> ---</v>
      </c>
      <c r="G361" s="4" t="str">
        <f>IFERROR(__xludf.DUMMYFUNCTION("""COMPUTED_VALUE"""),"SUSE Linux Enterprise Server 15 SP1")</f>
        <v>SUSE Linux Enterprise Server 15 SP1</v>
      </c>
      <c r="H361" s="7" t="str">
        <f t="shared" si="2"/>
        <v>NO</v>
      </c>
      <c r="I361" s="7" t="str">
        <f t="shared" si="3"/>
        <v>NO</v>
      </c>
    </row>
    <row r="362">
      <c r="A362" s="4">
        <f>IFERROR(__xludf.DUMMYFUNCTION("""COMPUTED_VALUE"""),1111147.0)</f>
        <v>1111147</v>
      </c>
      <c r="B362" s="4" t="str">
        <f>IFERROR(__xludf.DUMMYFUNCTION("""COMPUTED_VALUE"""),"P3 - Medium")</f>
        <v>P3 - Medium</v>
      </c>
      <c r="C362" s="5">
        <f>IFERROR(__xludf.DUMMYFUNCTION("""COMPUTED_VALUE"""),43382.267060185186)</f>
        <v>43382.26706</v>
      </c>
      <c r="D362" s="4" t="str">
        <f>IFERROR(__xludf.DUMMYFUNCTION("""COMPUTED_VALUE"""),"RESOLVED")</f>
        <v>RESOLVED</v>
      </c>
      <c r="E362" s="6">
        <f>IFERROR(__xludf.DUMMYFUNCTION("""COMPUTED_VALUE"""),43630.6271875)</f>
        <v>43630.62719</v>
      </c>
      <c r="F362" s="4" t="str">
        <f>IFERROR(__xludf.DUMMYFUNCTION("""COMPUTED_VALUE""")," ---")</f>
        <v> ---</v>
      </c>
      <c r="G362" s="4" t="str">
        <f>IFERROR(__xludf.DUMMYFUNCTION("""COMPUTED_VALUE"""),"SUSE Linux Enterprise Server 15 SP1")</f>
        <v>SUSE Linux Enterprise Server 15 SP1</v>
      </c>
      <c r="H362" s="7" t="str">
        <f t="shared" si="2"/>
        <v>NO</v>
      </c>
      <c r="I362" s="7" t="str">
        <f t="shared" si="3"/>
        <v>NO</v>
      </c>
    </row>
    <row r="363">
      <c r="A363" s="4">
        <f>IFERROR(__xludf.DUMMYFUNCTION("""COMPUTED_VALUE"""),1111148.0)</f>
        <v>1111148</v>
      </c>
      <c r="B363" s="4" t="str">
        <f>IFERROR(__xludf.DUMMYFUNCTION("""COMPUTED_VALUE"""),"P3 - Medium")</f>
        <v>P3 - Medium</v>
      </c>
      <c r="C363" s="5">
        <f>IFERROR(__xludf.DUMMYFUNCTION("""COMPUTED_VALUE"""),43382.27123842593)</f>
        <v>43382.27124</v>
      </c>
      <c r="D363" s="4" t="str">
        <f>IFERROR(__xludf.DUMMYFUNCTION("""COMPUTED_VALUE"""),"RESOLVED")</f>
        <v>RESOLVED</v>
      </c>
      <c r="E363" s="6">
        <f>IFERROR(__xludf.DUMMYFUNCTION("""COMPUTED_VALUE"""),43413.389328703706)</f>
        <v>43413.38933</v>
      </c>
      <c r="F363" s="4" t="str">
        <f>IFERROR(__xludf.DUMMYFUNCTION("""COMPUTED_VALUE""")," ---")</f>
        <v> ---</v>
      </c>
      <c r="G363" s="4" t="str">
        <f>IFERROR(__xludf.DUMMYFUNCTION("""COMPUTED_VALUE"""),"SUSE Linux Enterprise Server 15 SP1")</f>
        <v>SUSE Linux Enterprise Server 15 SP1</v>
      </c>
      <c r="H363" s="7" t="str">
        <f t="shared" si="2"/>
        <v>NO</v>
      </c>
      <c r="I363" s="7" t="str">
        <f t="shared" si="3"/>
        <v>NO</v>
      </c>
    </row>
    <row r="364">
      <c r="A364" s="4">
        <f>IFERROR(__xludf.DUMMYFUNCTION("""COMPUTED_VALUE"""),1119324.0)</f>
        <v>1119324</v>
      </c>
      <c r="B364" s="4" t="str">
        <f>IFERROR(__xludf.DUMMYFUNCTION("""COMPUTED_VALUE"""),"P3 - Medium")</f>
        <v>P3 - Medium</v>
      </c>
      <c r="C364" s="5">
        <f>IFERROR(__xludf.DUMMYFUNCTION("""COMPUTED_VALUE"""),43446.96644675926)</f>
        <v>43446.96645</v>
      </c>
      <c r="D364" s="4" t="str">
        <f>IFERROR(__xludf.DUMMYFUNCTION("""COMPUTED_VALUE"""),"RESOLVED")</f>
        <v>RESOLVED</v>
      </c>
      <c r="E364" s="6">
        <f>IFERROR(__xludf.DUMMYFUNCTION("""COMPUTED_VALUE"""),44595.481203703705)</f>
        <v>44595.4812</v>
      </c>
      <c r="F364" s="4" t="str">
        <f>IFERROR(__xludf.DUMMYFUNCTION("""COMPUTED_VALUE""")," ---")</f>
        <v> ---</v>
      </c>
      <c r="G364" s="4" t="str">
        <f>IFERROR(__xludf.DUMMYFUNCTION("""COMPUTED_VALUE"""),"SUSE Linux Enterprise Server 15 SP1")</f>
        <v>SUSE Linux Enterprise Server 15 SP1</v>
      </c>
      <c r="H364" s="7" t="str">
        <f t="shared" si="2"/>
        <v>NO</v>
      </c>
      <c r="I364" s="7" t="str">
        <f t="shared" si="3"/>
        <v>NO</v>
      </c>
    </row>
    <row r="365">
      <c r="A365" s="4">
        <f>IFERROR(__xludf.DUMMYFUNCTION("""COMPUTED_VALUE"""),1126394.0)</f>
        <v>1126394</v>
      </c>
      <c r="B365" s="4" t="str">
        <f>IFERROR(__xludf.DUMMYFUNCTION("""COMPUTED_VALUE"""),"P3 - Medium")</f>
        <v>P3 - Medium</v>
      </c>
      <c r="C365" s="5">
        <f>IFERROR(__xludf.DUMMYFUNCTION("""COMPUTED_VALUE"""),43518.132731481484)</f>
        <v>43518.13273</v>
      </c>
      <c r="D365" s="4" t="str">
        <f>IFERROR(__xludf.DUMMYFUNCTION("""COMPUTED_VALUE"""),"RESOLVED")</f>
        <v>RESOLVED</v>
      </c>
      <c r="E365" s="6">
        <f>IFERROR(__xludf.DUMMYFUNCTION("""COMPUTED_VALUE"""),43525.40893518519)</f>
        <v>43525.40894</v>
      </c>
      <c r="F365" s="4" t="str">
        <f>IFERROR(__xludf.DUMMYFUNCTION("""COMPUTED_VALUE""")," ---")</f>
        <v> ---</v>
      </c>
      <c r="G365" s="4" t="str">
        <f>IFERROR(__xludf.DUMMYFUNCTION("""COMPUTED_VALUE"""),"Beta SUSE Linux Enterprise Server 15 SP1")</f>
        <v>Beta SUSE Linux Enterprise Server 15 SP1</v>
      </c>
      <c r="H365" s="7" t="str">
        <f t="shared" si="2"/>
        <v>NO</v>
      </c>
      <c r="I365" s="7" t="str">
        <f t="shared" si="3"/>
        <v>NO</v>
      </c>
    </row>
    <row r="366">
      <c r="A366" s="4">
        <f>IFERROR(__xludf.DUMMYFUNCTION("""COMPUTED_VALUE"""),1129792.0)</f>
        <v>1129792</v>
      </c>
      <c r="B366" s="4" t="str">
        <f>IFERROR(__xludf.DUMMYFUNCTION("""COMPUTED_VALUE"""),"P3 - Medium")</f>
        <v>P3 - Medium</v>
      </c>
      <c r="C366" s="5">
        <f>IFERROR(__xludf.DUMMYFUNCTION("""COMPUTED_VALUE"""),43543.64946759259)</f>
        <v>43543.64947</v>
      </c>
      <c r="D366" s="4" t="str">
        <f>IFERROR(__xludf.DUMMYFUNCTION("""COMPUTED_VALUE"""),"RESOLVED")</f>
        <v>RESOLVED</v>
      </c>
      <c r="E366" s="6">
        <f>IFERROR(__xludf.DUMMYFUNCTION("""COMPUTED_VALUE"""),44595.48106481481)</f>
        <v>44595.48106</v>
      </c>
      <c r="F366" s="4" t="str">
        <f>IFERROR(__xludf.DUMMYFUNCTION("""COMPUTED_VALUE""")," ---")</f>
        <v> ---</v>
      </c>
      <c r="G366" s="4" t="str">
        <f>IFERROR(__xludf.DUMMYFUNCTION("""COMPUTED_VALUE"""),"SUSE Linux Enterprise Server 15 SP1")</f>
        <v>SUSE Linux Enterprise Server 15 SP1</v>
      </c>
      <c r="H366" s="7" t="str">
        <f t="shared" si="2"/>
        <v>NO</v>
      </c>
      <c r="I366" s="7" t="str">
        <f t="shared" si="3"/>
        <v>NO</v>
      </c>
    </row>
    <row r="367">
      <c r="A367" s="4">
        <f>IFERROR(__xludf.DUMMYFUNCTION("""COMPUTED_VALUE"""),1137366.0)</f>
        <v>1137366</v>
      </c>
      <c r="B367" s="4" t="str">
        <f>IFERROR(__xludf.DUMMYFUNCTION("""COMPUTED_VALUE"""),"P3 - Medium")</f>
        <v>P3 - Medium</v>
      </c>
      <c r="C367" s="5">
        <f>IFERROR(__xludf.DUMMYFUNCTION("""COMPUTED_VALUE"""),43621.66112268518)</f>
        <v>43621.66112</v>
      </c>
      <c r="D367" s="4" t="str">
        <f>IFERROR(__xludf.DUMMYFUNCTION("""COMPUTED_VALUE"""),"RESOLVED")</f>
        <v>RESOLVED</v>
      </c>
      <c r="E367" s="6">
        <f>IFERROR(__xludf.DUMMYFUNCTION("""COMPUTED_VALUE"""),44624.89795138889)</f>
        <v>44624.89795</v>
      </c>
      <c r="F367" s="4" t="str">
        <f>IFERROR(__xludf.DUMMYFUNCTION("""COMPUTED_VALUE""")," ---")</f>
        <v> ---</v>
      </c>
      <c r="G367" s="4" t="str">
        <f>IFERROR(__xludf.DUMMYFUNCTION("""COMPUTED_VALUE"""),"SUSE Linux Enterprise Server 15 SP1")</f>
        <v>SUSE Linux Enterprise Server 15 SP1</v>
      </c>
      <c r="H367" s="7" t="str">
        <f t="shared" si="2"/>
        <v>NO</v>
      </c>
      <c r="I367" s="7" t="str">
        <f t="shared" si="3"/>
        <v>NO</v>
      </c>
    </row>
    <row r="368">
      <c r="A368" s="4">
        <f>IFERROR(__xludf.DUMMYFUNCTION("""COMPUTED_VALUE"""),1130365.0)</f>
        <v>1130365</v>
      </c>
      <c r="B368" s="4" t="str">
        <f>IFERROR(__xludf.DUMMYFUNCTION("""COMPUTED_VALUE"""),"P3 - Medium")</f>
        <v>P3 - Medium</v>
      </c>
      <c r="C368" s="5">
        <f>IFERROR(__xludf.DUMMYFUNCTION("""COMPUTED_VALUE"""),43549.46065972222)</f>
        <v>43549.46066</v>
      </c>
      <c r="D368" s="4" t="str">
        <f>IFERROR(__xludf.DUMMYFUNCTION("""COMPUTED_VALUE"""),"RESOLVED")</f>
        <v>RESOLVED</v>
      </c>
      <c r="E368" s="6">
        <f>IFERROR(__xludf.DUMMYFUNCTION("""COMPUTED_VALUE"""),44384.785405092596)</f>
        <v>44384.78541</v>
      </c>
      <c r="F368" s="4" t="str">
        <f>IFERROR(__xludf.DUMMYFUNCTION("""COMPUTED_VALUE""")," ---")</f>
        <v> ---</v>
      </c>
      <c r="G368" s="4" t="str">
        <f>IFERROR(__xludf.DUMMYFUNCTION("""COMPUTED_VALUE"""),"SUSE Linux Enterprise Server 15 SP1")</f>
        <v>SUSE Linux Enterprise Server 15 SP1</v>
      </c>
      <c r="H368" s="7" t="str">
        <f t="shared" si="2"/>
        <v>NO</v>
      </c>
      <c r="I368" s="7" t="str">
        <f t="shared" si="3"/>
        <v>NO</v>
      </c>
    </row>
    <row r="369">
      <c r="A369" s="4">
        <f>IFERROR(__xludf.DUMMYFUNCTION("""COMPUTED_VALUE"""),1135344.0)</f>
        <v>1135344</v>
      </c>
      <c r="B369" s="4" t="str">
        <f>IFERROR(__xludf.DUMMYFUNCTION("""COMPUTED_VALUE"""),"P3 - Medium")</f>
        <v>P3 - Medium</v>
      </c>
      <c r="C369" s="5">
        <f>IFERROR(__xludf.DUMMYFUNCTION("""COMPUTED_VALUE"""),43601.49260416667)</f>
        <v>43601.4926</v>
      </c>
      <c r="D369" s="4" t="str">
        <f>IFERROR(__xludf.DUMMYFUNCTION("""COMPUTED_VALUE"""),"RESOLVED")</f>
        <v>RESOLVED</v>
      </c>
      <c r="E369" s="6">
        <f>IFERROR(__xludf.DUMMYFUNCTION("""COMPUTED_VALUE"""),43692.65445601852)</f>
        <v>43692.65446</v>
      </c>
      <c r="F369" s="4" t="str">
        <f>IFERROR(__xludf.DUMMYFUNCTION("""COMPUTED_VALUE""")," ---")</f>
        <v> ---</v>
      </c>
      <c r="G369" s="4" t="str">
        <f>IFERROR(__xludf.DUMMYFUNCTION("""COMPUTED_VALUE"""),"SUSE Linux Enterprise Real Time 15 SP1")</f>
        <v>SUSE Linux Enterprise Real Time 15 SP1</v>
      </c>
      <c r="H369" s="7" t="str">
        <f t="shared" si="2"/>
        <v>NO</v>
      </c>
      <c r="I369" s="7" t="str">
        <f t="shared" si="3"/>
        <v>NO</v>
      </c>
    </row>
    <row r="370">
      <c r="A370" s="4">
        <f>IFERROR(__xludf.DUMMYFUNCTION("""COMPUTED_VALUE"""),1122188.0)</f>
        <v>1122188</v>
      </c>
      <c r="B370" s="4" t="str">
        <f>IFERROR(__xludf.DUMMYFUNCTION("""COMPUTED_VALUE"""),"P3 - Medium")</f>
        <v>P3 - Medium</v>
      </c>
      <c r="C370" s="5">
        <f>IFERROR(__xludf.DUMMYFUNCTION("""COMPUTED_VALUE"""),43481.54377314815)</f>
        <v>43481.54377</v>
      </c>
      <c r="D370" s="4" t="str">
        <f>IFERROR(__xludf.DUMMYFUNCTION("""COMPUTED_VALUE"""),"RESOLVED")</f>
        <v>RESOLVED</v>
      </c>
      <c r="E370" s="6">
        <f>IFERROR(__xludf.DUMMYFUNCTION("""COMPUTED_VALUE"""),43507.401655092595)</f>
        <v>43507.40166</v>
      </c>
      <c r="F370" s="4" t="str">
        <f>IFERROR(__xludf.DUMMYFUNCTION("""COMPUTED_VALUE""")," ---")</f>
        <v> ---</v>
      </c>
      <c r="G370" s="4" t="str">
        <f>IFERROR(__xludf.DUMMYFUNCTION("""COMPUTED_VALUE"""),"SUSE Linux Enterprise Server 15 SP1")</f>
        <v>SUSE Linux Enterprise Server 15 SP1</v>
      </c>
      <c r="H370" s="7" t="str">
        <f t="shared" si="2"/>
        <v>NO</v>
      </c>
      <c r="I370" s="7" t="str">
        <f t="shared" si="3"/>
        <v>NO</v>
      </c>
    </row>
    <row r="371">
      <c r="A371" s="4">
        <f>IFERROR(__xludf.DUMMYFUNCTION("""COMPUTED_VALUE"""),1126396.0)</f>
        <v>1126396</v>
      </c>
      <c r="B371" s="4" t="str">
        <f>IFERROR(__xludf.DUMMYFUNCTION("""COMPUTED_VALUE"""),"P3 - Medium")</f>
        <v>P3 - Medium</v>
      </c>
      <c r="C371" s="5">
        <f>IFERROR(__xludf.DUMMYFUNCTION("""COMPUTED_VALUE"""),43518.14929398148)</f>
        <v>43518.14929</v>
      </c>
      <c r="D371" s="4" t="str">
        <f>IFERROR(__xludf.DUMMYFUNCTION("""COMPUTED_VALUE"""),"RESOLVED")</f>
        <v>RESOLVED</v>
      </c>
      <c r="E371" s="6">
        <f>IFERROR(__xludf.DUMMYFUNCTION("""COMPUTED_VALUE"""),43630.63377314815)</f>
        <v>43630.63377</v>
      </c>
      <c r="F371" s="4" t="str">
        <f>IFERROR(__xludf.DUMMYFUNCTION("""COMPUTED_VALUE""")," ---")</f>
        <v> ---</v>
      </c>
      <c r="G371" s="4" t="str">
        <f>IFERROR(__xludf.DUMMYFUNCTION("""COMPUTED_VALUE"""),"Beta SUSE Linux Enterprise Server 15 SP1")</f>
        <v>Beta SUSE Linux Enterprise Server 15 SP1</v>
      </c>
      <c r="H371" s="7" t="str">
        <f t="shared" si="2"/>
        <v>NO</v>
      </c>
      <c r="I371" s="7" t="str">
        <f t="shared" si="3"/>
        <v>NO</v>
      </c>
    </row>
    <row r="372">
      <c r="A372" s="4">
        <f>IFERROR(__xludf.DUMMYFUNCTION("""COMPUTED_VALUE"""),1125566.0)</f>
        <v>1125566</v>
      </c>
      <c r="B372" s="4" t="str">
        <f>IFERROR(__xludf.DUMMYFUNCTION("""COMPUTED_VALUE"""),"P3 - Medium")</f>
        <v>P3 - Medium</v>
      </c>
      <c r="C372" s="5">
        <f>IFERROR(__xludf.DUMMYFUNCTION("""COMPUTED_VALUE"""),43511.429618055554)</f>
        <v>43511.42962</v>
      </c>
      <c r="D372" s="4" t="str">
        <f>IFERROR(__xludf.DUMMYFUNCTION("""COMPUTED_VALUE"""),"RESOLVED")</f>
        <v>RESOLVED</v>
      </c>
      <c r="E372" s="6">
        <f>IFERROR(__xludf.DUMMYFUNCTION("""COMPUTED_VALUE"""),43514.51663194445)</f>
        <v>43514.51663</v>
      </c>
      <c r="F372" s="4" t="str">
        <f>IFERROR(__xludf.DUMMYFUNCTION("""COMPUTED_VALUE""")," ---")</f>
        <v> ---</v>
      </c>
      <c r="G372" s="4" t="str">
        <f>IFERROR(__xludf.DUMMYFUNCTION("""COMPUTED_VALUE"""),"SUSE Linux Enterprise Server 15 SP1")</f>
        <v>SUSE Linux Enterprise Server 15 SP1</v>
      </c>
      <c r="H372" s="7" t="str">
        <f t="shared" si="2"/>
        <v>NO</v>
      </c>
      <c r="I372" s="7" t="str">
        <f t="shared" si="3"/>
        <v>NO</v>
      </c>
    </row>
    <row r="373">
      <c r="A373" s="4">
        <f>IFERROR(__xludf.DUMMYFUNCTION("""COMPUTED_VALUE"""),1128910.0)</f>
        <v>1128910</v>
      </c>
      <c r="B373" s="4" t="str">
        <f>IFERROR(__xludf.DUMMYFUNCTION("""COMPUTED_VALUE"""),"P3 - Medium")</f>
        <v>P3 - Medium</v>
      </c>
      <c r="C373" s="5">
        <f>IFERROR(__xludf.DUMMYFUNCTION("""COMPUTED_VALUE"""),43536.577418981484)</f>
        <v>43536.57742</v>
      </c>
      <c r="D373" s="4" t="str">
        <f>IFERROR(__xludf.DUMMYFUNCTION("""COMPUTED_VALUE"""),"RESOLVED")</f>
        <v>RESOLVED</v>
      </c>
      <c r="E373" s="6">
        <f>IFERROR(__xludf.DUMMYFUNCTION("""COMPUTED_VALUE"""),44624.88929398148)</f>
        <v>44624.88929</v>
      </c>
      <c r="F373" s="4" t="str">
        <f>IFERROR(__xludf.DUMMYFUNCTION("""COMPUTED_VALUE""")," ---")</f>
        <v> ---</v>
      </c>
      <c r="G373" s="4" t="str">
        <f>IFERROR(__xludf.DUMMYFUNCTION("""COMPUTED_VALUE"""),"SUSE Linux Enterprise Server 15 SP1")</f>
        <v>SUSE Linux Enterprise Server 15 SP1</v>
      </c>
      <c r="H373" s="7" t="str">
        <f t="shared" si="2"/>
        <v>NO</v>
      </c>
      <c r="I373" s="7" t="str">
        <f t="shared" si="3"/>
        <v>NO</v>
      </c>
    </row>
    <row r="374">
      <c r="A374" s="4">
        <f>IFERROR(__xludf.DUMMYFUNCTION("""COMPUTED_VALUE"""),1133401.0)</f>
        <v>1133401</v>
      </c>
      <c r="B374" s="4" t="str">
        <f>IFERROR(__xludf.DUMMYFUNCTION("""COMPUTED_VALUE"""),"P3 - Medium")</f>
        <v>P3 - Medium</v>
      </c>
      <c r="C374" s="5">
        <f>IFERROR(__xludf.DUMMYFUNCTION("""COMPUTED_VALUE"""),43580.50747685185)</f>
        <v>43580.50748</v>
      </c>
      <c r="D374" s="4" t="str">
        <f>IFERROR(__xludf.DUMMYFUNCTION("""COMPUTED_VALUE"""),"RESOLVED")</f>
        <v>RESOLVED</v>
      </c>
      <c r="E374" s="6">
        <f>IFERROR(__xludf.DUMMYFUNCTION("""COMPUTED_VALUE"""),44624.894282407404)</f>
        <v>44624.89428</v>
      </c>
      <c r="F374" s="4" t="str">
        <f>IFERROR(__xludf.DUMMYFUNCTION("""COMPUTED_VALUE""")," ---")</f>
        <v> ---</v>
      </c>
      <c r="G374" s="4" t="str">
        <f>IFERROR(__xludf.DUMMYFUNCTION("""COMPUTED_VALUE"""),"SUSE Linux Enterprise Server 15 SP1")</f>
        <v>SUSE Linux Enterprise Server 15 SP1</v>
      </c>
      <c r="H374" s="7" t="str">
        <f t="shared" si="2"/>
        <v>NO</v>
      </c>
      <c r="I374" s="7" t="str">
        <f t="shared" si="3"/>
        <v>NO</v>
      </c>
    </row>
    <row r="375">
      <c r="A375" s="4">
        <f>IFERROR(__xludf.DUMMYFUNCTION("""COMPUTED_VALUE"""),1103992.0)</f>
        <v>1103992</v>
      </c>
      <c r="B375" s="4" t="str">
        <f>IFERROR(__xludf.DUMMYFUNCTION("""COMPUTED_VALUE"""),"P3 - Medium")</f>
        <v>P3 - Medium</v>
      </c>
      <c r="C375" s="5">
        <f>IFERROR(__xludf.DUMMYFUNCTION("""COMPUTED_VALUE"""),43319.25208333333)</f>
        <v>43319.25208</v>
      </c>
      <c r="D375" s="4" t="str">
        <f>IFERROR(__xludf.DUMMYFUNCTION("""COMPUTED_VALUE"""),"RESOLVED")</f>
        <v>RESOLVED</v>
      </c>
      <c r="E375" s="6">
        <f>IFERROR(__xludf.DUMMYFUNCTION("""COMPUTED_VALUE"""),44624.86854166666)</f>
        <v>44624.86854</v>
      </c>
      <c r="F375" s="4" t="str">
        <f>IFERROR(__xludf.DUMMYFUNCTION("""COMPUTED_VALUE""")," ---")</f>
        <v> ---</v>
      </c>
      <c r="G375" s="4" t="str">
        <f>IFERROR(__xludf.DUMMYFUNCTION("""COMPUTED_VALUE"""),"SUSE Linux Enterprise Server 15 SP1")</f>
        <v>SUSE Linux Enterprise Server 15 SP1</v>
      </c>
      <c r="H375" s="7" t="str">
        <f t="shared" si="2"/>
        <v>NO</v>
      </c>
      <c r="I375" s="7" t="str">
        <f t="shared" si="3"/>
        <v>NO</v>
      </c>
    </row>
    <row r="376">
      <c r="A376" s="4">
        <f>IFERROR(__xludf.DUMMYFUNCTION("""COMPUTED_VALUE"""),1104746.0)</f>
        <v>1104746</v>
      </c>
      <c r="B376" s="4" t="str">
        <f>IFERROR(__xludf.DUMMYFUNCTION("""COMPUTED_VALUE"""),"P3 - Medium")</f>
        <v>P3 - Medium</v>
      </c>
      <c r="C376" s="5">
        <f>IFERROR(__xludf.DUMMYFUNCTION("""COMPUTED_VALUE"""),43325.96789351852)</f>
        <v>43325.96789</v>
      </c>
      <c r="D376" s="4" t="str">
        <f>IFERROR(__xludf.DUMMYFUNCTION("""COMPUTED_VALUE"""),"RESOLVED")</f>
        <v>RESOLVED</v>
      </c>
      <c r="E376" s="6">
        <f>IFERROR(__xludf.DUMMYFUNCTION("""COMPUTED_VALUE"""),43410.301724537036)</f>
        <v>43410.30172</v>
      </c>
      <c r="F376" s="4" t="str">
        <f>IFERROR(__xludf.DUMMYFUNCTION("""COMPUTED_VALUE""")," ---")</f>
        <v> ---</v>
      </c>
      <c r="G376" s="4" t="str">
        <f>IFERROR(__xludf.DUMMYFUNCTION("""COMPUTED_VALUE"""),"SUSE Linux Enterprise Server 15 SP1")</f>
        <v>SUSE Linux Enterprise Server 15 SP1</v>
      </c>
      <c r="H376" s="7" t="str">
        <f t="shared" si="2"/>
        <v>NO</v>
      </c>
      <c r="I376" s="7" t="str">
        <f t="shared" si="3"/>
        <v>NO</v>
      </c>
    </row>
    <row r="377">
      <c r="A377" s="4">
        <f>IFERROR(__xludf.DUMMYFUNCTION("""COMPUTED_VALUE"""),1116199.0)</f>
        <v>1116199</v>
      </c>
      <c r="B377" s="4" t="str">
        <f>IFERROR(__xludf.DUMMYFUNCTION("""COMPUTED_VALUE"""),"P3 - Medium")</f>
        <v>P3 - Medium</v>
      </c>
      <c r="C377" s="5">
        <f>IFERROR(__xludf.DUMMYFUNCTION("""COMPUTED_VALUE"""),43419.52738425926)</f>
        <v>43419.52738</v>
      </c>
      <c r="D377" s="4" t="str">
        <f>IFERROR(__xludf.DUMMYFUNCTION("""COMPUTED_VALUE"""),"RESOLVED")</f>
        <v>RESOLVED</v>
      </c>
      <c r="E377" s="6">
        <f>IFERROR(__xludf.DUMMYFUNCTION("""COMPUTED_VALUE"""),44657.382199074076)</f>
        <v>44657.3822</v>
      </c>
      <c r="F377" s="4" t="str">
        <f>IFERROR(__xludf.DUMMYFUNCTION("""COMPUTED_VALUE""")," ---")</f>
        <v> ---</v>
      </c>
      <c r="G377" s="4" t="str">
        <f>IFERROR(__xludf.DUMMYFUNCTION("""COMPUTED_VALUE"""),"SUSE Linux Enterprise Server 15 SP1")</f>
        <v>SUSE Linux Enterprise Server 15 SP1</v>
      </c>
      <c r="H377" s="7" t="str">
        <f t="shared" si="2"/>
        <v>NO</v>
      </c>
      <c r="I377" s="7" t="str">
        <f t="shared" si="3"/>
        <v>NO</v>
      </c>
    </row>
    <row r="378">
      <c r="A378" s="4">
        <f>IFERROR(__xludf.DUMMYFUNCTION("""COMPUTED_VALUE"""),1123999.0)</f>
        <v>1123999</v>
      </c>
      <c r="B378" s="4" t="str">
        <f>IFERROR(__xludf.DUMMYFUNCTION("""COMPUTED_VALUE"""),"P3 - Medium")</f>
        <v>P3 - Medium</v>
      </c>
      <c r="C378" s="5">
        <f>IFERROR(__xludf.DUMMYFUNCTION("""COMPUTED_VALUE"""),43497.568240740744)</f>
        <v>43497.56824</v>
      </c>
      <c r="D378" s="4" t="str">
        <f>IFERROR(__xludf.DUMMYFUNCTION("""COMPUTED_VALUE"""),"RESOLVED")</f>
        <v>RESOLVED</v>
      </c>
      <c r="E378" s="6">
        <f>IFERROR(__xludf.DUMMYFUNCTION("""COMPUTED_VALUE"""),44285.59510416666)</f>
        <v>44285.5951</v>
      </c>
      <c r="F378" s="4" t="str">
        <f>IFERROR(__xludf.DUMMYFUNCTION("""COMPUTED_VALUE""")," ---")</f>
        <v> ---</v>
      </c>
      <c r="G378" s="4" t="str">
        <f>IFERROR(__xludf.DUMMYFUNCTION("""COMPUTED_VALUE"""),"SUSE Linux Enterprise Server 15 SP1")</f>
        <v>SUSE Linux Enterprise Server 15 SP1</v>
      </c>
      <c r="H378" s="7" t="str">
        <f t="shared" si="2"/>
        <v>NO</v>
      </c>
      <c r="I378" s="7" t="str">
        <f t="shared" si="3"/>
        <v>NO</v>
      </c>
    </row>
    <row r="379">
      <c r="A379" s="4">
        <f>IFERROR(__xludf.DUMMYFUNCTION("""COMPUTED_VALUE"""),1132401.0)</f>
        <v>1132401</v>
      </c>
      <c r="B379" s="4" t="str">
        <f>IFERROR(__xludf.DUMMYFUNCTION("""COMPUTED_VALUE"""),"P3 - Medium")</f>
        <v>P3 - Medium</v>
      </c>
      <c r="C379" s="5">
        <f>IFERROR(__xludf.DUMMYFUNCTION("""COMPUTED_VALUE"""),43567.76582175926)</f>
        <v>43567.76582</v>
      </c>
      <c r="D379" s="4" t="str">
        <f>IFERROR(__xludf.DUMMYFUNCTION("""COMPUTED_VALUE"""),"RESOLVED")</f>
        <v>RESOLVED</v>
      </c>
      <c r="E379" s="6">
        <f>IFERROR(__xludf.DUMMYFUNCTION("""COMPUTED_VALUE"""),43572.043761574074)</f>
        <v>43572.04376</v>
      </c>
      <c r="F379" s="4" t="str">
        <f>IFERROR(__xludf.DUMMYFUNCTION("""COMPUTED_VALUE""")," ---")</f>
        <v> ---</v>
      </c>
      <c r="G379" s="4" t="str">
        <f>IFERROR(__xludf.DUMMYFUNCTION("""COMPUTED_VALUE"""),"SUSE Linux Enterprise Server 15 SP1")</f>
        <v>SUSE Linux Enterprise Server 15 SP1</v>
      </c>
      <c r="H379" s="7" t="str">
        <f t="shared" si="2"/>
        <v>NO</v>
      </c>
      <c r="I379" s="7" t="str">
        <f t="shared" si="3"/>
        <v>NO</v>
      </c>
    </row>
    <row r="380">
      <c r="A380" s="4">
        <f>IFERROR(__xludf.DUMMYFUNCTION("""COMPUTED_VALUE"""),1113485.0)</f>
        <v>1113485</v>
      </c>
      <c r="B380" s="4" t="str">
        <f>IFERROR(__xludf.DUMMYFUNCTION("""COMPUTED_VALUE"""),"P3 - Medium")</f>
        <v>P3 - Medium</v>
      </c>
      <c r="C380" s="5">
        <f>IFERROR(__xludf.DUMMYFUNCTION("""COMPUTED_VALUE"""),43399.43109953704)</f>
        <v>43399.4311</v>
      </c>
      <c r="D380" s="4" t="str">
        <f>IFERROR(__xludf.DUMMYFUNCTION("""COMPUTED_VALUE"""),"RESOLVED")</f>
        <v>RESOLVED</v>
      </c>
      <c r="E380" s="6">
        <f>IFERROR(__xludf.DUMMYFUNCTION("""COMPUTED_VALUE"""),43630.62793981482)</f>
        <v>43630.62794</v>
      </c>
      <c r="F380" s="4" t="str">
        <f>IFERROR(__xludf.DUMMYFUNCTION("""COMPUTED_VALUE""")," ---")</f>
        <v> ---</v>
      </c>
      <c r="G380" s="4" t="str">
        <f>IFERROR(__xludf.DUMMYFUNCTION("""COMPUTED_VALUE"""),"SUSE Linux Enterprise Server 15 SP1")</f>
        <v>SUSE Linux Enterprise Server 15 SP1</v>
      </c>
      <c r="H380" s="7" t="str">
        <f t="shared" si="2"/>
        <v>NO</v>
      </c>
      <c r="I380" s="7" t="str">
        <f t="shared" si="3"/>
        <v>NO</v>
      </c>
    </row>
    <row r="381">
      <c r="A381" s="4">
        <f>IFERROR(__xludf.DUMMYFUNCTION("""COMPUTED_VALUE"""),1113486.0)</f>
        <v>1113486</v>
      </c>
      <c r="B381" s="4" t="str">
        <f>IFERROR(__xludf.DUMMYFUNCTION("""COMPUTED_VALUE"""),"P3 - Medium")</f>
        <v>P3 - Medium</v>
      </c>
      <c r="C381" s="5">
        <f>IFERROR(__xludf.DUMMYFUNCTION("""COMPUTED_VALUE"""),43399.4380787037)</f>
        <v>43399.43808</v>
      </c>
      <c r="D381" s="4" t="str">
        <f>IFERROR(__xludf.DUMMYFUNCTION("""COMPUTED_VALUE"""),"RESOLVED")</f>
        <v>RESOLVED</v>
      </c>
      <c r="E381" s="6">
        <f>IFERROR(__xludf.DUMMYFUNCTION("""COMPUTED_VALUE"""),43630.627974537034)</f>
        <v>43630.62797</v>
      </c>
      <c r="F381" s="4" t="str">
        <f>IFERROR(__xludf.DUMMYFUNCTION("""COMPUTED_VALUE""")," ---")</f>
        <v> ---</v>
      </c>
      <c r="G381" s="4" t="str">
        <f>IFERROR(__xludf.DUMMYFUNCTION("""COMPUTED_VALUE"""),"SUSE Linux Enterprise Server 15 SP1")</f>
        <v>SUSE Linux Enterprise Server 15 SP1</v>
      </c>
      <c r="H381" s="7" t="str">
        <f t="shared" si="2"/>
        <v>NO</v>
      </c>
      <c r="I381" s="7" t="str">
        <f t="shared" si="3"/>
        <v>NO</v>
      </c>
    </row>
    <row r="382">
      <c r="A382" s="4">
        <f>IFERROR(__xludf.DUMMYFUNCTION("""COMPUTED_VALUE"""),1113523.0)</f>
        <v>1113523</v>
      </c>
      <c r="B382" s="4" t="str">
        <f>IFERROR(__xludf.DUMMYFUNCTION("""COMPUTED_VALUE"""),"P3 - Medium")</f>
        <v>P3 - Medium</v>
      </c>
      <c r="C382" s="5">
        <f>IFERROR(__xludf.DUMMYFUNCTION("""COMPUTED_VALUE"""),43399.51445601852)</f>
        <v>43399.51446</v>
      </c>
      <c r="D382" s="4" t="str">
        <f>IFERROR(__xludf.DUMMYFUNCTION("""COMPUTED_VALUE"""),"RESOLVED")</f>
        <v>RESOLVED</v>
      </c>
      <c r="E382" s="6">
        <f>IFERROR(__xludf.DUMMYFUNCTION("""COMPUTED_VALUE"""),43630.628275462965)</f>
        <v>43630.62828</v>
      </c>
      <c r="F382" s="4" t="str">
        <f>IFERROR(__xludf.DUMMYFUNCTION("""COMPUTED_VALUE""")," ---")</f>
        <v> ---</v>
      </c>
      <c r="G382" s="4" t="str">
        <f>IFERROR(__xludf.DUMMYFUNCTION("""COMPUTED_VALUE"""),"SUSE Linux Enterprise Server 15 SP1")</f>
        <v>SUSE Linux Enterprise Server 15 SP1</v>
      </c>
      <c r="H382" s="7" t="str">
        <f t="shared" si="2"/>
        <v>NO</v>
      </c>
      <c r="I382" s="7" t="str">
        <f t="shared" si="3"/>
        <v>NO</v>
      </c>
    </row>
    <row r="383">
      <c r="A383" s="4">
        <f>IFERROR(__xludf.DUMMYFUNCTION("""COMPUTED_VALUE"""),1121075.0)</f>
        <v>1121075</v>
      </c>
      <c r="B383" s="4" t="str">
        <f>IFERROR(__xludf.DUMMYFUNCTION("""COMPUTED_VALUE"""),"P3 - Medium")</f>
        <v>P3 - Medium</v>
      </c>
      <c r="C383" s="5">
        <f>IFERROR(__xludf.DUMMYFUNCTION("""COMPUTED_VALUE"""),43473.534907407404)</f>
        <v>43473.53491</v>
      </c>
      <c r="D383" s="4" t="str">
        <f>IFERROR(__xludf.DUMMYFUNCTION("""COMPUTED_VALUE"""),"RESOLVED")</f>
        <v>RESOLVED</v>
      </c>
      <c r="E383" s="6">
        <f>IFERROR(__xludf.DUMMYFUNCTION("""COMPUTED_VALUE"""),43560.282743055555)</f>
        <v>43560.28274</v>
      </c>
      <c r="F383" s="4" t="str">
        <f>IFERROR(__xludf.DUMMYFUNCTION("""COMPUTED_VALUE""")," ---")</f>
        <v> ---</v>
      </c>
      <c r="G383" s="4" t="str">
        <f>IFERROR(__xludf.DUMMYFUNCTION("""COMPUTED_VALUE"""),"SUSE Linux Enterprise Server 15 SP1")</f>
        <v>SUSE Linux Enterprise Server 15 SP1</v>
      </c>
      <c r="H383" s="7" t="str">
        <f t="shared" si="2"/>
        <v>NO</v>
      </c>
      <c r="I383" s="7" t="str">
        <f t="shared" si="3"/>
        <v>NO</v>
      </c>
    </row>
    <row r="384">
      <c r="A384" s="4">
        <f>IFERROR(__xludf.DUMMYFUNCTION("""COMPUTED_VALUE"""),1123015.0)</f>
        <v>1123015</v>
      </c>
      <c r="B384" s="4" t="str">
        <f>IFERROR(__xludf.DUMMYFUNCTION("""COMPUTED_VALUE"""),"P3 - Medium")</f>
        <v>P3 - Medium</v>
      </c>
      <c r="C384" s="5">
        <f>IFERROR(__xludf.DUMMYFUNCTION("""COMPUTED_VALUE"""),43489.43337962963)</f>
        <v>43489.43338</v>
      </c>
      <c r="D384" s="4" t="str">
        <f>IFERROR(__xludf.DUMMYFUNCTION("""COMPUTED_VALUE"""),"RESOLVED")</f>
        <v>RESOLVED</v>
      </c>
      <c r="E384" s="6">
        <f>IFERROR(__xludf.DUMMYFUNCTION("""COMPUTED_VALUE"""),44362.50215277778)</f>
        <v>44362.50215</v>
      </c>
      <c r="F384" s="4" t="str">
        <f>IFERROR(__xludf.DUMMYFUNCTION("""COMPUTED_VALUE""")," ---")</f>
        <v> ---</v>
      </c>
      <c r="G384" s="4" t="str">
        <f>IFERROR(__xludf.DUMMYFUNCTION("""COMPUTED_VALUE"""),"SUSE Linux Enterprise Server 15 SP1")</f>
        <v>SUSE Linux Enterprise Server 15 SP1</v>
      </c>
      <c r="H384" s="7" t="str">
        <f t="shared" si="2"/>
        <v>NO</v>
      </c>
      <c r="I384" s="7" t="str">
        <f t="shared" si="3"/>
        <v>NO</v>
      </c>
    </row>
    <row r="385">
      <c r="A385" s="4">
        <f>IFERROR(__xludf.DUMMYFUNCTION("""COMPUTED_VALUE"""),1126993.0)</f>
        <v>1126993</v>
      </c>
      <c r="B385" s="4" t="str">
        <f>IFERROR(__xludf.DUMMYFUNCTION("""COMPUTED_VALUE"""),"P3 - Medium")</f>
        <v>P3 - Medium</v>
      </c>
      <c r="C385" s="5">
        <f>IFERROR(__xludf.DUMMYFUNCTION("""COMPUTED_VALUE"""),43522.46571759259)</f>
        <v>43522.46572</v>
      </c>
      <c r="D385" s="4" t="str">
        <f>IFERROR(__xludf.DUMMYFUNCTION("""COMPUTED_VALUE"""),"RESOLVED")</f>
        <v>RESOLVED</v>
      </c>
      <c r="E385" s="6">
        <f>IFERROR(__xludf.DUMMYFUNCTION("""COMPUTED_VALUE"""),43630.63402777778)</f>
        <v>43630.63403</v>
      </c>
      <c r="F385" s="4" t="str">
        <f>IFERROR(__xludf.DUMMYFUNCTION("""COMPUTED_VALUE""")," ---")</f>
        <v> ---</v>
      </c>
      <c r="G385" s="4" t="str">
        <f>IFERROR(__xludf.DUMMYFUNCTION("""COMPUTED_VALUE"""),"SUSE Linux Enterprise Server 15 SP1")</f>
        <v>SUSE Linux Enterprise Server 15 SP1</v>
      </c>
      <c r="H385" s="7" t="str">
        <f t="shared" si="2"/>
        <v>NO</v>
      </c>
      <c r="I385" s="7" t="str">
        <f t="shared" si="3"/>
        <v>NO</v>
      </c>
    </row>
    <row r="386">
      <c r="A386" s="4">
        <f>IFERROR(__xludf.DUMMYFUNCTION("""COMPUTED_VALUE"""),1130529.0)</f>
        <v>1130529</v>
      </c>
      <c r="B386" s="4" t="str">
        <f>IFERROR(__xludf.DUMMYFUNCTION("""COMPUTED_VALUE"""),"P3 - Medium")</f>
        <v>P3 - Medium</v>
      </c>
      <c r="C386" s="5">
        <f>IFERROR(__xludf.DUMMYFUNCTION("""COMPUTED_VALUE"""),43550.54818287037)</f>
        <v>43550.54818</v>
      </c>
      <c r="D386" s="4" t="str">
        <f>IFERROR(__xludf.DUMMYFUNCTION("""COMPUTED_VALUE"""),"RESOLVED")</f>
        <v>RESOLVED</v>
      </c>
      <c r="E386" s="6">
        <f>IFERROR(__xludf.DUMMYFUNCTION("""COMPUTED_VALUE"""),43871.96665509259)</f>
        <v>43871.96666</v>
      </c>
      <c r="F386" s="4" t="str">
        <f>IFERROR(__xludf.DUMMYFUNCTION("""COMPUTED_VALUE""")," ---")</f>
        <v> ---</v>
      </c>
      <c r="G386" s="4" t="str">
        <f>IFERROR(__xludf.DUMMYFUNCTION("""COMPUTED_VALUE"""),"SUSE Linux Enterprise Server 15 SP1")</f>
        <v>SUSE Linux Enterprise Server 15 SP1</v>
      </c>
      <c r="H386" s="7" t="str">
        <f t="shared" si="2"/>
        <v>NO</v>
      </c>
      <c r="I386" s="7" t="str">
        <f t="shared" si="3"/>
        <v>NO</v>
      </c>
    </row>
    <row r="387">
      <c r="A387" s="4">
        <f>IFERROR(__xludf.DUMMYFUNCTION("""COMPUTED_VALUE"""),1112770.0)</f>
        <v>1112770</v>
      </c>
      <c r="B387" s="4" t="str">
        <f>IFERROR(__xludf.DUMMYFUNCTION("""COMPUTED_VALUE"""),"P3 - Medium")</f>
        <v>P3 - Medium</v>
      </c>
      <c r="C387" s="5">
        <f>IFERROR(__xludf.DUMMYFUNCTION("""COMPUTED_VALUE"""),43395.59940972222)</f>
        <v>43395.59941</v>
      </c>
      <c r="D387" s="4" t="str">
        <f>IFERROR(__xludf.DUMMYFUNCTION("""COMPUTED_VALUE"""),"RESOLVED")</f>
        <v>RESOLVED</v>
      </c>
      <c r="E387" s="6">
        <f>IFERROR(__xludf.DUMMYFUNCTION("""COMPUTED_VALUE"""),43630.627546296295)</f>
        <v>43630.62755</v>
      </c>
      <c r="F387" s="4" t="str">
        <f>IFERROR(__xludf.DUMMYFUNCTION("""COMPUTED_VALUE""")," ---")</f>
        <v> ---</v>
      </c>
      <c r="G387" s="4" t="str">
        <f>IFERROR(__xludf.DUMMYFUNCTION("""COMPUTED_VALUE"""),"SUSE Linux Enterprise Server 15 SP1")</f>
        <v>SUSE Linux Enterprise Server 15 SP1</v>
      </c>
      <c r="H387" s="7" t="str">
        <f t="shared" si="2"/>
        <v>NO</v>
      </c>
      <c r="I387" s="7" t="str">
        <f t="shared" si="3"/>
        <v>NO</v>
      </c>
    </row>
    <row r="388">
      <c r="A388" s="4">
        <f>IFERROR(__xludf.DUMMYFUNCTION("""COMPUTED_VALUE"""),1103986.0)</f>
        <v>1103986</v>
      </c>
      <c r="B388" s="4" t="str">
        <f>IFERROR(__xludf.DUMMYFUNCTION("""COMPUTED_VALUE"""),"P3 - Medium")</f>
        <v>P3 - Medium</v>
      </c>
      <c r="C388" s="5">
        <f>IFERROR(__xludf.DUMMYFUNCTION("""COMPUTED_VALUE"""),43319.22850694445)</f>
        <v>43319.22851</v>
      </c>
      <c r="D388" s="4" t="str">
        <f>IFERROR(__xludf.DUMMYFUNCTION("""COMPUTED_VALUE"""),"RESOLVED")</f>
        <v>RESOLVED</v>
      </c>
      <c r="E388" s="6">
        <f>IFERROR(__xludf.DUMMYFUNCTION("""COMPUTED_VALUE"""),43479.2784837963)</f>
        <v>43479.27848</v>
      </c>
      <c r="F388" s="4" t="str">
        <f>IFERROR(__xludf.DUMMYFUNCTION("""COMPUTED_VALUE""")," ---")</f>
        <v> ---</v>
      </c>
      <c r="G388" s="4" t="str">
        <f>IFERROR(__xludf.DUMMYFUNCTION("""COMPUTED_VALUE"""),"SUSE Linux Enterprise Server 15 SP1")</f>
        <v>SUSE Linux Enterprise Server 15 SP1</v>
      </c>
      <c r="H388" s="7" t="str">
        <f t="shared" si="2"/>
        <v>NO</v>
      </c>
      <c r="I388" s="7" t="str">
        <f t="shared" si="3"/>
        <v>NO</v>
      </c>
    </row>
    <row r="389">
      <c r="A389" s="4">
        <f>IFERROR(__xludf.DUMMYFUNCTION("""COMPUTED_VALUE"""),1103988.0)</f>
        <v>1103988</v>
      </c>
      <c r="B389" s="4" t="str">
        <f>IFERROR(__xludf.DUMMYFUNCTION("""COMPUTED_VALUE"""),"P3 - Medium")</f>
        <v>P3 - Medium</v>
      </c>
      <c r="C389" s="5">
        <f>IFERROR(__xludf.DUMMYFUNCTION("""COMPUTED_VALUE"""),43319.23875)</f>
        <v>43319.23875</v>
      </c>
      <c r="D389" s="4" t="str">
        <f>IFERROR(__xludf.DUMMYFUNCTION("""COMPUTED_VALUE"""),"RESOLVED")</f>
        <v>RESOLVED</v>
      </c>
      <c r="E389" s="6">
        <f>IFERROR(__xludf.DUMMYFUNCTION("""COMPUTED_VALUE"""),43630.62462962963)</f>
        <v>43630.62463</v>
      </c>
      <c r="F389" s="4" t="str">
        <f>IFERROR(__xludf.DUMMYFUNCTION("""COMPUTED_VALUE""")," ---")</f>
        <v> ---</v>
      </c>
      <c r="G389" s="4" t="str">
        <f>IFERROR(__xludf.DUMMYFUNCTION("""COMPUTED_VALUE"""),"SUSE Linux Enterprise Server 15 SP1")</f>
        <v>SUSE Linux Enterprise Server 15 SP1</v>
      </c>
      <c r="H389" s="7" t="str">
        <f t="shared" si="2"/>
        <v>NO</v>
      </c>
      <c r="I389" s="7" t="str">
        <f t="shared" si="3"/>
        <v>NO</v>
      </c>
    </row>
    <row r="390">
      <c r="A390" s="4">
        <f>IFERROR(__xludf.DUMMYFUNCTION("""COMPUTED_VALUE"""),1103989.0)</f>
        <v>1103989</v>
      </c>
      <c r="B390" s="4" t="str">
        <f>IFERROR(__xludf.DUMMYFUNCTION("""COMPUTED_VALUE"""),"P3 - Medium")</f>
        <v>P3 - Medium</v>
      </c>
      <c r="C390" s="5">
        <f>IFERROR(__xludf.DUMMYFUNCTION("""COMPUTED_VALUE"""),43319.24277777778)</f>
        <v>43319.24278</v>
      </c>
      <c r="D390" s="4" t="str">
        <f>IFERROR(__xludf.DUMMYFUNCTION("""COMPUTED_VALUE"""),"RESOLVED")</f>
        <v>RESOLVED</v>
      </c>
      <c r="E390" s="6">
        <f>IFERROR(__xludf.DUMMYFUNCTION("""COMPUTED_VALUE"""),43903.501747685186)</f>
        <v>43903.50175</v>
      </c>
      <c r="F390" s="4" t="str">
        <f>IFERROR(__xludf.DUMMYFUNCTION("""COMPUTED_VALUE""")," ---")</f>
        <v> ---</v>
      </c>
      <c r="G390" s="4" t="str">
        <f>IFERROR(__xludf.DUMMYFUNCTION("""COMPUTED_VALUE"""),"SUSE Linux Enterprise Server 15 SP1")</f>
        <v>SUSE Linux Enterprise Server 15 SP1</v>
      </c>
      <c r="H390" s="7" t="str">
        <f t="shared" si="2"/>
        <v>NO</v>
      </c>
      <c r="I390" s="7" t="str">
        <f t="shared" si="3"/>
        <v>NO</v>
      </c>
    </row>
    <row r="391">
      <c r="A391" s="4">
        <f>IFERROR(__xludf.DUMMYFUNCTION("""COMPUTED_VALUE"""),1103990.0)</f>
        <v>1103990</v>
      </c>
      <c r="B391" s="4" t="str">
        <f>IFERROR(__xludf.DUMMYFUNCTION("""COMPUTED_VALUE"""),"P3 - Medium")</f>
        <v>P3 - Medium</v>
      </c>
      <c r="C391" s="5">
        <f>IFERROR(__xludf.DUMMYFUNCTION("""COMPUTED_VALUE"""),43319.246458333335)</f>
        <v>43319.24646</v>
      </c>
      <c r="D391" s="4" t="str">
        <f>IFERROR(__xludf.DUMMYFUNCTION("""COMPUTED_VALUE"""),"RESOLVED")</f>
        <v>RESOLVED</v>
      </c>
      <c r="E391" s="6">
        <f>IFERROR(__xludf.DUMMYFUNCTION("""COMPUTED_VALUE"""),44391.84631944444)</f>
        <v>44391.84632</v>
      </c>
      <c r="F391" s="4" t="str">
        <f>IFERROR(__xludf.DUMMYFUNCTION("""COMPUTED_VALUE""")," ---")</f>
        <v> ---</v>
      </c>
      <c r="G391" s="4" t="str">
        <f>IFERROR(__xludf.DUMMYFUNCTION("""COMPUTED_VALUE"""),"SUSE Linux Enterprise Server 15 SP1")</f>
        <v>SUSE Linux Enterprise Server 15 SP1</v>
      </c>
      <c r="H391" s="7" t="str">
        <f t="shared" si="2"/>
        <v>NO</v>
      </c>
      <c r="I391" s="7" t="str">
        <f t="shared" si="3"/>
        <v>NO</v>
      </c>
    </row>
    <row r="392">
      <c r="A392" s="4">
        <f>IFERROR(__xludf.DUMMYFUNCTION("""COMPUTED_VALUE"""),1103991.0)</f>
        <v>1103991</v>
      </c>
      <c r="B392" s="4" t="str">
        <f>IFERROR(__xludf.DUMMYFUNCTION("""COMPUTED_VALUE"""),"P3 - Medium")</f>
        <v>P3 - Medium</v>
      </c>
      <c r="C392" s="5">
        <f>IFERROR(__xludf.DUMMYFUNCTION("""COMPUTED_VALUE"""),43319.249444444446)</f>
        <v>43319.24944</v>
      </c>
      <c r="D392" s="4" t="str">
        <f>IFERROR(__xludf.DUMMYFUNCTION("""COMPUTED_VALUE"""),"RESOLVED")</f>
        <v>RESOLVED</v>
      </c>
      <c r="E392" s="6">
        <f>IFERROR(__xludf.DUMMYFUNCTION("""COMPUTED_VALUE"""),44629.00912037037)</f>
        <v>44629.00912</v>
      </c>
      <c r="F392" s="4" t="str">
        <f>IFERROR(__xludf.DUMMYFUNCTION("""COMPUTED_VALUE""")," ---")</f>
        <v> ---</v>
      </c>
      <c r="G392" s="4" t="str">
        <f>IFERROR(__xludf.DUMMYFUNCTION("""COMPUTED_VALUE"""),"SUSE Linux Enterprise Server 15 SP1")</f>
        <v>SUSE Linux Enterprise Server 15 SP1</v>
      </c>
      <c r="H392" s="7" t="str">
        <f t="shared" si="2"/>
        <v>NO</v>
      </c>
      <c r="I392" s="7" t="str">
        <f t="shared" si="3"/>
        <v>NO</v>
      </c>
    </row>
    <row r="393">
      <c r="A393" s="4">
        <f>IFERROR(__xludf.DUMMYFUNCTION("""COMPUTED_VALUE"""),1103994.0)</f>
        <v>1103994</v>
      </c>
      <c r="B393" s="4" t="str">
        <f>IFERROR(__xludf.DUMMYFUNCTION("""COMPUTED_VALUE"""),"P3 - Medium")</f>
        <v>P3 - Medium</v>
      </c>
      <c r="C393" s="5">
        <f>IFERROR(__xludf.DUMMYFUNCTION("""COMPUTED_VALUE"""),43319.25571759259)</f>
        <v>43319.25572</v>
      </c>
      <c r="D393" s="4" t="str">
        <f>IFERROR(__xludf.DUMMYFUNCTION("""COMPUTED_VALUE"""),"RESOLVED")</f>
        <v>RESOLVED</v>
      </c>
      <c r="E393" s="6">
        <f>IFERROR(__xludf.DUMMYFUNCTION("""COMPUTED_VALUE"""),43479.30200231481)</f>
        <v>43479.302</v>
      </c>
      <c r="F393" s="4" t="str">
        <f>IFERROR(__xludf.DUMMYFUNCTION("""COMPUTED_VALUE""")," ---")</f>
        <v> ---</v>
      </c>
      <c r="G393" s="4" t="str">
        <f>IFERROR(__xludf.DUMMYFUNCTION("""COMPUTED_VALUE"""),"SUSE Linux Enterprise Server 15 SP1")</f>
        <v>SUSE Linux Enterprise Server 15 SP1</v>
      </c>
      <c r="H393" s="7" t="str">
        <f t="shared" si="2"/>
        <v>NO</v>
      </c>
      <c r="I393" s="7" t="str">
        <f t="shared" si="3"/>
        <v>NO</v>
      </c>
    </row>
    <row r="394">
      <c r="A394" s="4">
        <f>IFERROR(__xludf.DUMMYFUNCTION("""COMPUTED_VALUE"""),1104014.0)</f>
        <v>1104014</v>
      </c>
      <c r="B394" s="4" t="str">
        <f>IFERROR(__xludf.DUMMYFUNCTION("""COMPUTED_VALUE"""),"P3 - Medium")</f>
        <v>P3 - Medium</v>
      </c>
      <c r="C394" s="5">
        <f>IFERROR(__xludf.DUMMYFUNCTION("""COMPUTED_VALUE"""),43319.30876157407)</f>
        <v>43319.30876</v>
      </c>
      <c r="D394" s="4" t="str">
        <f>IFERROR(__xludf.DUMMYFUNCTION("""COMPUTED_VALUE"""),"RESOLVED")</f>
        <v>RESOLVED</v>
      </c>
      <c r="E394" s="6">
        <f>IFERROR(__xludf.DUMMYFUNCTION("""COMPUTED_VALUE"""),43479.301458333335)</f>
        <v>43479.30146</v>
      </c>
      <c r="F394" s="4" t="str">
        <f>IFERROR(__xludf.DUMMYFUNCTION("""COMPUTED_VALUE""")," ---")</f>
        <v> ---</v>
      </c>
      <c r="G394" s="4" t="str">
        <f>IFERROR(__xludf.DUMMYFUNCTION("""COMPUTED_VALUE"""),"SUSE Linux Enterprise Server 15 SP1")</f>
        <v>SUSE Linux Enterprise Server 15 SP1</v>
      </c>
      <c r="H394" s="7" t="str">
        <f t="shared" si="2"/>
        <v>NO</v>
      </c>
      <c r="I394" s="7" t="str">
        <f t="shared" si="3"/>
        <v>NO</v>
      </c>
    </row>
    <row r="395">
      <c r="A395" s="4">
        <f>IFERROR(__xludf.DUMMYFUNCTION("""COMPUTED_VALUE"""),1104270.0)</f>
        <v>1104270</v>
      </c>
      <c r="B395" s="4" t="str">
        <f>IFERROR(__xludf.DUMMYFUNCTION("""COMPUTED_VALUE"""),"P3 - Medium")</f>
        <v>P3 - Medium</v>
      </c>
      <c r="C395" s="5">
        <f>IFERROR(__xludf.DUMMYFUNCTION("""COMPUTED_VALUE"""),43321.145324074074)</f>
        <v>43321.14532</v>
      </c>
      <c r="D395" s="4" t="str">
        <f>IFERROR(__xludf.DUMMYFUNCTION("""COMPUTED_VALUE"""),"RESOLVED")</f>
        <v>RESOLVED</v>
      </c>
      <c r="E395" s="6">
        <f>IFERROR(__xludf.DUMMYFUNCTION("""COMPUTED_VALUE"""),44301.68922453704)</f>
        <v>44301.68922</v>
      </c>
      <c r="F395" s="4" t="str">
        <f>IFERROR(__xludf.DUMMYFUNCTION("""COMPUTED_VALUE""")," ---")</f>
        <v> ---</v>
      </c>
      <c r="G395" s="4" t="str">
        <f>IFERROR(__xludf.DUMMYFUNCTION("""COMPUTED_VALUE"""),"SUSE Linux Enterprise Server 15 SP1")</f>
        <v>SUSE Linux Enterprise Server 15 SP1</v>
      </c>
      <c r="H395" s="7" t="str">
        <f t="shared" si="2"/>
        <v>NO</v>
      </c>
      <c r="I395" s="7" t="str">
        <f t="shared" si="3"/>
        <v>NO</v>
      </c>
    </row>
    <row r="396">
      <c r="A396" s="4">
        <f>IFERROR(__xludf.DUMMYFUNCTION("""COMPUTED_VALUE"""),1104276.0)</f>
        <v>1104276</v>
      </c>
      <c r="B396" s="4" t="str">
        <f>IFERROR(__xludf.DUMMYFUNCTION("""COMPUTED_VALUE"""),"P3 - Medium")</f>
        <v>P3 - Medium</v>
      </c>
      <c r="C396" s="5">
        <f>IFERROR(__xludf.DUMMYFUNCTION("""COMPUTED_VALUE"""),43321.17574074074)</f>
        <v>43321.17574</v>
      </c>
      <c r="D396" s="4" t="str">
        <f>IFERROR(__xludf.DUMMYFUNCTION("""COMPUTED_VALUE"""),"RESOLVED")</f>
        <v>RESOLVED</v>
      </c>
      <c r="E396" s="6">
        <f>IFERROR(__xludf.DUMMYFUNCTION("""COMPUTED_VALUE"""),43630.62490740741)</f>
        <v>43630.62491</v>
      </c>
      <c r="F396" s="4" t="str">
        <f>IFERROR(__xludf.DUMMYFUNCTION("""COMPUTED_VALUE""")," ---")</f>
        <v> ---</v>
      </c>
      <c r="G396" s="4" t="str">
        <f>IFERROR(__xludf.DUMMYFUNCTION("""COMPUTED_VALUE"""),"SUSE Linux Enterprise Server 15 SP1")</f>
        <v>SUSE Linux Enterprise Server 15 SP1</v>
      </c>
      <c r="H396" s="7" t="str">
        <f t="shared" si="2"/>
        <v>NO</v>
      </c>
      <c r="I396" s="7" t="str">
        <f t="shared" si="3"/>
        <v>NO</v>
      </c>
    </row>
    <row r="397">
      <c r="A397" s="4">
        <f>IFERROR(__xludf.DUMMYFUNCTION("""COMPUTED_VALUE"""),1104277.0)</f>
        <v>1104277</v>
      </c>
      <c r="B397" s="4" t="str">
        <f>IFERROR(__xludf.DUMMYFUNCTION("""COMPUTED_VALUE"""),"P3 - Medium")</f>
        <v>P3 - Medium</v>
      </c>
      <c r="C397" s="5">
        <f>IFERROR(__xludf.DUMMYFUNCTION("""COMPUTED_VALUE"""),43321.17841435185)</f>
        <v>43321.17841</v>
      </c>
      <c r="D397" s="4" t="str">
        <f>IFERROR(__xludf.DUMMYFUNCTION("""COMPUTED_VALUE"""),"RESOLVED")</f>
        <v>RESOLVED</v>
      </c>
      <c r="E397" s="6">
        <f>IFERROR(__xludf.DUMMYFUNCTION("""COMPUTED_VALUE"""),44246.84596064815)</f>
        <v>44246.84596</v>
      </c>
      <c r="F397" s="4" t="str">
        <f>IFERROR(__xludf.DUMMYFUNCTION("""COMPUTED_VALUE""")," ---")</f>
        <v> ---</v>
      </c>
      <c r="G397" s="4" t="str">
        <f>IFERROR(__xludf.DUMMYFUNCTION("""COMPUTED_VALUE"""),"SUSE Linux Enterprise Server 15 SP1")</f>
        <v>SUSE Linux Enterprise Server 15 SP1</v>
      </c>
      <c r="H397" s="7" t="str">
        <f t="shared" si="2"/>
        <v>NO</v>
      </c>
      <c r="I397" s="7" t="str">
        <f t="shared" si="3"/>
        <v>NO</v>
      </c>
    </row>
    <row r="398">
      <c r="A398" s="4">
        <f>IFERROR(__xludf.DUMMYFUNCTION("""COMPUTED_VALUE"""),1104279.0)</f>
        <v>1104279</v>
      </c>
      <c r="B398" s="4" t="str">
        <f>IFERROR(__xludf.DUMMYFUNCTION("""COMPUTED_VALUE"""),"P3 - Medium")</f>
        <v>P3 - Medium</v>
      </c>
      <c r="C398" s="5">
        <f>IFERROR(__xludf.DUMMYFUNCTION("""COMPUTED_VALUE"""),43321.195127314815)</f>
        <v>43321.19513</v>
      </c>
      <c r="D398" s="4" t="str">
        <f>IFERROR(__xludf.DUMMYFUNCTION("""COMPUTED_VALUE"""),"RESOLVED")</f>
        <v>RESOLVED</v>
      </c>
      <c r="E398" s="6">
        <f>IFERROR(__xludf.DUMMYFUNCTION("""COMPUTED_VALUE"""),44246.846030092594)</f>
        <v>44246.84603</v>
      </c>
      <c r="F398" s="4" t="str">
        <f>IFERROR(__xludf.DUMMYFUNCTION("""COMPUTED_VALUE""")," ---")</f>
        <v> ---</v>
      </c>
      <c r="G398" s="4" t="str">
        <f>IFERROR(__xludf.DUMMYFUNCTION("""COMPUTED_VALUE"""),"SUSE Linux Enterprise Server 15 SP1")</f>
        <v>SUSE Linux Enterprise Server 15 SP1</v>
      </c>
      <c r="H398" s="7" t="str">
        <f t="shared" si="2"/>
        <v>NO</v>
      </c>
      <c r="I398" s="7" t="str">
        <f t="shared" si="3"/>
        <v>NO</v>
      </c>
    </row>
    <row r="399">
      <c r="A399" s="4">
        <f>IFERROR(__xludf.DUMMYFUNCTION("""COMPUTED_VALUE"""),1104284.0)</f>
        <v>1104284</v>
      </c>
      <c r="B399" s="4" t="str">
        <f>IFERROR(__xludf.DUMMYFUNCTION("""COMPUTED_VALUE"""),"P3 - Medium")</f>
        <v>P3 - Medium</v>
      </c>
      <c r="C399" s="5">
        <f>IFERROR(__xludf.DUMMYFUNCTION("""COMPUTED_VALUE"""),43321.21359953703)</f>
        <v>43321.2136</v>
      </c>
      <c r="D399" s="4" t="str">
        <f>IFERROR(__xludf.DUMMYFUNCTION("""COMPUTED_VALUE"""),"RESOLVED")</f>
        <v>RESOLVED</v>
      </c>
      <c r="E399" s="6">
        <f>IFERROR(__xludf.DUMMYFUNCTION("""COMPUTED_VALUE"""),43454.08712962963)</f>
        <v>43454.08713</v>
      </c>
      <c r="F399" s="4" t="str">
        <f>IFERROR(__xludf.DUMMYFUNCTION("""COMPUTED_VALUE""")," ---")</f>
        <v> ---</v>
      </c>
      <c r="G399" s="4" t="str">
        <f>IFERROR(__xludf.DUMMYFUNCTION("""COMPUTED_VALUE"""),"SUSE Linux Enterprise Server 15 SP1")</f>
        <v>SUSE Linux Enterprise Server 15 SP1</v>
      </c>
      <c r="H399" s="7" t="str">
        <f t="shared" si="2"/>
        <v>NO</v>
      </c>
      <c r="I399" s="7" t="str">
        <f t="shared" si="3"/>
        <v>NO</v>
      </c>
    </row>
    <row r="400">
      <c r="A400" s="4">
        <f>IFERROR(__xludf.DUMMYFUNCTION("""COMPUTED_VALUE"""),1104285.0)</f>
        <v>1104285</v>
      </c>
      <c r="B400" s="4" t="str">
        <f>IFERROR(__xludf.DUMMYFUNCTION("""COMPUTED_VALUE"""),"P3 - Medium")</f>
        <v>P3 - Medium</v>
      </c>
      <c r="C400" s="5">
        <f>IFERROR(__xludf.DUMMYFUNCTION("""COMPUTED_VALUE"""),43321.21608796297)</f>
        <v>43321.21609</v>
      </c>
      <c r="D400" s="4" t="str">
        <f>IFERROR(__xludf.DUMMYFUNCTION("""COMPUTED_VALUE"""),"RESOLVED")</f>
        <v>RESOLVED</v>
      </c>
      <c r="E400" s="6">
        <f>IFERROR(__xludf.DUMMYFUNCTION("""COMPUTED_VALUE"""),43479.288935185185)</f>
        <v>43479.28894</v>
      </c>
      <c r="F400" s="4" t="str">
        <f>IFERROR(__xludf.DUMMYFUNCTION("""COMPUTED_VALUE""")," ---")</f>
        <v> ---</v>
      </c>
      <c r="G400" s="4" t="str">
        <f>IFERROR(__xludf.DUMMYFUNCTION("""COMPUTED_VALUE"""),"SUSE Linux Enterprise Server 15 SP1")</f>
        <v>SUSE Linux Enterprise Server 15 SP1</v>
      </c>
      <c r="H400" s="7" t="str">
        <f t="shared" si="2"/>
        <v>NO</v>
      </c>
      <c r="I400" s="7" t="str">
        <f t="shared" si="3"/>
        <v>NO</v>
      </c>
    </row>
    <row r="401">
      <c r="A401" s="4">
        <f>IFERROR(__xludf.DUMMYFUNCTION("""COMPUTED_VALUE"""),1104291.0)</f>
        <v>1104291</v>
      </c>
      <c r="B401" s="4" t="str">
        <f>IFERROR(__xludf.DUMMYFUNCTION("""COMPUTED_VALUE"""),"P3 - Medium")</f>
        <v>P3 - Medium</v>
      </c>
      <c r="C401" s="5">
        <f>IFERROR(__xludf.DUMMYFUNCTION("""COMPUTED_VALUE"""),43321.24300925926)</f>
        <v>43321.24301</v>
      </c>
      <c r="D401" s="4" t="str">
        <f>IFERROR(__xludf.DUMMYFUNCTION("""COMPUTED_VALUE"""),"RESOLVED")</f>
        <v>RESOLVED</v>
      </c>
      <c r="E401" s="6">
        <f>IFERROR(__xludf.DUMMYFUNCTION("""COMPUTED_VALUE"""),43336.6856712963)</f>
        <v>43336.68567</v>
      </c>
      <c r="F401" s="4" t="str">
        <f>IFERROR(__xludf.DUMMYFUNCTION("""COMPUTED_VALUE""")," ---")</f>
        <v> ---</v>
      </c>
      <c r="G401" s="4" t="str">
        <f>IFERROR(__xludf.DUMMYFUNCTION("""COMPUTED_VALUE"""),"SUSE Linux Enterprise Server 15 SP1")</f>
        <v>SUSE Linux Enterprise Server 15 SP1</v>
      </c>
      <c r="H401" s="7" t="str">
        <f t="shared" si="2"/>
        <v>NO</v>
      </c>
      <c r="I401" s="7" t="str">
        <f t="shared" si="3"/>
        <v>NO</v>
      </c>
    </row>
    <row r="402">
      <c r="A402" s="4">
        <f>IFERROR(__xludf.DUMMYFUNCTION("""COMPUTED_VALUE"""),1104292.0)</f>
        <v>1104292</v>
      </c>
      <c r="B402" s="4" t="str">
        <f>IFERROR(__xludf.DUMMYFUNCTION("""COMPUTED_VALUE"""),"P3 - Medium")</f>
        <v>P3 - Medium</v>
      </c>
      <c r="C402" s="5">
        <f>IFERROR(__xludf.DUMMYFUNCTION("""COMPUTED_VALUE"""),43321.24569444444)</f>
        <v>43321.24569</v>
      </c>
      <c r="D402" s="4" t="str">
        <f>IFERROR(__xludf.DUMMYFUNCTION("""COMPUTED_VALUE"""),"RESOLVED")</f>
        <v>RESOLVED</v>
      </c>
      <c r="E402" s="6">
        <f>IFERROR(__xludf.DUMMYFUNCTION("""COMPUTED_VALUE"""),43336.68696759259)</f>
        <v>43336.68697</v>
      </c>
      <c r="F402" s="4" t="str">
        <f>IFERROR(__xludf.DUMMYFUNCTION("""COMPUTED_VALUE""")," ---")</f>
        <v> ---</v>
      </c>
      <c r="G402" s="4" t="str">
        <f>IFERROR(__xludf.DUMMYFUNCTION("""COMPUTED_VALUE"""),"SUSE Linux Enterprise Server 15 SP1")</f>
        <v>SUSE Linux Enterprise Server 15 SP1</v>
      </c>
      <c r="H402" s="7" t="str">
        <f t="shared" si="2"/>
        <v>NO</v>
      </c>
      <c r="I402" s="7" t="str">
        <f t="shared" si="3"/>
        <v>NO</v>
      </c>
    </row>
    <row r="403">
      <c r="A403" s="4">
        <f>IFERROR(__xludf.DUMMYFUNCTION("""COMPUTED_VALUE"""),1104353.0)</f>
        <v>1104353</v>
      </c>
      <c r="B403" s="4" t="str">
        <f>IFERROR(__xludf.DUMMYFUNCTION("""COMPUTED_VALUE"""),"P3 - Medium")</f>
        <v>P3 - Medium</v>
      </c>
      <c r="C403" s="5">
        <f>IFERROR(__xludf.DUMMYFUNCTION("""COMPUTED_VALUE"""),43321.48453703704)</f>
        <v>43321.48454</v>
      </c>
      <c r="D403" s="4" t="str">
        <f>IFERROR(__xludf.DUMMYFUNCTION("""COMPUTED_VALUE"""),"RESOLVED")</f>
        <v>RESOLVED</v>
      </c>
      <c r="E403" s="6">
        <f>IFERROR(__xludf.DUMMYFUNCTION("""COMPUTED_VALUE"""),44624.86875)</f>
        <v>44624.86875</v>
      </c>
      <c r="F403" s="4" t="str">
        <f>IFERROR(__xludf.DUMMYFUNCTION("""COMPUTED_VALUE""")," ---")</f>
        <v> ---</v>
      </c>
      <c r="G403" s="4" t="str">
        <f>IFERROR(__xludf.DUMMYFUNCTION("""COMPUTED_VALUE"""),"SUSE Linux Enterprise Server 15 SP1")</f>
        <v>SUSE Linux Enterprise Server 15 SP1</v>
      </c>
      <c r="H403" s="7" t="str">
        <f t="shared" si="2"/>
        <v>NO</v>
      </c>
      <c r="I403" s="7" t="str">
        <f t="shared" si="3"/>
        <v>NO</v>
      </c>
    </row>
    <row r="404">
      <c r="A404" s="4">
        <f>IFERROR(__xludf.DUMMYFUNCTION("""COMPUTED_VALUE"""),1104376.0)</f>
        <v>1104376</v>
      </c>
      <c r="B404" s="4" t="str">
        <f>IFERROR(__xludf.DUMMYFUNCTION("""COMPUTED_VALUE"""),"P3 - Medium")</f>
        <v>P3 - Medium</v>
      </c>
      <c r="C404" s="5">
        <f>IFERROR(__xludf.DUMMYFUNCTION("""COMPUTED_VALUE"""),43321.67178240741)</f>
        <v>43321.67178</v>
      </c>
      <c r="D404" s="4" t="str">
        <f>IFERROR(__xludf.DUMMYFUNCTION("""COMPUTED_VALUE"""),"RESOLVED")</f>
        <v>RESOLVED</v>
      </c>
      <c r="E404" s="6">
        <f>IFERROR(__xludf.DUMMYFUNCTION("""COMPUTED_VALUE"""),43630.62517361111)</f>
        <v>43630.62517</v>
      </c>
      <c r="F404" s="4" t="str">
        <f>IFERROR(__xludf.DUMMYFUNCTION("""COMPUTED_VALUE""")," ---")</f>
        <v> ---</v>
      </c>
      <c r="G404" s="4" t="str">
        <f>IFERROR(__xludf.DUMMYFUNCTION("""COMPUTED_VALUE"""),"SUSE Linux Enterprise Server 15 SP1")</f>
        <v>SUSE Linux Enterprise Server 15 SP1</v>
      </c>
      <c r="H404" s="7" t="str">
        <f t="shared" si="2"/>
        <v>NO</v>
      </c>
      <c r="I404" s="7" t="str">
        <f t="shared" si="3"/>
        <v>NO</v>
      </c>
    </row>
    <row r="405">
      <c r="A405" s="4">
        <f>IFERROR(__xludf.DUMMYFUNCTION("""COMPUTED_VALUE"""),1104389.0)</f>
        <v>1104389</v>
      </c>
      <c r="B405" s="4" t="str">
        <f>IFERROR(__xludf.DUMMYFUNCTION("""COMPUTED_VALUE"""),"P3 - Medium")</f>
        <v>P3 - Medium</v>
      </c>
      <c r="C405" s="5">
        <f>IFERROR(__xludf.DUMMYFUNCTION("""COMPUTED_VALUE"""),43321.74793981481)</f>
        <v>43321.74794</v>
      </c>
      <c r="D405" s="4" t="str">
        <f>IFERROR(__xludf.DUMMYFUNCTION("""COMPUTED_VALUE"""),"RESOLVED")</f>
        <v>RESOLVED</v>
      </c>
      <c r="E405" s="6">
        <f>IFERROR(__xludf.DUMMYFUNCTION("""COMPUTED_VALUE"""),44211.47148148148)</f>
        <v>44211.47148</v>
      </c>
      <c r="F405" s="4" t="str">
        <f>IFERROR(__xludf.DUMMYFUNCTION("""COMPUTED_VALUE""")," ---")</f>
        <v> ---</v>
      </c>
      <c r="G405" s="4" t="str">
        <f>IFERROR(__xludf.DUMMYFUNCTION("""COMPUTED_VALUE"""),"SUSE Linux Enterprise Server 15 SP1")</f>
        <v>SUSE Linux Enterprise Server 15 SP1</v>
      </c>
      <c r="H405" s="7" t="str">
        <f t="shared" si="2"/>
        <v>NO</v>
      </c>
      <c r="I405" s="7" t="str">
        <f t="shared" si="3"/>
        <v>NO</v>
      </c>
    </row>
    <row r="406">
      <c r="A406" s="4">
        <f>IFERROR(__xludf.DUMMYFUNCTION("""COMPUTED_VALUE"""),1104393.0)</f>
        <v>1104393</v>
      </c>
      <c r="B406" s="4" t="str">
        <f>IFERROR(__xludf.DUMMYFUNCTION("""COMPUTED_VALUE"""),"P3 - Medium")</f>
        <v>P3 - Medium</v>
      </c>
      <c r="C406" s="5">
        <f>IFERROR(__xludf.DUMMYFUNCTION("""COMPUTED_VALUE"""),43321.749756944446)</f>
        <v>43321.74976</v>
      </c>
      <c r="D406" s="4" t="str">
        <f>IFERROR(__xludf.DUMMYFUNCTION("""COMPUTED_VALUE"""),"RESOLVED")</f>
        <v>RESOLVED</v>
      </c>
      <c r="E406" s="6">
        <f>IFERROR(__xludf.DUMMYFUNCTION("""COMPUTED_VALUE"""),44211.471550925926)</f>
        <v>44211.47155</v>
      </c>
      <c r="F406" s="4" t="str">
        <f>IFERROR(__xludf.DUMMYFUNCTION("""COMPUTED_VALUE""")," ---")</f>
        <v> ---</v>
      </c>
      <c r="G406" s="4" t="str">
        <f>IFERROR(__xludf.DUMMYFUNCTION("""COMPUTED_VALUE"""),"SUSE Linux Enterprise Server 15 SP1")</f>
        <v>SUSE Linux Enterprise Server 15 SP1</v>
      </c>
      <c r="H406" s="7" t="str">
        <f t="shared" si="2"/>
        <v>NO</v>
      </c>
      <c r="I406" s="7" t="str">
        <f t="shared" si="3"/>
        <v>NO</v>
      </c>
    </row>
    <row r="407">
      <c r="A407" s="4">
        <f>IFERROR(__xludf.DUMMYFUNCTION("""COMPUTED_VALUE"""),1104396.0)</f>
        <v>1104396</v>
      </c>
      <c r="B407" s="4" t="str">
        <f>IFERROR(__xludf.DUMMYFUNCTION("""COMPUTED_VALUE"""),"P3 - Medium")</f>
        <v>P3 - Medium</v>
      </c>
      <c r="C407" s="5">
        <f>IFERROR(__xludf.DUMMYFUNCTION("""COMPUTED_VALUE"""),43321.7680787037)</f>
        <v>43321.76808</v>
      </c>
      <c r="D407" s="4" t="str">
        <f>IFERROR(__xludf.DUMMYFUNCTION("""COMPUTED_VALUE"""),"RESOLVED")</f>
        <v>RESOLVED</v>
      </c>
      <c r="E407" s="6">
        <f>IFERROR(__xludf.DUMMYFUNCTION("""COMPUTED_VALUE"""),43630.62538194445)</f>
        <v>43630.62538</v>
      </c>
      <c r="F407" s="4" t="str">
        <f>IFERROR(__xludf.DUMMYFUNCTION("""COMPUTED_VALUE""")," ---")</f>
        <v> ---</v>
      </c>
      <c r="G407" s="4" t="str">
        <f>IFERROR(__xludf.DUMMYFUNCTION("""COMPUTED_VALUE"""),"SUSE Linux Enterprise Server 15 SP1")</f>
        <v>SUSE Linux Enterprise Server 15 SP1</v>
      </c>
      <c r="H407" s="7" t="str">
        <f t="shared" si="2"/>
        <v>NO</v>
      </c>
      <c r="I407" s="7" t="str">
        <f t="shared" si="3"/>
        <v>NO</v>
      </c>
    </row>
    <row r="408">
      <c r="A408" s="4">
        <f>IFERROR(__xludf.DUMMYFUNCTION("""COMPUTED_VALUE"""),1104398.0)</f>
        <v>1104398</v>
      </c>
      <c r="B408" s="4" t="str">
        <f>IFERROR(__xludf.DUMMYFUNCTION("""COMPUTED_VALUE"""),"P3 - Medium")</f>
        <v>P3 - Medium</v>
      </c>
      <c r="C408" s="5">
        <f>IFERROR(__xludf.DUMMYFUNCTION("""COMPUTED_VALUE"""),43321.770416666666)</f>
        <v>43321.77042</v>
      </c>
      <c r="D408" s="4" t="str">
        <f>IFERROR(__xludf.DUMMYFUNCTION("""COMPUTED_VALUE"""),"RESOLVED")</f>
        <v>RESOLVED</v>
      </c>
      <c r="E408" s="6">
        <f>IFERROR(__xludf.DUMMYFUNCTION("""COMPUTED_VALUE"""),43630.62541666667)</f>
        <v>43630.62542</v>
      </c>
      <c r="F408" s="4" t="str">
        <f>IFERROR(__xludf.DUMMYFUNCTION("""COMPUTED_VALUE""")," ---")</f>
        <v> ---</v>
      </c>
      <c r="G408" s="4" t="str">
        <f>IFERROR(__xludf.DUMMYFUNCTION("""COMPUTED_VALUE"""),"SUSE Linux Enterprise Server 15 SP1")</f>
        <v>SUSE Linux Enterprise Server 15 SP1</v>
      </c>
      <c r="H408" s="7" t="str">
        <f t="shared" si="2"/>
        <v>NO</v>
      </c>
      <c r="I408" s="7" t="str">
        <f t="shared" si="3"/>
        <v>NO</v>
      </c>
    </row>
    <row r="409">
      <c r="A409" s="4">
        <f>IFERROR(__xludf.DUMMYFUNCTION("""COMPUTED_VALUE"""),1104427.0)</f>
        <v>1104427</v>
      </c>
      <c r="B409" s="4" t="str">
        <f>IFERROR(__xludf.DUMMYFUNCTION("""COMPUTED_VALUE"""),"P3 - Medium")</f>
        <v>P3 - Medium</v>
      </c>
      <c r="C409" s="5">
        <f>IFERROR(__xludf.DUMMYFUNCTION("""COMPUTED_VALUE"""),43321.86685185185)</f>
        <v>43321.86685</v>
      </c>
      <c r="D409" s="4" t="str">
        <f>IFERROR(__xludf.DUMMYFUNCTION("""COMPUTED_VALUE"""),"RESOLVED")</f>
        <v>RESOLVED</v>
      </c>
      <c r="E409" s="6">
        <f>IFERROR(__xludf.DUMMYFUNCTION("""COMPUTED_VALUE"""),44624.86885416666)</f>
        <v>44624.86885</v>
      </c>
      <c r="F409" s="4" t="str">
        <f>IFERROR(__xludf.DUMMYFUNCTION("""COMPUTED_VALUE""")," ---")</f>
        <v> ---</v>
      </c>
      <c r="G409" s="4" t="str">
        <f>IFERROR(__xludf.DUMMYFUNCTION("""COMPUTED_VALUE"""),"SUSE Linux Enterprise Server 15 SP1")</f>
        <v>SUSE Linux Enterprise Server 15 SP1</v>
      </c>
      <c r="H409" s="7" t="str">
        <f t="shared" si="2"/>
        <v>NO</v>
      </c>
      <c r="I409" s="7" t="str">
        <f t="shared" si="3"/>
        <v>NO</v>
      </c>
    </row>
    <row r="410">
      <c r="A410" s="4">
        <f>IFERROR(__xludf.DUMMYFUNCTION("""COMPUTED_VALUE"""),1104742.0)</f>
        <v>1104742</v>
      </c>
      <c r="B410" s="4" t="str">
        <f>IFERROR(__xludf.DUMMYFUNCTION("""COMPUTED_VALUE"""),"P3 - Medium")</f>
        <v>P3 - Medium</v>
      </c>
      <c r="C410" s="5">
        <f>IFERROR(__xludf.DUMMYFUNCTION("""COMPUTED_VALUE"""),43325.950891203705)</f>
        <v>43325.95089</v>
      </c>
      <c r="D410" s="4" t="str">
        <f>IFERROR(__xludf.DUMMYFUNCTION("""COMPUTED_VALUE"""),"RESOLVED")</f>
        <v>RESOLVED</v>
      </c>
      <c r="E410" s="6">
        <f>IFERROR(__xludf.DUMMYFUNCTION("""COMPUTED_VALUE"""),44246.84627314815)</f>
        <v>44246.84627</v>
      </c>
      <c r="F410" s="4" t="str">
        <f>IFERROR(__xludf.DUMMYFUNCTION("""COMPUTED_VALUE""")," ---")</f>
        <v> ---</v>
      </c>
      <c r="G410" s="4" t="str">
        <f>IFERROR(__xludf.DUMMYFUNCTION("""COMPUTED_VALUE"""),"SUSE Linux Enterprise Server 15 SP1")</f>
        <v>SUSE Linux Enterprise Server 15 SP1</v>
      </c>
      <c r="H410" s="7" t="str">
        <f t="shared" si="2"/>
        <v>NO</v>
      </c>
      <c r="I410" s="7" t="str">
        <f t="shared" si="3"/>
        <v>NO</v>
      </c>
    </row>
    <row r="411">
      <c r="A411" s="4">
        <f>IFERROR(__xludf.DUMMYFUNCTION("""COMPUTED_VALUE"""),1104745.0)</f>
        <v>1104745</v>
      </c>
      <c r="B411" s="4" t="str">
        <f>IFERROR(__xludf.DUMMYFUNCTION("""COMPUTED_VALUE"""),"P3 - Medium")</f>
        <v>P3 - Medium</v>
      </c>
      <c r="C411" s="5">
        <f>IFERROR(__xludf.DUMMYFUNCTION("""COMPUTED_VALUE"""),43325.955729166664)</f>
        <v>43325.95573</v>
      </c>
      <c r="D411" s="4" t="str">
        <f>IFERROR(__xludf.DUMMYFUNCTION("""COMPUTED_VALUE"""),"RESOLVED")</f>
        <v>RESOLVED</v>
      </c>
      <c r="E411" s="6">
        <f>IFERROR(__xludf.DUMMYFUNCTION("""COMPUTED_VALUE"""),44481.82042824074)</f>
        <v>44481.82043</v>
      </c>
      <c r="F411" s="4" t="str">
        <f>IFERROR(__xludf.DUMMYFUNCTION("""COMPUTED_VALUE""")," ---")</f>
        <v> ---</v>
      </c>
      <c r="G411" s="4" t="str">
        <f>IFERROR(__xludf.DUMMYFUNCTION("""COMPUTED_VALUE"""),"SUSE Linux Enterprise Server 15 SP1")</f>
        <v>SUSE Linux Enterprise Server 15 SP1</v>
      </c>
      <c r="H411" s="7" t="str">
        <f t="shared" si="2"/>
        <v>NO</v>
      </c>
      <c r="I411" s="7" t="str">
        <f t="shared" si="3"/>
        <v>NO</v>
      </c>
    </row>
    <row r="412">
      <c r="A412" s="4">
        <f>IFERROR(__xludf.DUMMYFUNCTION("""COMPUTED_VALUE"""),1105077.0)</f>
        <v>1105077</v>
      </c>
      <c r="B412" s="4" t="str">
        <f>IFERROR(__xludf.DUMMYFUNCTION("""COMPUTED_VALUE"""),"P3 - Medium")</f>
        <v>P3 - Medium</v>
      </c>
      <c r="C412" s="5">
        <f>IFERROR(__xludf.DUMMYFUNCTION("""COMPUTED_VALUE"""),43328.55503472222)</f>
        <v>43328.55503</v>
      </c>
      <c r="D412" s="4" t="str">
        <f>IFERROR(__xludf.DUMMYFUNCTION("""COMPUTED_VALUE"""),"RESOLVED")</f>
        <v>RESOLVED</v>
      </c>
      <c r="E412" s="6">
        <f>IFERROR(__xludf.DUMMYFUNCTION("""COMPUTED_VALUE"""),43538.56458333333)</f>
        <v>43538.56458</v>
      </c>
      <c r="F412" s="4" t="str">
        <f>IFERROR(__xludf.DUMMYFUNCTION("""COMPUTED_VALUE""")," ---")</f>
        <v> ---</v>
      </c>
      <c r="G412" s="4" t="str">
        <f>IFERROR(__xludf.DUMMYFUNCTION("""COMPUTED_VALUE"""),"SUSE Linux Enterprise Server 15 SP1")</f>
        <v>SUSE Linux Enterprise Server 15 SP1</v>
      </c>
      <c r="H412" s="7" t="str">
        <f t="shared" si="2"/>
        <v>NO</v>
      </c>
      <c r="I412" s="7" t="str">
        <f t="shared" si="3"/>
        <v>NO</v>
      </c>
    </row>
    <row r="413">
      <c r="A413" s="4">
        <f>IFERROR(__xludf.DUMMYFUNCTION("""COMPUTED_VALUE"""),1105555.0)</f>
        <v>1105555</v>
      </c>
      <c r="B413" s="4" t="str">
        <f>IFERROR(__xludf.DUMMYFUNCTION("""COMPUTED_VALUE"""),"P3 - Medium")</f>
        <v>P3 - Medium</v>
      </c>
      <c r="C413" s="5">
        <f>IFERROR(__xludf.DUMMYFUNCTION("""COMPUTED_VALUE"""),43333.74815972222)</f>
        <v>43333.74816</v>
      </c>
      <c r="D413" s="4" t="str">
        <f>IFERROR(__xludf.DUMMYFUNCTION("""COMPUTED_VALUE"""),"RESOLVED")</f>
        <v>RESOLVED</v>
      </c>
      <c r="E413" s="6">
        <f>IFERROR(__xludf.DUMMYFUNCTION("""COMPUTED_VALUE"""),43630.62609953704)</f>
        <v>43630.6261</v>
      </c>
      <c r="F413" s="4" t="str">
        <f>IFERROR(__xludf.DUMMYFUNCTION("""COMPUTED_VALUE""")," ---")</f>
        <v> ---</v>
      </c>
      <c r="G413" s="4" t="str">
        <f>IFERROR(__xludf.DUMMYFUNCTION("""COMPUTED_VALUE"""),"SUSE Linux Enterprise Server 15 SP1")</f>
        <v>SUSE Linux Enterprise Server 15 SP1</v>
      </c>
      <c r="H413" s="7" t="str">
        <f t="shared" si="2"/>
        <v>NO</v>
      </c>
      <c r="I413" s="7" t="str">
        <f t="shared" si="3"/>
        <v>NO</v>
      </c>
    </row>
    <row r="414">
      <c r="A414" s="4">
        <f>IFERROR(__xludf.DUMMYFUNCTION("""COMPUTED_VALUE"""),1105563.0)</f>
        <v>1105563</v>
      </c>
      <c r="B414" s="4" t="str">
        <f>IFERROR(__xludf.DUMMYFUNCTION("""COMPUTED_VALUE"""),"P3 - Medium")</f>
        <v>P3 - Medium</v>
      </c>
      <c r="C414" s="5">
        <f>IFERROR(__xludf.DUMMYFUNCTION("""COMPUTED_VALUE"""),43333.793645833335)</f>
        <v>43333.79365</v>
      </c>
      <c r="D414" s="4" t="str">
        <f>IFERROR(__xludf.DUMMYFUNCTION("""COMPUTED_VALUE"""),"RESOLVED")</f>
        <v>RESOLVED</v>
      </c>
      <c r="E414" s="6">
        <f>IFERROR(__xludf.DUMMYFUNCTION("""COMPUTED_VALUE"""),43630.626180555555)</f>
        <v>43630.62618</v>
      </c>
      <c r="F414" s="4" t="str">
        <f>IFERROR(__xludf.DUMMYFUNCTION("""COMPUTED_VALUE""")," ---")</f>
        <v> ---</v>
      </c>
      <c r="G414" s="4" t="str">
        <f>IFERROR(__xludf.DUMMYFUNCTION("""COMPUTED_VALUE"""),"SUSE Linux Enterprise Server 15 SP1")</f>
        <v>SUSE Linux Enterprise Server 15 SP1</v>
      </c>
      <c r="H414" s="7" t="str">
        <f t="shared" si="2"/>
        <v>NO</v>
      </c>
      <c r="I414" s="7" t="str">
        <f t="shared" si="3"/>
        <v>NO</v>
      </c>
    </row>
    <row r="415">
      <c r="A415" s="4">
        <f>IFERROR(__xludf.DUMMYFUNCTION("""COMPUTED_VALUE"""),1111981.0)</f>
        <v>1111981</v>
      </c>
      <c r="B415" s="4" t="str">
        <f>IFERROR(__xludf.DUMMYFUNCTION("""COMPUTED_VALUE"""),"P3 - Medium")</f>
        <v>P3 - Medium</v>
      </c>
      <c r="C415" s="5">
        <f>IFERROR(__xludf.DUMMYFUNCTION("""COMPUTED_VALUE"""),43389.39604166667)</f>
        <v>43389.39604</v>
      </c>
      <c r="D415" s="4" t="str">
        <f>IFERROR(__xludf.DUMMYFUNCTION("""COMPUTED_VALUE"""),"RESOLVED")</f>
        <v>RESOLVED</v>
      </c>
      <c r="E415" s="6">
        <f>IFERROR(__xludf.DUMMYFUNCTION("""COMPUTED_VALUE"""),44629.009247685186)</f>
        <v>44629.00925</v>
      </c>
      <c r="F415" s="4" t="str">
        <f>IFERROR(__xludf.DUMMYFUNCTION("""COMPUTED_VALUE""")," ---")</f>
        <v> ---</v>
      </c>
      <c r="G415" s="4" t="str">
        <f>IFERROR(__xludf.DUMMYFUNCTION("""COMPUTED_VALUE"""),"SUSE Linux Enterprise Server 15 SP1")</f>
        <v>SUSE Linux Enterprise Server 15 SP1</v>
      </c>
      <c r="H415" s="7" t="str">
        <f t="shared" si="2"/>
        <v>NO</v>
      </c>
      <c r="I415" s="7" t="str">
        <f t="shared" si="3"/>
        <v>NO</v>
      </c>
    </row>
    <row r="416">
      <c r="A416" s="4">
        <f>IFERROR(__xludf.DUMMYFUNCTION("""COMPUTED_VALUE"""),1112374.0)</f>
        <v>1112374</v>
      </c>
      <c r="B416" s="4" t="str">
        <f>IFERROR(__xludf.DUMMYFUNCTION("""COMPUTED_VALUE"""),"P3 - Medium")</f>
        <v>P3 - Medium</v>
      </c>
      <c r="C416" s="5">
        <f>IFERROR(__xludf.DUMMYFUNCTION("""COMPUTED_VALUE"""),43391.53494212963)</f>
        <v>43391.53494</v>
      </c>
      <c r="D416" s="4" t="str">
        <f>IFERROR(__xludf.DUMMYFUNCTION("""COMPUTED_VALUE"""),"RESOLVED")</f>
        <v>RESOLVED</v>
      </c>
      <c r="E416" s="6">
        <f>IFERROR(__xludf.DUMMYFUNCTION("""COMPUTED_VALUE"""),44629.00931712963)</f>
        <v>44629.00932</v>
      </c>
      <c r="F416" s="4" t="str">
        <f>IFERROR(__xludf.DUMMYFUNCTION("""COMPUTED_VALUE""")," ---")</f>
        <v> ---</v>
      </c>
      <c r="G416" s="4" t="str">
        <f>IFERROR(__xludf.DUMMYFUNCTION("""COMPUTED_VALUE"""),"SUSE Linux Enterprise Server 15 SP1")</f>
        <v>SUSE Linux Enterprise Server 15 SP1</v>
      </c>
      <c r="H416" s="7" t="str">
        <f t="shared" si="2"/>
        <v>NO</v>
      </c>
      <c r="I416" s="7" t="str">
        <f t="shared" si="3"/>
        <v>NO</v>
      </c>
    </row>
    <row r="417">
      <c r="A417" s="4">
        <f>IFERROR(__xludf.DUMMYFUNCTION("""COMPUTED_VALUE"""),1113431.0)</f>
        <v>1113431</v>
      </c>
      <c r="B417" s="4" t="str">
        <f>IFERROR(__xludf.DUMMYFUNCTION("""COMPUTED_VALUE"""),"P3 - Medium")</f>
        <v>P3 - Medium</v>
      </c>
      <c r="C417" s="5">
        <f>IFERROR(__xludf.DUMMYFUNCTION("""COMPUTED_VALUE"""),43399.218310185184)</f>
        <v>43399.21831</v>
      </c>
      <c r="D417" s="4" t="str">
        <f>IFERROR(__xludf.DUMMYFUNCTION("""COMPUTED_VALUE"""),"RESOLVED")</f>
        <v>RESOLVED</v>
      </c>
      <c r="E417" s="6">
        <f>IFERROR(__xludf.DUMMYFUNCTION("""COMPUTED_VALUE"""),44356.68853009259)</f>
        <v>44356.68853</v>
      </c>
      <c r="F417" s="4" t="str">
        <f>IFERROR(__xludf.DUMMYFUNCTION("""COMPUTED_VALUE""")," ---")</f>
        <v> ---</v>
      </c>
      <c r="G417" s="4" t="str">
        <f>IFERROR(__xludf.DUMMYFUNCTION("""COMPUTED_VALUE"""),"SUSE Linux Enterprise Server 15 SP1")</f>
        <v>SUSE Linux Enterprise Server 15 SP1</v>
      </c>
      <c r="H417" s="7" t="str">
        <f t="shared" si="2"/>
        <v>NO</v>
      </c>
      <c r="I417" s="7" t="str">
        <f t="shared" si="3"/>
        <v>NO</v>
      </c>
    </row>
    <row r="418">
      <c r="A418" s="4">
        <f>IFERROR(__xludf.DUMMYFUNCTION("""COMPUTED_VALUE"""),1113994.0)</f>
        <v>1113994</v>
      </c>
      <c r="B418" s="4" t="str">
        <f>IFERROR(__xludf.DUMMYFUNCTION("""COMPUTED_VALUE"""),"P3 - Medium")</f>
        <v>P3 - Medium</v>
      </c>
      <c r="C418" s="5">
        <f>IFERROR(__xludf.DUMMYFUNCTION("""COMPUTED_VALUE"""),43403.64016203704)</f>
        <v>43403.64016</v>
      </c>
      <c r="D418" s="4" t="str">
        <f>IFERROR(__xludf.DUMMYFUNCTION("""COMPUTED_VALUE"""),"RESOLVED")</f>
        <v>RESOLVED</v>
      </c>
      <c r="E418" s="6">
        <f>IFERROR(__xludf.DUMMYFUNCTION("""COMPUTED_VALUE"""),44391.84658564815)</f>
        <v>44391.84659</v>
      </c>
      <c r="F418" s="4" t="str">
        <f>IFERROR(__xludf.DUMMYFUNCTION("""COMPUTED_VALUE""")," ---")</f>
        <v> ---</v>
      </c>
      <c r="G418" s="4" t="str">
        <f>IFERROR(__xludf.DUMMYFUNCTION("""COMPUTED_VALUE"""),"SUSE Linux Enterprise Server 15 SP1")</f>
        <v>SUSE Linux Enterprise Server 15 SP1</v>
      </c>
      <c r="H418" s="7" t="str">
        <f t="shared" si="2"/>
        <v>NO</v>
      </c>
      <c r="I418" s="7" t="str">
        <f t="shared" si="3"/>
        <v>NO</v>
      </c>
    </row>
    <row r="419">
      <c r="A419" s="4">
        <f>IFERROR(__xludf.DUMMYFUNCTION("""COMPUTED_VALUE"""),1114685.0)</f>
        <v>1114685</v>
      </c>
      <c r="B419" s="4" t="str">
        <f>IFERROR(__xludf.DUMMYFUNCTION("""COMPUTED_VALUE"""),"P3 - Medium")</f>
        <v>P3 - Medium</v>
      </c>
      <c r="C419" s="5">
        <f>IFERROR(__xludf.DUMMYFUNCTION("""COMPUTED_VALUE"""),43409.5246875)</f>
        <v>43409.52469</v>
      </c>
      <c r="D419" s="4" t="str">
        <f>IFERROR(__xludf.DUMMYFUNCTION("""COMPUTED_VALUE"""),"RESOLVED")</f>
        <v>RESOLVED</v>
      </c>
      <c r="E419" s="6">
        <f>IFERROR(__xludf.DUMMYFUNCTION("""COMPUTED_VALUE"""),44629.00944444445)</f>
        <v>44629.00944</v>
      </c>
      <c r="F419" s="4" t="str">
        <f>IFERROR(__xludf.DUMMYFUNCTION("""COMPUTED_VALUE""")," ---")</f>
        <v> ---</v>
      </c>
      <c r="G419" s="4" t="str">
        <f>IFERROR(__xludf.DUMMYFUNCTION("""COMPUTED_VALUE"""),"SUSE Linux Enterprise Server 15 SP1")</f>
        <v>SUSE Linux Enterprise Server 15 SP1</v>
      </c>
      <c r="H419" s="7" t="str">
        <f t="shared" si="2"/>
        <v>NO</v>
      </c>
      <c r="I419" s="7" t="str">
        <f t="shared" si="3"/>
        <v>NO</v>
      </c>
    </row>
    <row r="420">
      <c r="A420" s="4">
        <f>IFERROR(__xludf.DUMMYFUNCTION("""COMPUTED_VALUE"""),1114687.0)</f>
        <v>1114687</v>
      </c>
      <c r="B420" s="4" t="str">
        <f>IFERROR(__xludf.DUMMYFUNCTION("""COMPUTED_VALUE"""),"P3 - Medium")</f>
        <v>P3 - Medium</v>
      </c>
      <c r="C420" s="5">
        <f>IFERROR(__xludf.DUMMYFUNCTION("""COMPUTED_VALUE"""),43409.53679398148)</f>
        <v>43409.53679</v>
      </c>
      <c r="D420" s="4" t="str">
        <f>IFERROR(__xludf.DUMMYFUNCTION("""COMPUTED_VALUE"""),"RESOLVED")</f>
        <v>RESOLVED</v>
      </c>
      <c r="E420" s="6">
        <f>IFERROR(__xludf.DUMMYFUNCTION("""COMPUTED_VALUE"""),43630.62873842593)</f>
        <v>43630.62874</v>
      </c>
      <c r="F420" s="4" t="str">
        <f>IFERROR(__xludf.DUMMYFUNCTION("""COMPUTED_VALUE""")," ---")</f>
        <v> ---</v>
      </c>
      <c r="G420" s="4" t="str">
        <f>IFERROR(__xludf.DUMMYFUNCTION("""COMPUTED_VALUE"""),"SUSE Linux Enterprise Server 15 SP1")</f>
        <v>SUSE Linux Enterprise Server 15 SP1</v>
      </c>
      <c r="H420" s="7" t="str">
        <f t="shared" si="2"/>
        <v>NO</v>
      </c>
      <c r="I420" s="7" t="str">
        <f t="shared" si="3"/>
        <v>NO</v>
      </c>
    </row>
    <row r="421">
      <c r="A421" s="4">
        <f>IFERROR(__xludf.DUMMYFUNCTION("""COMPUTED_VALUE"""),1116860.0)</f>
        <v>1116860</v>
      </c>
      <c r="B421" s="4" t="str">
        <f>IFERROR(__xludf.DUMMYFUNCTION("""COMPUTED_VALUE"""),"P3 - Medium")</f>
        <v>P3 - Medium</v>
      </c>
      <c r="C421" s="5">
        <f>IFERROR(__xludf.DUMMYFUNCTION("""COMPUTED_VALUE"""),43425.452060185184)</f>
        <v>43425.45206</v>
      </c>
      <c r="D421" s="4" t="str">
        <f>IFERROR(__xludf.DUMMYFUNCTION("""COMPUTED_VALUE"""),"RESOLVED")</f>
        <v>RESOLVED</v>
      </c>
      <c r="E421" s="6">
        <f>IFERROR(__xludf.DUMMYFUNCTION("""COMPUTED_VALUE"""),43630.629224537035)</f>
        <v>43630.62922</v>
      </c>
      <c r="F421" s="4" t="str">
        <f>IFERROR(__xludf.DUMMYFUNCTION("""COMPUTED_VALUE""")," ---")</f>
        <v> ---</v>
      </c>
      <c r="G421" s="4" t="str">
        <f>IFERROR(__xludf.DUMMYFUNCTION("""COMPUTED_VALUE"""),"SUSE Linux Enterprise Server 15 SP1")</f>
        <v>SUSE Linux Enterprise Server 15 SP1</v>
      </c>
      <c r="H421" s="7" t="str">
        <f t="shared" si="2"/>
        <v>NO</v>
      </c>
      <c r="I421" s="7" t="str">
        <f t="shared" si="3"/>
        <v>NO</v>
      </c>
    </row>
    <row r="422">
      <c r="A422" s="4">
        <f>IFERROR(__xludf.DUMMYFUNCTION("""COMPUTED_VALUE"""),1117495.0)</f>
        <v>1117495</v>
      </c>
      <c r="B422" s="4" t="str">
        <f>IFERROR(__xludf.DUMMYFUNCTION("""COMPUTED_VALUE"""),"P3 - Medium")</f>
        <v>P3 - Medium</v>
      </c>
      <c r="C422" s="5">
        <f>IFERROR(__xludf.DUMMYFUNCTION("""COMPUTED_VALUE"""),43431.63741898148)</f>
        <v>43431.63742</v>
      </c>
      <c r="D422" s="4" t="str">
        <f>IFERROR(__xludf.DUMMYFUNCTION("""COMPUTED_VALUE"""),"RESOLVED")</f>
        <v>RESOLVED</v>
      </c>
      <c r="E422" s="6">
        <f>IFERROR(__xludf.DUMMYFUNCTION("""COMPUTED_VALUE"""),44629.009571759256)</f>
        <v>44629.00957</v>
      </c>
      <c r="F422" s="4" t="str">
        <f>IFERROR(__xludf.DUMMYFUNCTION("""COMPUTED_VALUE""")," ---")</f>
        <v> ---</v>
      </c>
      <c r="G422" s="4" t="str">
        <f>IFERROR(__xludf.DUMMYFUNCTION("""COMPUTED_VALUE"""),"SUSE Linux Enterprise Server 15 SP1")</f>
        <v>SUSE Linux Enterprise Server 15 SP1</v>
      </c>
      <c r="H422" s="7" t="str">
        <f t="shared" si="2"/>
        <v>NO</v>
      </c>
      <c r="I422" s="7" t="str">
        <f t="shared" si="3"/>
        <v>NO</v>
      </c>
    </row>
    <row r="423">
      <c r="A423" s="4">
        <f>IFERROR(__xludf.DUMMYFUNCTION("""COMPUTED_VALUE"""),1118657.0)</f>
        <v>1118657</v>
      </c>
      <c r="B423" s="4" t="str">
        <f>IFERROR(__xludf.DUMMYFUNCTION("""COMPUTED_VALUE"""),"P3 - Medium")</f>
        <v>P3 - Medium</v>
      </c>
      <c r="C423" s="5">
        <f>IFERROR(__xludf.DUMMYFUNCTION("""COMPUTED_VALUE"""),43440.6340162037)</f>
        <v>43440.63402</v>
      </c>
      <c r="D423" s="4" t="str">
        <f>IFERROR(__xludf.DUMMYFUNCTION("""COMPUTED_VALUE"""),"RESOLVED")</f>
        <v>RESOLVED</v>
      </c>
      <c r="E423" s="6">
        <f>IFERROR(__xludf.DUMMYFUNCTION("""COMPUTED_VALUE"""),44330.55489583333)</f>
        <v>44330.5549</v>
      </c>
      <c r="F423" s="4" t="str">
        <f>IFERROR(__xludf.DUMMYFUNCTION("""COMPUTED_VALUE""")," ---")</f>
        <v> ---</v>
      </c>
      <c r="G423" s="4" t="str">
        <f>IFERROR(__xludf.DUMMYFUNCTION("""COMPUTED_VALUE"""),"SUSE Linux Enterprise Server 15 SP1")</f>
        <v>SUSE Linux Enterprise Server 15 SP1</v>
      </c>
      <c r="H423" s="7" t="str">
        <f t="shared" si="2"/>
        <v>NO</v>
      </c>
      <c r="I423" s="7" t="str">
        <f t="shared" si="3"/>
        <v>NO</v>
      </c>
    </row>
    <row r="424">
      <c r="A424" s="4">
        <f>IFERROR(__xludf.DUMMYFUNCTION("""COMPUTED_VALUE"""),1118658.0)</f>
        <v>1118658</v>
      </c>
      <c r="B424" s="4" t="str">
        <f>IFERROR(__xludf.DUMMYFUNCTION("""COMPUTED_VALUE"""),"P3 - Medium")</f>
        <v>P3 - Medium</v>
      </c>
      <c r="C424" s="5">
        <f>IFERROR(__xludf.DUMMYFUNCTION("""COMPUTED_VALUE"""),43440.638344907406)</f>
        <v>43440.63834</v>
      </c>
      <c r="D424" s="4" t="str">
        <f>IFERROR(__xludf.DUMMYFUNCTION("""COMPUTED_VALUE"""),"RESOLVED")</f>
        <v>RESOLVED</v>
      </c>
      <c r="E424" s="6">
        <f>IFERROR(__xludf.DUMMYFUNCTION("""COMPUTED_VALUE"""),43630.6296875)</f>
        <v>43630.62969</v>
      </c>
      <c r="F424" s="4" t="str">
        <f>IFERROR(__xludf.DUMMYFUNCTION("""COMPUTED_VALUE""")," ---")</f>
        <v> ---</v>
      </c>
      <c r="G424" s="4" t="str">
        <f>IFERROR(__xludf.DUMMYFUNCTION("""COMPUTED_VALUE"""),"SUSE Linux Enterprise Server 15 SP1")</f>
        <v>SUSE Linux Enterprise Server 15 SP1</v>
      </c>
      <c r="H424" s="7" t="str">
        <f t="shared" si="2"/>
        <v>NO</v>
      </c>
      <c r="I424" s="7" t="str">
        <f t="shared" si="3"/>
        <v>NO</v>
      </c>
    </row>
    <row r="425">
      <c r="A425" s="4">
        <f>IFERROR(__xludf.DUMMYFUNCTION("""COMPUTED_VALUE"""),1118661.0)</f>
        <v>1118661</v>
      </c>
      <c r="B425" s="4" t="str">
        <f>IFERROR(__xludf.DUMMYFUNCTION("""COMPUTED_VALUE"""),"P3 - Medium")</f>
        <v>P3 - Medium</v>
      </c>
      <c r="C425" s="5">
        <f>IFERROR(__xludf.DUMMYFUNCTION("""COMPUTED_VALUE"""),43440.64231481482)</f>
        <v>43440.64231</v>
      </c>
      <c r="D425" s="4" t="str">
        <f>IFERROR(__xludf.DUMMYFUNCTION("""COMPUTED_VALUE"""),"RESOLVED")</f>
        <v>RESOLVED</v>
      </c>
      <c r="E425" s="6">
        <f>IFERROR(__xludf.DUMMYFUNCTION("""COMPUTED_VALUE"""),44629.00962962963)</f>
        <v>44629.00963</v>
      </c>
      <c r="F425" s="4" t="str">
        <f>IFERROR(__xludf.DUMMYFUNCTION("""COMPUTED_VALUE""")," ---")</f>
        <v> ---</v>
      </c>
      <c r="G425" s="4" t="str">
        <f>IFERROR(__xludf.DUMMYFUNCTION("""COMPUTED_VALUE"""),"SUSE Linux Enterprise Server 15 SP1")</f>
        <v>SUSE Linux Enterprise Server 15 SP1</v>
      </c>
      <c r="H425" s="7" t="str">
        <f t="shared" si="2"/>
        <v>NO</v>
      </c>
      <c r="I425" s="7" t="str">
        <f t="shared" si="3"/>
        <v>NO</v>
      </c>
    </row>
    <row r="426">
      <c r="A426" s="4">
        <f>IFERROR(__xludf.DUMMYFUNCTION("""COMPUTED_VALUE"""),1119113.0)</f>
        <v>1119113</v>
      </c>
      <c r="B426" s="4" t="str">
        <f>IFERROR(__xludf.DUMMYFUNCTION("""COMPUTED_VALUE"""),"P3 - Medium")</f>
        <v>P3 - Medium</v>
      </c>
      <c r="C426" s="5">
        <f>IFERROR(__xludf.DUMMYFUNCTION("""COMPUTED_VALUE"""),43445.517164351855)</f>
        <v>43445.51716</v>
      </c>
      <c r="D426" s="4" t="str">
        <f>IFERROR(__xludf.DUMMYFUNCTION("""COMPUTED_VALUE"""),"RESOLVED")</f>
        <v>RESOLVED</v>
      </c>
      <c r="E426" s="6">
        <f>IFERROR(__xludf.DUMMYFUNCTION("""COMPUTED_VALUE"""),44629.0096875)</f>
        <v>44629.00969</v>
      </c>
      <c r="F426" s="4" t="str">
        <f>IFERROR(__xludf.DUMMYFUNCTION("""COMPUTED_VALUE""")," ---")</f>
        <v> ---</v>
      </c>
      <c r="G426" s="4" t="str">
        <f>IFERROR(__xludf.DUMMYFUNCTION("""COMPUTED_VALUE"""),"SUSE Linux Enterprise Server 15 SP1")</f>
        <v>SUSE Linux Enterprise Server 15 SP1</v>
      </c>
      <c r="H426" s="7" t="str">
        <f t="shared" si="2"/>
        <v>NO</v>
      </c>
      <c r="I426" s="7" t="str">
        <f t="shared" si="3"/>
        <v>NO</v>
      </c>
    </row>
    <row r="427">
      <c r="A427" s="4">
        <f>IFERROR(__xludf.DUMMYFUNCTION("""COMPUTED_VALUE"""),1119263.0)</f>
        <v>1119263</v>
      </c>
      <c r="B427" s="4" t="str">
        <f>IFERROR(__xludf.DUMMYFUNCTION("""COMPUTED_VALUE"""),"P3 - Medium")</f>
        <v>P3 - Medium</v>
      </c>
      <c r="C427" s="5">
        <f>IFERROR(__xludf.DUMMYFUNCTION("""COMPUTED_VALUE"""),43446.563206018516)</f>
        <v>43446.56321</v>
      </c>
      <c r="D427" s="4" t="str">
        <f>IFERROR(__xludf.DUMMYFUNCTION("""COMPUTED_VALUE"""),"RESOLVED")</f>
        <v>RESOLVED</v>
      </c>
      <c r="E427" s="6">
        <f>IFERROR(__xludf.DUMMYFUNCTION("""COMPUTED_VALUE"""),43630.629965277774)</f>
        <v>43630.62997</v>
      </c>
      <c r="F427" s="4" t="str">
        <f>IFERROR(__xludf.DUMMYFUNCTION("""COMPUTED_VALUE""")," ---")</f>
        <v> ---</v>
      </c>
      <c r="G427" s="4" t="str">
        <f>IFERROR(__xludf.DUMMYFUNCTION("""COMPUTED_VALUE"""),"SUSE Linux Enterprise Server 15 SP1")</f>
        <v>SUSE Linux Enterprise Server 15 SP1</v>
      </c>
      <c r="H427" s="7" t="str">
        <f t="shared" si="2"/>
        <v>NO</v>
      </c>
      <c r="I427" s="7" t="str">
        <f t="shared" si="3"/>
        <v>NO</v>
      </c>
    </row>
    <row r="428">
      <c r="A428" s="4">
        <f>IFERROR(__xludf.DUMMYFUNCTION("""COMPUTED_VALUE"""),1119406.0)</f>
        <v>1119406</v>
      </c>
      <c r="B428" s="4" t="str">
        <f>IFERROR(__xludf.DUMMYFUNCTION("""COMPUTED_VALUE"""),"P3 - Medium")</f>
        <v>P3 - Medium</v>
      </c>
      <c r="C428" s="5">
        <f>IFERROR(__xludf.DUMMYFUNCTION("""COMPUTED_VALUE"""),43447.592627314814)</f>
        <v>43447.59263</v>
      </c>
      <c r="D428" s="4" t="str">
        <f>IFERROR(__xludf.DUMMYFUNCTION("""COMPUTED_VALUE"""),"RESOLVED")</f>
        <v>RESOLVED</v>
      </c>
      <c r="E428" s="6">
        <f>IFERROR(__xludf.DUMMYFUNCTION("""COMPUTED_VALUE"""),43630.63)</f>
        <v>43630.63</v>
      </c>
      <c r="F428" s="4" t="str">
        <f>IFERROR(__xludf.DUMMYFUNCTION("""COMPUTED_VALUE""")," ---")</f>
        <v> ---</v>
      </c>
      <c r="G428" s="4" t="str">
        <f>IFERROR(__xludf.DUMMYFUNCTION("""COMPUTED_VALUE"""),"SUSE Linux Enterprise Server 15 SP1")</f>
        <v>SUSE Linux Enterprise Server 15 SP1</v>
      </c>
      <c r="H428" s="7" t="str">
        <f t="shared" si="2"/>
        <v>NO</v>
      </c>
      <c r="I428" s="7" t="str">
        <f t="shared" si="3"/>
        <v>NO</v>
      </c>
    </row>
    <row r="429">
      <c r="A429" s="4">
        <f>IFERROR(__xludf.DUMMYFUNCTION("""COMPUTED_VALUE"""),1126206.0)</f>
        <v>1126206</v>
      </c>
      <c r="B429" s="4" t="str">
        <f>IFERROR(__xludf.DUMMYFUNCTION("""COMPUTED_VALUE"""),"P3 - Medium")</f>
        <v>P3 - Medium</v>
      </c>
      <c r="C429" s="5">
        <f>IFERROR(__xludf.DUMMYFUNCTION("""COMPUTED_VALUE"""),43517.305555555555)</f>
        <v>43517.30556</v>
      </c>
      <c r="D429" s="4" t="str">
        <f>IFERROR(__xludf.DUMMYFUNCTION("""COMPUTED_VALUE"""),"RESOLVED")</f>
        <v>RESOLVED</v>
      </c>
      <c r="E429" s="6">
        <f>IFERROR(__xludf.DUMMYFUNCTION("""COMPUTED_VALUE"""),44246.84690972222)</f>
        <v>44246.84691</v>
      </c>
      <c r="F429" s="4" t="str">
        <f>IFERROR(__xludf.DUMMYFUNCTION("""COMPUTED_VALUE""")," ---")</f>
        <v> ---</v>
      </c>
      <c r="G429" s="4" t="str">
        <f>IFERROR(__xludf.DUMMYFUNCTION("""COMPUTED_VALUE"""),"Beta SUSE Linux Enterprise Server 15 SP1")</f>
        <v>Beta SUSE Linux Enterprise Server 15 SP1</v>
      </c>
      <c r="H429" s="7" t="str">
        <f t="shared" si="2"/>
        <v>NO</v>
      </c>
      <c r="I429" s="7" t="str">
        <f t="shared" si="3"/>
        <v>NO</v>
      </c>
    </row>
    <row r="430">
      <c r="A430" s="4">
        <f>IFERROR(__xludf.DUMMYFUNCTION("""COMPUTED_VALUE"""),1126390.0)</f>
        <v>1126390</v>
      </c>
      <c r="B430" s="4" t="str">
        <f>IFERROR(__xludf.DUMMYFUNCTION("""COMPUTED_VALUE"""),"P3 - Medium")</f>
        <v>P3 - Medium</v>
      </c>
      <c r="C430" s="5">
        <f>IFERROR(__xludf.DUMMYFUNCTION("""COMPUTED_VALUE"""),43518.062743055554)</f>
        <v>43518.06274</v>
      </c>
      <c r="D430" s="4" t="str">
        <f>IFERROR(__xludf.DUMMYFUNCTION("""COMPUTED_VALUE"""),"RESOLVED")</f>
        <v>RESOLVED</v>
      </c>
      <c r="E430" s="6">
        <f>IFERROR(__xludf.DUMMYFUNCTION("""COMPUTED_VALUE"""),44356.688622685186)</f>
        <v>44356.68862</v>
      </c>
      <c r="F430" s="4" t="str">
        <f>IFERROR(__xludf.DUMMYFUNCTION("""COMPUTED_VALUE""")," ---")</f>
        <v> ---</v>
      </c>
      <c r="G430" s="4" t="str">
        <f>IFERROR(__xludf.DUMMYFUNCTION("""COMPUTED_VALUE"""),"Beta SUSE Linux Enterprise Server 15 SP1")</f>
        <v>Beta SUSE Linux Enterprise Server 15 SP1</v>
      </c>
      <c r="H430" s="7" t="str">
        <f t="shared" si="2"/>
        <v>NO</v>
      </c>
      <c r="I430" s="7" t="str">
        <f t="shared" si="3"/>
        <v>NO</v>
      </c>
    </row>
    <row r="431">
      <c r="A431" s="4">
        <f>IFERROR(__xludf.DUMMYFUNCTION("""COMPUTED_VALUE"""),1126709.0)</f>
        <v>1126709</v>
      </c>
      <c r="B431" s="4" t="str">
        <f>IFERROR(__xludf.DUMMYFUNCTION("""COMPUTED_VALUE"""),"P3 - Medium")</f>
        <v>P3 - Medium</v>
      </c>
      <c r="C431" s="5">
        <f>IFERROR(__xludf.DUMMYFUNCTION("""COMPUTED_VALUE"""),43521.27159722222)</f>
        <v>43521.2716</v>
      </c>
      <c r="D431" s="4" t="str">
        <f>IFERROR(__xludf.DUMMYFUNCTION("""COMPUTED_VALUE"""),"RESOLVED")</f>
        <v>RESOLVED</v>
      </c>
      <c r="E431" s="6">
        <f>IFERROR(__xludf.DUMMYFUNCTION("""COMPUTED_VALUE"""),43630.63391203704)</f>
        <v>43630.63391</v>
      </c>
      <c r="F431" s="4" t="str">
        <f>IFERROR(__xludf.DUMMYFUNCTION("""COMPUTED_VALUE""")," ---")</f>
        <v> ---</v>
      </c>
      <c r="G431" s="4" t="str">
        <f>IFERROR(__xludf.DUMMYFUNCTION("""COMPUTED_VALUE"""),"Beta SUSE Linux Enterprise Server 15 SP1")</f>
        <v>Beta SUSE Linux Enterprise Server 15 SP1</v>
      </c>
      <c r="H431" s="7" t="str">
        <f t="shared" si="2"/>
        <v>NO</v>
      </c>
      <c r="I431" s="7" t="str">
        <f t="shared" si="3"/>
        <v>NO</v>
      </c>
    </row>
    <row r="432">
      <c r="A432" s="4">
        <f>IFERROR(__xludf.DUMMYFUNCTION("""COMPUTED_VALUE"""),1127355.0)</f>
        <v>1127355</v>
      </c>
      <c r="B432" s="4" t="str">
        <f>IFERROR(__xludf.DUMMYFUNCTION("""COMPUTED_VALUE"""),"P3 - Medium")</f>
        <v>P3 - Medium</v>
      </c>
      <c r="C432" s="5">
        <f>IFERROR(__xludf.DUMMYFUNCTION("""COMPUTED_VALUE"""),43524.51528935185)</f>
        <v>43524.51529</v>
      </c>
      <c r="D432" s="4" t="str">
        <f>IFERROR(__xludf.DUMMYFUNCTION("""COMPUTED_VALUE"""),"RESOLVED")</f>
        <v>RESOLVED</v>
      </c>
      <c r="E432" s="6">
        <f>IFERROR(__xludf.DUMMYFUNCTION("""COMPUTED_VALUE"""),44078.428136574075)</f>
        <v>44078.42814</v>
      </c>
      <c r="F432" s="4" t="str">
        <f>IFERROR(__xludf.DUMMYFUNCTION("""COMPUTED_VALUE""")," ---")</f>
        <v> ---</v>
      </c>
      <c r="G432" s="4" t="str">
        <f>IFERROR(__xludf.DUMMYFUNCTION("""COMPUTED_VALUE"""),"SUSE Linux Enterprise Server 15 SP1")</f>
        <v>SUSE Linux Enterprise Server 15 SP1</v>
      </c>
      <c r="H432" s="7" t="str">
        <f t="shared" si="2"/>
        <v>NO</v>
      </c>
      <c r="I432" s="7" t="str">
        <f t="shared" si="3"/>
        <v>NO</v>
      </c>
    </row>
    <row r="433">
      <c r="A433" s="4">
        <f>IFERROR(__xludf.DUMMYFUNCTION("""COMPUTED_VALUE"""),1129784.0)</f>
        <v>1129784</v>
      </c>
      <c r="B433" s="4" t="str">
        <f>IFERROR(__xludf.DUMMYFUNCTION("""COMPUTED_VALUE"""),"P3 - Medium")</f>
        <v>P3 - Medium</v>
      </c>
      <c r="C433" s="5">
        <f>IFERROR(__xludf.DUMMYFUNCTION("""COMPUTED_VALUE"""),43543.63280092592)</f>
        <v>43543.6328</v>
      </c>
      <c r="D433" s="4" t="str">
        <f>IFERROR(__xludf.DUMMYFUNCTION("""COMPUTED_VALUE"""),"RESOLVED")</f>
        <v>RESOLVED</v>
      </c>
      <c r="E433" s="6">
        <f>IFERROR(__xludf.DUMMYFUNCTION("""COMPUTED_VALUE"""),43761.498761574076)</f>
        <v>43761.49876</v>
      </c>
      <c r="F433" s="4" t="str">
        <f>IFERROR(__xludf.DUMMYFUNCTION("""COMPUTED_VALUE""")," ---")</f>
        <v> ---</v>
      </c>
      <c r="G433" s="4" t="str">
        <f>IFERROR(__xludf.DUMMYFUNCTION("""COMPUTED_VALUE"""),"SUSE Linux Enterprise Server 15 SP1")</f>
        <v>SUSE Linux Enterprise Server 15 SP1</v>
      </c>
      <c r="H433" s="7" t="str">
        <f t="shared" si="2"/>
        <v>NO</v>
      </c>
      <c r="I433" s="7" t="str">
        <f t="shared" si="3"/>
        <v>NO</v>
      </c>
    </row>
    <row r="434">
      <c r="A434" s="4">
        <f>IFERROR(__xludf.DUMMYFUNCTION("""COMPUTED_VALUE"""),1134945.0)</f>
        <v>1134945</v>
      </c>
      <c r="B434" s="4" t="str">
        <f>IFERROR(__xludf.DUMMYFUNCTION("""COMPUTED_VALUE"""),"P3 - Medium")</f>
        <v>P3 - Medium</v>
      </c>
      <c r="C434" s="5">
        <f>IFERROR(__xludf.DUMMYFUNCTION("""COMPUTED_VALUE"""),43599.255902777775)</f>
        <v>43599.2559</v>
      </c>
      <c r="D434" s="4" t="str">
        <f>IFERROR(__xludf.DUMMYFUNCTION("""COMPUTED_VALUE"""),"RESOLVED")</f>
        <v>RESOLVED</v>
      </c>
      <c r="E434" s="6">
        <f>IFERROR(__xludf.DUMMYFUNCTION("""COMPUTED_VALUE"""),43731.944386574076)</f>
        <v>43731.94439</v>
      </c>
      <c r="F434" s="4" t="str">
        <f>IFERROR(__xludf.DUMMYFUNCTION("""COMPUTED_VALUE""")," ---")</f>
        <v> ---</v>
      </c>
      <c r="G434" s="4" t="str">
        <f>IFERROR(__xludf.DUMMYFUNCTION("""COMPUTED_VALUE"""),"Beta SUSE Linux Enterprise Server 15 SP1")</f>
        <v>Beta SUSE Linux Enterprise Server 15 SP1</v>
      </c>
      <c r="H434" s="7" t="str">
        <f t="shared" si="2"/>
        <v>NO</v>
      </c>
      <c r="I434" s="7" t="str">
        <f t="shared" si="3"/>
        <v>NO</v>
      </c>
    </row>
    <row r="435">
      <c r="A435" s="4">
        <f>IFERROR(__xludf.DUMMYFUNCTION("""COMPUTED_VALUE"""),1134946.0)</f>
        <v>1134946</v>
      </c>
      <c r="B435" s="4" t="str">
        <f>IFERROR(__xludf.DUMMYFUNCTION("""COMPUTED_VALUE"""),"P3 - Medium")</f>
        <v>P3 - Medium</v>
      </c>
      <c r="C435" s="5">
        <f>IFERROR(__xludf.DUMMYFUNCTION("""COMPUTED_VALUE"""),43599.26193287037)</f>
        <v>43599.26193</v>
      </c>
      <c r="D435" s="4" t="str">
        <f>IFERROR(__xludf.DUMMYFUNCTION("""COMPUTED_VALUE"""),"RESOLVED")</f>
        <v>RESOLVED</v>
      </c>
      <c r="E435" s="6">
        <f>IFERROR(__xludf.DUMMYFUNCTION("""COMPUTED_VALUE"""),43731.61900462963)</f>
        <v>43731.619</v>
      </c>
      <c r="F435" s="4" t="str">
        <f>IFERROR(__xludf.DUMMYFUNCTION("""COMPUTED_VALUE""")," ---")</f>
        <v> ---</v>
      </c>
      <c r="G435" s="4" t="str">
        <f>IFERROR(__xludf.DUMMYFUNCTION("""COMPUTED_VALUE"""),"Beta SUSE Linux Enterprise Server 15 SP1")</f>
        <v>Beta SUSE Linux Enterprise Server 15 SP1</v>
      </c>
      <c r="H435" s="7" t="str">
        <f t="shared" si="2"/>
        <v>NO</v>
      </c>
      <c r="I435" s="7" t="str">
        <f t="shared" si="3"/>
        <v>NO</v>
      </c>
    </row>
    <row r="436">
      <c r="A436" s="4">
        <f>IFERROR(__xludf.DUMMYFUNCTION("""COMPUTED_VALUE"""),1134947.0)</f>
        <v>1134947</v>
      </c>
      <c r="B436" s="4" t="str">
        <f>IFERROR(__xludf.DUMMYFUNCTION("""COMPUTED_VALUE"""),"P3 - Medium")</f>
        <v>P3 - Medium</v>
      </c>
      <c r="C436" s="5">
        <f>IFERROR(__xludf.DUMMYFUNCTION("""COMPUTED_VALUE"""),43599.26797453704)</f>
        <v>43599.26797</v>
      </c>
      <c r="D436" s="4" t="str">
        <f>IFERROR(__xludf.DUMMYFUNCTION("""COMPUTED_VALUE"""),"RESOLVED")</f>
        <v>RESOLVED</v>
      </c>
      <c r="E436" s="6">
        <f>IFERROR(__xludf.DUMMYFUNCTION("""COMPUTED_VALUE"""),43731.94446759259)</f>
        <v>43731.94447</v>
      </c>
      <c r="F436" s="4" t="str">
        <f>IFERROR(__xludf.DUMMYFUNCTION("""COMPUTED_VALUE""")," ---")</f>
        <v> ---</v>
      </c>
      <c r="G436" s="4" t="str">
        <f>IFERROR(__xludf.DUMMYFUNCTION("""COMPUTED_VALUE"""),"Beta SUSE Linux Enterprise Server 15 SP1")</f>
        <v>Beta SUSE Linux Enterprise Server 15 SP1</v>
      </c>
      <c r="H436" s="7" t="str">
        <f t="shared" si="2"/>
        <v>NO</v>
      </c>
      <c r="I436" s="7" t="str">
        <f t="shared" si="3"/>
        <v>NO</v>
      </c>
    </row>
    <row r="437">
      <c r="A437" s="4">
        <f>IFERROR(__xludf.DUMMYFUNCTION("""COMPUTED_VALUE"""),1134948.0)</f>
        <v>1134948</v>
      </c>
      <c r="B437" s="4" t="str">
        <f>IFERROR(__xludf.DUMMYFUNCTION("""COMPUTED_VALUE"""),"P3 - Medium")</f>
        <v>P3 - Medium</v>
      </c>
      <c r="C437" s="5">
        <f>IFERROR(__xludf.DUMMYFUNCTION("""COMPUTED_VALUE"""),43599.27296296296)</f>
        <v>43599.27296</v>
      </c>
      <c r="D437" s="4" t="str">
        <f>IFERROR(__xludf.DUMMYFUNCTION("""COMPUTED_VALUE"""),"RESOLVED")</f>
        <v>RESOLVED</v>
      </c>
      <c r="E437" s="6">
        <f>IFERROR(__xludf.DUMMYFUNCTION("""COMPUTED_VALUE"""),43731.956099537034)</f>
        <v>43731.9561</v>
      </c>
      <c r="F437" s="4" t="str">
        <f>IFERROR(__xludf.DUMMYFUNCTION("""COMPUTED_VALUE""")," ---")</f>
        <v> ---</v>
      </c>
      <c r="G437" s="4" t="str">
        <f>IFERROR(__xludf.DUMMYFUNCTION("""COMPUTED_VALUE"""),"Beta SUSE Linux Enterprise Server 15 SP1")</f>
        <v>Beta SUSE Linux Enterprise Server 15 SP1</v>
      </c>
      <c r="H437" s="7" t="str">
        <f t="shared" si="2"/>
        <v>NO</v>
      </c>
      <c r="I437" s="7" t="str">
        <f t="shared" si="3"/>
        <v>NO</v>
      </c>
    </row>
    <row r="438">
      <c r="A438" s="4">
        <f>IFERROR(__xludf.DUMMYFUNCTION("""COMPUTED_VALUE"""),1134949.0)</f>
        <v>1134949</v>
      </c>
      <c r="B438" s="4" t="str">
        <f>IFERROR(__xludf.DUMMYFUNCTION("""COMPUTED_VALUE"""),"P3 - Medium")</f>
        <v>P3 - Medium</v>
      </c>
      <c r="C438" s="5">
        <f>IFERROR(__xludf.DUMMYFUNCTION("""COMPUTED_VALUE"""),43599.275196759256)</f>
        <v>43599.2752</v>
      </c>
      <c r="D438" s="4" t="str">
        <f>IFERROR(__xludf.DUMMYFUNCTION("""COMPUTED_VALUE"""),"RESOLVED")</f>
        <v>RESOLVED</v>
      </c>
      <c r="E438" s="6">
        <f>IFERROR(__xludf.DUMMYFUNCTION("""COMPUTED_VALUE"""),43731.94453703704)</f>
        <v>43731.94454</v>
      </c>
      <c r="F438" s="4" t="str">
        <f>IFERROR(__xludf.DUMMYFUNCTION("""COMPUTED_VALUE""")," ---")</f>
        <v> ---</v>
      </c>
      <c r="G438" s="4" t="str">
        <f>IFERROR(__xludf.DUMMYFUNCTION("""COMPUTED_VALUE"""),"Beta SUSE Linux Enterprise Server 15 SP1")</f>
        <v>Beta SUSE Linux Enterprise Server 15 SP1</v>
      </c>
      <c r="H438" s="7" t="str">
        <f t="shared" si="2"/>
        <v>NO</v>
      </c>
      <c r="I438" s="7" t="str">
        <f t="shared" si="3"/>
        <v>NO</v>
      </c>
    </row>
    <row r="439">
      <c r="A439" s="4">
        <f>IFERROR(__xludf.DUMMYFUNCTION("""COMPUTED_VALUE"""),1134950.0)</f>
        <v>1134950</v>
      </c>
      <c r="B439" s="4" t="str">
        <f>IFERROR(__xludf.DUMMYFUNCTION("""COMPUTED_VALUE"""),"P3 - Medium")</f>
        <v>P3 - Medium</v>
      </c>
      <c r="C439" s="5">
        <f>IFERROR(__xludf.DUMMYFUNCTION("""COMPUTED_VALUE"""),43599.27883101852)</f>
        <v>43599.27883</v>
      </c>
      <c r="D439" s="4" t="str">
        <f>IFERROR(__xludf.DUMMYFUNCTION("""COMPUTED_VALUE"""),"RESOLVED")</f>
        <v>RESOLVED</v>
      </c>
      <c r="E439" s="6">
        <f>IFERROR(__xludf.DUMMYFUNCTION("""COMPUTED_VALUE"""),43731.94459490741)</f>
        <v>43731.94459</v>
      </c>
      <c r="F439" s="4" t="str">
        <f>IFERROR(__xludf.DUMMYFUNCTION("""COMPUTED_VALUE""")," ---")</f>
        <v> ---</v>
      </c>
      <c r="G439" s="4" t="str">
        <f>IFERROR(__xludf.DUMMYFUNCTION("""COMPUTED_VALUE"""),"Beta SUSE Linux Enterprise Server 15 SP1")</f>
        <v>Beta SUSE Linux Enterprise Server 15 SP1</v>
      </c>
      <c r="H439" s="7" t="str">
        <f t="shared" si="2"/>
        <v>NO</v>
      </c>
      <c r="I439" s="7" t="str">
        <f t="shared" si="3"/>
        <v>NO</v>
      </c>
    </row>
    <row r="440">
      <c r="A440" s="4">
        <f>IFERROR(__xludf.DUMMYFUNCTION("""COMPUTED_VALUE"""),1134951.0)</f>
        <v>1134951</v>
      </c>
      <c r="B440" s="4" t="str">
        <f>IFERROR(__xludf.DUMMYFUNCTION("""COMPUTED_VALUE"""),"P3 - Medium")</f>
        <v>P3 - Medium</v>
      </c>
      <c r="C440" s="5">
        <f>IFERROR(__xludf.DUMMYFUNCTION("""COMPUTED_VALUE"""),43599.28601851852)</f>
        <v>43599.28602</v>
      </c>
      <c r="D440" s="4" t="str">
        <f>IFERROR(__xludf.DUMMYFUNCTION("""COMPUTED_VALUE"""),"RESOLVED")</f>
        <v>RESOLVED</v>
      </c>
      <c r="E440" s="6">
        <f>IFERROR(__xludf.DUMMYFUNCTION("""COMPUTED_VALUE"""),43731.94466435185)</f>
        <v>43731.94466</v>
      </c>
      <c r="F440" s="4" t="str">
        <f>IFERROR(__xludf.DUMMYFUNCTION("""COMPUTED_VALUE""")," ---")</f>
        <v> ---</v>
      </c>
      <c r="G440" s="4" t="str">
        <f>IFERROR(__xludf.DUMMYFUNCTION("""COMPUTED_VALUE"""),"Beta SUSE Linux Enterprise Server 15 SP1")</f>
        <v>Beta SUSE Linux Enterprise Server 15 SP1</v>
      </c>
      <c r="H440" s="7" t="str">
        <f t="shared" si="2"/>
        <v>NO</v>
      </c>
      <c r="I440" s="7" t="str">
        <f t="shared" si="3"/>
        <v>NO</v>
      </c>
    </row>
    <row r="441">
      <c r="A441" s="4">
        <f>IFERROR(__xludf.DUMMYFUNCTION("""COMPUTED_VALUE"""),1134952.0)</f>
        <v>1134952</v>
      </c>
      <c r="B441" s="4" t="str">
        <f>IFERROR(__xludf.DUMMYFUNCTION("""COMPUTED_VALUE"""),"P3 - Medium")</f>
        <v>P3 - Medium</v>
      </c>
      <c r="C441" s="5">
        <f>IFERROR(__xludf.DUMMYFUNCTION("""COMPUTED_VALUE"""),43599.29054398148)</f>
        <v>43599.29054</v>
      </c>
      <c r="D441" s="4" t="str">
        <f>IFERROR(__xludf.DUMMYFUNCTION("""COMPUTED_VALUE"""),"RESOLVED")</f>
        <v>RESOLVED</v>
      </c>
      <c r="E441" s="6">
        <f>IFERROR(__xludf.DUMMYFUNCTION("""COMPUTED_VALUE"""),43731.9447337963)</f>
        <v>43731.94473</v>
      </c>
      <c r="F441" s="4" t="str">
        <f>IFERROR(__xludf.DUMMYFUNCTION("""COMPUTED_VALUE""")," ---")</f>
        <v> ---</v>
      </c>
      <c r="G441" s="4" t="str">
        <f>IFERROR(__xludf.DUMMYFUNCTION("""COMPUTED_VALUE"""),"Beta SUSE Linux Enterprise Server 15 SP1")</f>
        <v>Beta SUSE Linux Enterprise Server 15 SP1</v>
      </c>
      <c r="H441" s="7" t="str">
        <f t="shared" si="2"/>
        <v>NO</v>
      </c>
      <c r="I441" s="7" t="str">
        <f t="shared" si="3"/>
        <v>NO</v>
      </c>
    </row>
    <row r="442">
      <c r="A442" s="4">
        <f>IFERROR(__xludf.DUMMYFUNCTION("""COMPUTED_VALUE"""),1134953.0)</f>
        <v>1134953</v>
      </c>
      <c r="B442" s="4" t="str">
        <f>IFERROR(__xludf.DUMMYFUNCTION("""COMPUTED_VALUE"""),"P3 - Medium")</f>
        <v>P3 - Medium</v>
      </c>
      <c r="C442" s="5">
        <f>IFERROR(__xludf.DUMMYFUNCTION("""COMPUTED_VALUE"""),43599.29209490741)</f>
        <v>43599.29209</v>
      </c>
      <c r="D442" s="4" t="str">
        <f>IFERROR(__xludf.DUMMYFUNCTION("""COMPUTED_VALUE"""),"RESOLVED")</f>
        <v>RESOLVED</v>
      </c>
      <c r="E442" s="6">
        <f>IFERROR(__xludf.DUMMYFUNCTION("""COMPUTED_VALUE"""),43731.94479166667)</f>
        <v>43731.94479</v>
      </c>
      <c r="F442" s="4" t="str">
        <f>IFERROR(__xludf.DUMMYFUNCTION("""COMPUTED_VALUE""")," ---")</f>
        <v> ---</v>
      </c>
      <c r="G442" s="4" t="str">
        <f>IFERROR(__xludf.DUMMYFUNCTION("""COMPUTED_VALUE"""),"Beta SUSE Linux Enterprise Server 15 SP1")</f>
        <v>Beta SUSE Linux Enterprise Server 15 SP1</v>
      </c>
      <c r="H442" s="7" t="str">
        <f t="shared" si="2"/>
        <v>NO</v>
      </c>
      <c r="I442" s="7" t="str">
        <f t="shared" si="3"/>
        <v>NO</v>
      </c>
    </row>
    <row r="443">
      <c r="A443" s="4">
        <f>IFERROR(__xludf.DUMMYFUNCTION("""COMPUTED_VALUE"""),1134972.0)</f>
        <v>1134972</v>
      </c>
      <c r="B443" s="4" t="str">
        <f>IFERROR(__xludf.DUMMYFUNCTION("""COMPUTED_VALUE"""),"P3 - Medium")</f>
        <v>P3 - Medium</v>
      </c>
      <c r="C443" s="5">
        <f>IFERROR(__xludf.DUMMYFUNCTION("""COMPUTED_VALUE"""),43599.345671296294)</f>
        <v>43599.34567</v>
      </c>
      <c r="D443" s="4" t="str">
        <f>IFERROR(__xludf.DUMMYFUNCTION("""COMPUTED_VALUE"""),"RESOLVED")</f>
        <v>RESOLVED</v>
      </c>
      <c r="E443" s="6">
        <f>IFERROR(__xludf.DUMMYFUNCTION("""COMPUTED_VALUE"""),43731.957094907404)</f>
        <v>43731.95709</v>
      </c>
      <c r="F443" s="4" t="str">
        <f>IFERROR(__xludf.DUMMYFUNCTION("""COMPUTED_VALUE""")," ---")</f>
        <v> ---</v>
      </c>
      <c r="G443" s="4" t="str">
        <f>IFERROR(__xludf.DUMMYFUNCTION("""COMPUTED_VALUE"""),"Beta SUSE Linux Enterprise Server 15 SP1")</f>
        <v>Beta SUSE Linux Enterprise Server 15 SP1</v>
      </c>
      <c r="H443" s="7" t="str">
        <f t="shared" si="2"/>
        <v>NO</v>
      </c>
      <c r="I443" s="7" t="str">
        <f t="shared" si="3"/>
        <v>NO</v>
      </c>
    </row>
    <row r="444">
      <c r="A444" s="4">
        <f>IFERROR(__xludf.DUMMYFUNCTION("""COMPUTED_VALUE"""),1134974.0)</f>
        <v>1134974</v>
      </c>
      <c r="B444" s="4" t="str">
        <f>IFERROR(__xludf.DUMMYFUNCTION("""COMPUTED_VALUE"""),"P3 - Medium")</f>
        <v>P3 - Medium</v>
      </c>
      <c r="C444" s="5">
        <f>IFERROR(__xludf.DUMMYFUNCTION("""COMPUTED_VALUE"""),43599.34810185185)</f>
        <v>43599.3481</v>
      </c>
      <c r="D444" s="4" t="str">
        <f>IFERROR(__xludf.DUMMYFUNCTION("""COMPUTED_VALUE"""),"RESOLVED")</f>
        <v>RESOLVED</v>
      </c>
      <c r="E444" s="6">
        <f>IFERROR(__xludf.DUMMYFUNCTION("""COMPUTED_VALUE"""),43731.94493055555)</f>
        <v>43731.94493</v>
      </c>
      <c r="F444" s="4" t="str">
        <f>IFERROR(__xludf.DUMMYFUNCTION("""COMPUTED_VALUE""")," ---")</f>
        <v> ---</v>
      </c>
      <c r="G444" s="4" t="str">
        <f>IFERROR(__xludf.DUMMYFUNCTION("""COMPUTED_VALUE"""),"Beta SUSE Linux Enterprise Server 15 SP1")</f>
        <v>Beta SUSE Linux Enterprise Server 15 SP1</v>
      </c>
      <c r="H444" s="7" t="str">
        <f t="shared" si="2"/>
        <v>NO</v>
      </c>
      <c r="I444" s="7" t="str">
        <f t="shared" si="3"/>
        <v>NO</v>
      </c>
    </row>
    <row r="445">
      <c r="A445" s="4">
        <f>IFERROR(__xludf.DUMMYFUNCTION("""COMPUTED_VALUE"""),1134975.0)</f>
        <v>1134975</v>
      </c>
      <c r="B445" s="4" t="str">
        <f>IFERROR(__xludf.DUMMYFUNCTION("""COMPUTED_VALUE"""),"P3 - Medium")</f>
        <v>P3 - Medium</v>
      </c>
      <c r="C445" s="5">
        <f>IFERROR(__xludf.DUMMYFUNCTION("""COMPUTED_VALUE"""),43599.3496875)</f>
        <v>43599.34969</v>
      </c>
      <c r="D445" s="4" t="str">
        <f>IFERROR(__xludf.DUMMYFUNCTION("""COMPUTED_VALUE"""),"RESOLVED")</f>
        <v>RESOLVED</v>
      </c>
      <c r="E445" s="6">
        <f>IFERROR(__xludf.DUMMYFUNCTION("""COMPUTED_VALUE"""),43731.945)</f>
        <v>43731.945</v>
      </c>
      <c r="F445" s="4" t="str">
        <f>IFERROR(__xludf.DUMMYFUNCTION("""COMPUTED_VALUE""")," ---")</f>
        <v> ---</v>
      </c>
      <c r="G445" s="4" t="str">
        <f>IFERROR(__xludf.DUMMYFUNCTION("""COMPUTED_VALUE"""),"Beta SUSE Linux Enterprise Server 15 SP1")</f>
        <v>Beta SUSE Linux Enterprise Server 15 SP1</v>
      </c>
      <c r="H445" s="7" t="str">
        <f t="shared" si="2"/>
        <v>NO</v>
      </c>
      <c r="I445" s="7" t="str">
        <f t="shared" si="3"/>
        <v>NO</v>
      </c>
    </row>
    <row r="446">
      <c r="A446" s="4">
        <f>IFERROR(__xludf.DUMMYFUNCTION("""COMPUTED_VALUE"""),1134977.0)</f>
        <v>1134977</v>
      </c>
      <c r="B446" s="4" t="str">
        <f>IFERROR(__xludf.DUMMYFUNCTION("""COMPUTED_VALUE"""),"P3 - Medium")</f>
        <v>P3 - Medium</v>
      </c>
      <c r="C446" s="5">
        <f>IFERROR(__xludf.DUMMYFUNCTION("""COMPUTED_VALUE"""),43599.350798611114)</f>
        <v>43599.3508</v>
      </c>
      <c r="D446" s="4" t="str">
        <f>IFERROR(__xludf.DUMMYFUNCTION("""COMPUTED_VALUE"""),"RESOLVED")</f>
        <v>RESOLVED</v>
      </c>
      <c r="E446" s="6">
        <f>IFERROR(__xludf.DUMMYFUNCTION("""COMPUTED_VALUE"""),43623.40332175926)</f>
        <v>43623.40332</v>
      </c>
      <c r="F446" s="4" t="str">
        <f>IFERROR(__xludf.DUMMYFUNCTION("""COMPUTED_VALUE""")," ---")</f>
        <v> ---</v>
      </c>
      <c r="G446" s="4" t="str">
        <f>IFERROR(__xludf.DUMMYFUNCTION("""COMPUTED_VALUE"""),"Beta SUSE Linux Enterprise Server 15 SP1")</f>
        <v>Beta SUSE Linux Enterprise Server 15 SP1</v>
      </c>
      <c r="H446" s="7" t="str">
        <f t="shared" si="2"/>
        <v>NO</v>
      </c>
      <c r="I446" s="7" t="str">
        <f t="shared" si="3"/>
        <v>NO</v>
      </c>
    </row>
    <row r="447">
      <c r="A447" s="4">
        <f>IFERROR(__xludf.DUMMYFUNCTION("""COMPUTED_VALUE"""),1134980.0)</f>
        <v>1134980</v>
      </c>
      <c r="B447" s="4" t="str">
        <f>IFERROR(__xludf.DUMMYFUNCTION("""COMPUTED_VALUE"""),"P3 - Medium")</f>
        <v>P3 - Medium</v>
      </c>
      <c r="C447" s="5">
        <f>IFERROR(__xludf.DUMMYFUNCTION("""COMPUTED_VALUE"""),43599.366643518515)</f>
        <v>43599.36664</v>
      </c>
      <c r="D447" s="4" t="str">
        <f>IFERROR(__xludf.DUMMYFUNCTION("""COMPUTED_VALUE"""),"RESOLVED")</f>
        <v>RESOLVED</v>
      </c>
      <c r="E447" s="6">
        <f>IFERROR(__xludf.DUMMYFUNCTION("""COMPUTED_VALUE"""),43731.945127314815)</f>
        <v>43731.94513</v>
      </c>
      <c r="F447" s="4" t="str">
        <f>IFERROR(__xludf.DUMMYFUNCTION("""COMPUTED_VALUE""")," ---")</f>
        <v> ---</v>
      </c>
      <c r="G447" s="4" t="str">
        <f>IFERROR(__xludf.DUMMYFUNCTION("""COMPUTED_VALUE"""),"Beta SUSE Linux Enterprise Server 15 SP1")</f>
        <v>Beta SUSE Linux Enterprise Server 15 SP1</v>
      </c>
      <c r="H447" s="7" t="str">
        <f t="shared" si="2"/>
        <v>NO</v>
      </c>
      <c r="I447" s="7" t="str">
        <f t="shared" si="3"/>
        <v>NO</v>
      </c>
    </row>
    <row r="448">
      <c r="A448" s="4">
        <f>IFERROR(__xludf.DUMMYFUNCTION("""COMPUTED_VALUE"""),1134981.0)</f>
        <v>1134981</v>
      </c>
      <c r="B448" s="4" t="str">
        <f>IFERROR(__xludf.DUMMYFUNCTION("""COMPUTED_VALUE"""),"P3 - Medium")</f>
        <v>P3 - Medium</v>
      </c>
      <c r="C448" s="5">
        <f>IFERROR(__xludf.DUMMYFUNCTION("""COMPUTED_VALUE"""),43599.369259259256)</f>
        <v>43599.36926</v>
      </c>
      <c r="D448" s="4" t="str">
        <f>IFERROR(__xludf.DUMMYFUNCTION("""COMPUTED_VALUE"""),"RESOLVED")</f>
        <v>RESOLVED</v>
      </c>
      <c r="E448" s="6">
        <f>IFERROR(__xludf.DUMMYFUNCTION("""COMPUTED_VALUE"""),43731.95568287037)</f>
        <v>43731.95568</v>
      </c>
      <c r="F448" s="4" t="str">
        <f>IFERROR(__xludf.DUMMYFUNCTION("""COMPUTED_VALUE""")," ---")</f>
        <v> ---</v>
      </c>
      <c r="G448" s="4" t="str">
        <f>IFERROR(__xludf.DUMMYFUNCTION("""COMPUTED_VALUE"""),"Beta SUSE Linux Enterprise Server 15 SP1")</f>
        <v>Beta SUSE Linux Enterprise Server 15 SP1</v>
      </c>
      <c r="H448" s="7" t="str">
        <f t="shared" si="2"/>
        <v>NO</v>
      </c>
      <c r="I448" s="7" t="str">
        <f t="shared" si="3"/>
        <v>NO</v>
      </c>
    </row>
    <row r="449">
      <c r="A449" s="4">
        <f>IFERROR(__xludf.DUMMYFUNCTION("""COMPUTED_VALUE"""),1134983.0)</f>
        <v>1134983</v>
      </c>
      <c r="B449" s="4" t="str">
        <f>IFERROR(__xludf.DUMMYFUNCTION("""COMPUTED_VALUE"""),"P3 - Medium")</f>
        <v>P3 - Medium</v>
      </c>
      <c r="C449" s="5">
        <f>IFERROR(__xludf.DUMMYFUNCTION("""COMPUTED_VALUE"""),43599.373136574075)</f>
        <v>43599.37314</v>
      </c>
      <c r="D449" s="4" t="str">
        <f>IFERROR(__xludf.DUMMYFUNCTION("""COMPUTED_VALUE"""),"RESOLVED")</f>
        <v>RESOLVED</v>
      </c>
      <c r="E449" s="6">
        <f>IFERROR(__xludf.DUMMYFUNCTION("""COMPUTED_VALUE"""),43899.59940972222)</f>
        <v>43899.59941</v>
      </c>
      <c r="F449" s="4" t="str">
        <f>IFERROR(__xludf.DUMMYFUNCTION("""COMPUTED_VALUE""")," ---")</f>
        <v> ---</v>
      </c>
      <c r="G449" s="4" t="str">
        <f>IFERROR(__xludf.DUMMYFUNCTION("""COMPUTED_VALUE"""),"Beta SUSE Linux Enterprise Server 15 SP1")</f>
        <v>Beta SUSE Linux Enterprise Server 15 SP1</v>
      </c>
      <c r="H449" s="7" t="str">
        <f t="shared" si="2"/>
        <v>NO</v>
      </c>
      <c r="I449" s="7" t="str">
        <f t="shared" si="3"/>
        <v>NO</v>
      </c>
    </row>
    <row r="450">
      <c r="A450" s="4">
        <f>IFERROR(__xludf.DUMMYFUNCTION("""COMPUTED_VALUE"""),1134987.0)</f>
        <v>1134987</v>
      </c>
      <c r="B450" s="4" t="str">
        <f>IFERROR(__xludf.DUMMYFUNCTION("""COMPUTED_VALUE"""),"P3 - Medium")</f>
        <v>P3 - Medium</v>
      </c>
      <c r="C450" s="5">
        <f>IFERROR(__xludf.DUMMYFUNCTION("""COMPUTED_VALUE"""),43599.3777662037)</f>
        <v>43599.37777</v>
      </c>
      <c r="D450" s="4" t="str">
        <f>IFERROR(__xludf.DUMMYFUNCTION("""COMPUTED_VALUE"""),"RESOLVED")</f>
        <v>RESOLVED</v>
      </c>
      <c r="E450" s="6">
        <f>IFERROR(__xludf.DUMMYFUNCTION("""COMPUTED_VALUE"""),43731.94519675926)</f>
        <v>43731.9452</v>
      </c>
      <c r="F450" s="4" t="str">
        <f>IFERROR(__xludf.DUMMYFUNCTION("""COMPUTED_VALUE""")," ---")</f>
        <v> ---</v>
      </c>
      <c r="G450" s="4" t="str">
        <f>IFERROR(__xludf.DUMMYFUNCTION("""COMPUTED_VALUE"""),"Beta SUSE Linux Enterprise Server 15 SP1")</f>
        <v>Beta SUSE Linux Enterprise Server 15 SP1</v>
      </c>
      <c r="H450" s="7" t="str">
        <f t="shared" si="2"/>
        <v>NO</v>
      </c>
      <c r="I450" s="7" t="str">
        <f t="shared" si="3"/>
        <v>NO</v>
      </c>
    </row>
    <row r="451">
      <c r="A451" s="4">
        <f>IFERROR(__xludf.DUMMYFUNCTION("""COMPUTED_VALUE"""),1134989.0)</f>
        <v>1134989</v>
      </c>
      <c r="B451" s="4" t="str">
        <f>IFERROR(__xludf.DUMMYFUNCTION("""COMPUTED_VALUE"""),"P3 - Medium")</f>
        <v>P3 - Medium</v>
      </c>
      <c r="C451" s="5">
        <f>IFERROR(__xludf.DUMMYFUNCTION("""COMPUTED_VALUE"""),43599.37938657407)</f>
        <v>43599.37939</v>
      </c>
      <c r="D451" s="4" t="str">
        <f>IFERROR(__xludf.DUMMYFUNCTION("""COMPUTED_VALUE"""),"RESOLVED")</f>
        <v>RESOLVED</v>
      </c>
      <c r="E451" s="6">
        <f>IFERROR(__xludf.DUMMYFUNCTION("""COMPUTED_VALUE"""),43731.94525462963)</f>
        <v>43731.94525</v>
      </c>
      <c r="F451" s="4" t="str">
        <f>IFERROR(__xludf.DUMMYFUNCTION("""COMPUTED_VALUE""")," ---")</f>
        <v> ---</v>
      </c>
      <c r="G451" s="4" t="str">
        <f>IFERROR(__xludf.DUMMYFUNCTION("""COMPUTED_VALUE"""),"Beta SUSE Linux Enterprise Server 15 SP1")</f>
        <v>Beta SUSE Linux Enterprise Server 15 SP1</v>
      </c>
      <c r="H451" s="7" t="str">
        <f t="shared" si="2"/>
        <v>NO</v>
      </c>
      <c r="I451" s="7" t="str">
        <f t="shared" si="3"/>
        <v>NO</v>
      </c>
    </row>
    <row r="452">
      <c r="A452" s="4">
        <f>IFERROR(__xludf.DUMMYFUNCTION("""COMPUTED_VALUE"""),1134990.0)</f>
        <v>1134990</v>
      </c>
      <c r="B452" s="4" t="str">
        <f>IFERROR(__xludf.DUMMYFUNCTION("""COMPUTED_VALUE"""),"P3 - Medium")</f>
        <v>P3 - Medium</v>
      </c>
      <c r="C452" s="5">
        <f>IFERROR(__xludf.DUMMYFUNCTION("""COMPUTED_VALUE"""),43599.38166666667)</f>
        <v>43599.38167</v>
      </c>
      <c r="D452" s="4" t="str">
        <f>IFERROR(__xludf.DUMMYFUNCTION("""COMPUTED_VALUE"""),"RESOLVED")</f>
        <v>RESOLVED</v>
      </c>
      <c r="E452" s="6">
        <f>IFERROR(__xludf.DUMMYFUNCTION("""COMPUTED_VALUE"""),43731.94532407408)</f>
        <v>43731.94532</v>
      </c>
      <c r="F452" s="4" t="str">
        <f>IFERROR(__xludf.DUMMYFUNCTION("""COMPUTED_VALUE""")," ---")</f>
        <v> ---</v>
      </c>
      <c r="G452" s="4" t="str">
        <f>IFERROR(__xludf.DUMMYFUNCTION("""COMPUTED_VALUE"""),"Beta SUSE Linux Enterprise Server 15 SP1")</f>
        <v>Beta SUSE Linux Enterprise Server 15 SP1</v>
      </c>
      <c r="H452" s="7" t="str">
        <f t="shared" si="2"/>
        <v>NO</v>
      </c>
      <c r="I452" s="7" t="str">
        <f t="shared" si="3"/>
        <v>NO</v>
      </c>
    </row>
    <row r="453">
      <c r="A453" s="4">
        <f>IFERROR(__xludf.DUMMYFUNCTION("""COMPUTED_VALUE"""),1134994.0)</f>
        <v>1134994</v>
      </c>
      <c r="B453" s="4" t="str">
        <f>IFERROR(__xludf.DUMMYFUNCTION("""COMPUTED_VALUE"""),"P3 - Medium")</f>
        <v>P3 - Medium</v>
      </c>
      <c r="C453" s="5">
        <f>IFERROR(__xludf.DUMMYFUNCTION("""COMPUTED_VALUE"""),43599.38471064815)</f>
        <v>43599.38471</v>
      </c>
      <c r="D453" s="4" t="str">
        <f>IFERROR(__xludf.DUMMYFUNCTION("""COMPUTED_VALUE"""),"RESOLVED")</f>
        <v>RESOLVED</v>
      </c>
      <c r="E453" s="6">
        <f>IFERROR(__xludf.DUMMYFUNCTION("""COMPUTED_VALUE"""),43731.94545138889)</f>
        <v>43731.94545</v>
      </c>
      <c r="F453" s="4" t="str">
        <f>IFERROR(__xludf.DUMMYFUNCTION("""COMPUTED_VALUE""")," ---")</f>
        <v> ---</v>
      </c>
      <c r="G453" s="4" t="str">
        <f>IFERROR(__xludf.DUMMYFUNCTION("""COMPUTED_VALUE"""),"Beta SUSE Linux Enterprise Server 15 SP1")</f>
        <v>Beta SUSE Linux Enterprise Server 15 SP1</v>
      </c>
      <c r="H453" s="7" t="str">
        <f t="shared" si="2"/>
        <v>NO</v>
      </c>
      <c r="I453" s="7" t="str">
        <f t="shared" si="3"/>
        <v>NO</v>
      </c>
    </row>
    <row r="454">
      <c r="A454" s="4">
        <f>IFERROR(__xludf.DUMMYFUNCTION("""COMPUTED_VALUE"""),1134995.0)</f>
        <v>1134995</v>
      </c>
      <c r="B454" s="4" t="str">
        <f>IFERROR(__xludf.DUMMYFUNCTION("""COMPUTED_VALUE"""),"P3 - Medium")</f>
        <v>P3 - Medium</v>
      </c>
      <c r="C454" s="5">
        <f>IFERROR(__xludf.DUMMYFUNCTION("""COMPUTED_VALUE"""),43599.386030092595)</f>
        <v>43599.38603</v>
      </c>
      <c r="D454" s="4" t="str">
        <f>IFERROR(__xludf.DUMMYFUNCTION("""COMPUTED_VALUE"""),"RESOLVED")</f>
        <v>RESOLVED</v>
      </c>
      <c r="E454" s="6">
        <f>IFERROR(__xludf.DUMMYFUNCTION("""COMPUTED_VALUE"""),43731.94552083333)</f>
        <v>43731.94552</v>
      </c>
      <c r="F454" s="4" t="str">
        <f>IFERROR(__xludf.DUMMYFUNCTION("""COMPUTED_VALUE""")," ---")</f>
        <v> ---</v>
      </c>
      <c r="G454" s="4" t="str">
        <f>IFERROR(__xludf.DUMMYFUNCTION("""COMPUTED_VALUE"""),"Beta SUSE Linux Enterprise Server 15 SP1")</f>
        <v>Beta SUSE Linux Enterprise Server 15 SP1</v>
      </c>
      <c r="H454" s="7" t="str">
        <f t="shared" si="2"/>
        <v>NO</v>
      </c>
      <c r="I454" s="7" t="str">
        <f t="shared" si="3"/>
        <v>NO</v>
      </c>
    </row>
    <row r="455">
      <c r="A455" s="4">
        <f>IFERROR(__xludf.DUMMYFUNCTION("""COMPUTED_VALUE"""),1134998.0)</f>
        <v>1134998</v>
      </c>
      <c r="B455" s="4" t="str">
        <f>IFERROR(__xludf.DUMMYFUNCTION("""COMPUTED_VALUE"""),"P3 - Medium")</f>
        <v>P3 - Medium</v>
      </c>
      <c r="C455" s="5">
        <f>IFERROR(__xludf.DUMMYFUNCTION("""COMPUTED_VALUE"""),43599.38892361111)</f>
        <v>43599.38892</v>
      </c>
      <c r="D455" s="4" t="str">
        <f>IFERROR(__xludf.DUMMYFUNCTION("""COMPUTED_VALUE"""),"RESOLVED")</f>
        <v>RESOLVED</v>
      </c>
      <c r="E455" s="6">
        <f>IFERROR(__xludf.DUMMYFUNCTION("""COMPUTED_VALUE"""),43731.62153935185)</f>
        <v>43731.62154</v>
      </c>
      <c r="F455" s="4" t="str">
        <f>IFERROR(__xludf.DUMMYFUNCTION("""COMPUTED_VALUE""")," ---")</f>
        <v> ---</v>
      </c>
      <c r="G455" s="4" t="str">
        <f>IFERROR(__xludf.DUMMYFUNCTION("""COMPUTED_VALUE"""),"Beta SUSE Linux Enterprise Server 15 SP1")</f>
        <v>Beta SUSE Linux Enterprise Server 15 SP1</v>
      </c>
      <c r="H455" s="7" t="str">
        <f t="shared" si="2"/>
        <v>NO</v>
      </c>
      <c r="I455" s="7" t="str">
        <f t="shared" si="3"/>
        <v>NO</v>
      </c>
    </row>
    <row r="456">
      <c r="A456" s="4">
        <f>IFERROR(__xludf.DUMMYFUNCTION("""COMPUTED_VALUE"""),1134999.0)</f>
        <v>1134999</v>
      </c>
      <c r="B456" s="4" t="str">
        <f>IFERROR(__xludf.DUMMYFUNCTION("""COMPUTED_VALUE"""),"P3 - Medium")</f>
        <v>P3 - Medium</v>
      </c>
      <c r="C456" s="5">
        <f>IFERROR(__xludf.DUMMYFUNCTION("""COMPUTED_VALUE"""),43599.39032407408)</f>
        <v>43599.39032</v>
      </c>
      <c r="D456" s="4" t="str">
        <f>IFERROR(__xludf.DUMMYFUNCTION("""COMPUTED_VALUE"""),"RESOLVED")</f>
        <v>RESOLVED</v>
      </c>
      <c r="E456" s="6">
        <f>IFERROR(__xludf.DUMMYFUNCTION("""COMPUTED_VALUE"""),43732.276284722226)</f>
        <v>43732.27628</v>
      </c>
      <c r="F456" s="4" t="str">
        <f>IFERROR(__xludf.DUMMYFUNCTION("""COMPUTED_VALUE""")," ---")</f>
        <v> ---</v>
      </c>
      <c r="G456" s="4" t="str">
        <f>IFERROR(__xludf.DUMMYFUNCTION("""COMPUTED_VALUE"""),"Beta SUSE Linux Enterprise Server 15 SP1")</f>
        <v>Beta SUSE Linux Enterprise Server 15 SP1</v>
      </c>
      <c r="H456" s="7" t="str">
        <f t="shared" si="2"/>
        <v>NO</v>
      </c>
      <c r="I456" s="7" t="str">
        <f t="shared" si="3"/>
        <v>NO</v>
      </c>
    </row>
    <row r="457">
      <c r="A457" s="4">
        <f>IFERROR(__xludf.DUMMYFUNCTION("""COMPUTED_VALUE"""),1135018.0)</f>
        <v>1135018</v>
      </c>
      <c r="B457" s="4" t="str">
        <f>IFERROR(__xludf.DUMMYFUNCTION("""COMPUTED_VALUE"""),"P3 - Medium")</f>
        <v>P3 - Medium</v>
      </c>
      <c r="C457" s="5">
        <f>IFERROR(__xludf.DUMMYFUNCTION("""COMPUTED_VALUE"""),43599.43372685185)</f>
        <v>43599.43373</v>
      </c>
      <c r="D457" s="4" t="str">
        <f>IFERROR(__xludf.DUMMYFUNCTION("""COMPUTED_VALUE"""),"RESOLVED")</f>
        <v>RESOLVED</v>
      </c>
      <c r="E457" s="6">
        <f>IFERROR(__xludf.DUMMYFUNCTION("""COMPUTED_VALUE"""),43732.27575231482)</f>
        <v>43732.27575</v>
      </c>
      <c r="F457" s="4" t="str">
        <f>IFERROR(__xludf.DUMMYFUNCTION("""COMPUTED_VALUE""")," ---")</f>
        <v> ---</v>
      </c>
      <c r="G457" s="4" t="str">
        <f>IFERROR(__xludf.DUMMYFUNCTION("""COMPUTED_VALUE"""),"Beta SUSE Linux Enterprise Server 15 SP1")</f>
        <v>Beta SUSE Linux Enterprise Server 15 SP1</v>
      </c>
      <c r="H457" s="7" t="str">
        <f t="shared" si="2"/>
        <v>NO</v>
      </c>
      <c r="I457" s="7" t="str">
        <f t="shared" si="3"/>
        <v>NO</v>
      </c>
    </row>
    <row r="458">
      <c r="A458" s="4">
        <f>IFERROR(__xludf.DUMMYFUNCTION("""COMPUTED_VALUE"""),1135042.0)</f>
        <v>1135042</v>
      </c>
      <c r="B458" s="4" t="str">
        <f>IFERROR(__xludf.DUMMYFUNCTION("""COMPUTED_VALUE"""),"P3 - Medium")</f>
        <v>P3 - Medium</v>
      </c>
      <c r="C458" s="5">
        <f>IFERROR(__xludf.DUMMYFUNCTION("""COMPUTED_VALUE"""),43599.479629629626)</f>
        <v>43599.47963</v>
      </c>
      <c r="D458" s="4" t="str">
        <f>IFERROR(__xludf.DUMMYFUNCTION("""COMPUTED_VALUE"""),"RESOLVED")</f>
        <v>RESOLVED</v>
      </c>
      <c r="E458" s="6">
        <f>IFERROR(__xludf.DUMMYFUNCTION("""COMPUTED_VALUE"""),43731.94689814815)</f>
        <v>43731.9469</v>
      </c>
      <c r="F458" s="4" t="str">
        <f>IFERROR(__xludf.DUMMYFUNCTION("""COMPUTED_VALUE""")," ---")</f>
        <v> ---</v>
      </c>
      <c r="G458" s="4" t="str">
        <f>IFERROR(__xludf.DUMMYFUNCTION("""COMPUTED_VALUE"""),"Beta SUSE Linux Enterprise Server 15 SP1")</f>
        <v>Beta SUSE Linux Enterprise Server 15 SP1</v>
      </c>
      <c r="H458" s="7" t="str">
        <f t="shared" si="2"/>
        <v>NO</v>
      </c>
      <c r="I458" s="7" t="str">
        <f t="shared" si="3"/>
        <v>NO</v>
      </c>
    </row>
    <row r="459">
      <c r="A459" s="4">
        <f>IFERROR(__xludf.DUMMYFUNCTION("""COMPUTED_VALUE"""),1135044.0)</f>
        <v>1135044</v>
      </c>
      <c r="B459" s="4" t="str">
        <f>IFERROR(__xludf.DUMMYFUNCTION("""COMPUTED_VALUE"""),"P3 - Medium")</f>
        <v>P3 - Medium</v>
      </c>
      <c r="C459" s="5">
        <f>IFERROR(__xludf.DUMMYFUNCTION("""COMPUTED_VALUE"""),43599.48068287037)</f>
        <v>43599.48068</v>
      </c>
      <c r="D459" s="4" t="str">
        <f>IFERROR(__xludf.DUMMYFUNCTION("""COMPUTED_VALUE"""),"RESOLVED")</f>
        <v>RESOLVED</v>
      </c>
      <c r="E459" s="6">
        <f>IFERROR(__xludf.DUMMYFUNCTION("""COMPUTED_VALUE"""),43732.28701388889)</f>
        <v>43732.28701</v>
      </c>
      <c r="F459" s="4" t="str">
        <f>IFERROR(__xludf.DUMMYFUNCTION("""COMPUTED_VALUE""")," ---")</f>
        <v> ---</v>
      </c>
      <c r="G459" s="4" t="str">
        <f>IFERROR(__xludf.DUMMYFUNCTION("""COMPUTED_VALUE"""),"Beta SUSE Linux Enterprise Server 15 SP1")</f>
        <v>Beta SUSE Linux Enterprise Server 15 SP1</v>
      </c>
      <c r="H459" s="7" t="str">
        <f t="shared" si="2"/>
        <v>NO</v>
      </c>
      <c r="I459" s="7" t="str">
        <f t="shared" si="3"/>
        <v>NO</v>
      </c>
    </row>
    <row r="460">
      <c r="A460" s="4">
        <f>IFERROR(__xludf.DUMMYFUNCTION("""COMPUTED_VALUE"""),1135045.0)</f>
        <v>1135045</v>
      </c>
      <c r="B460" s="4" t="str">
        <f>IFERROR(__xludf.DUMMYFUNCTION("""COMPUTED_VALUE"""),"P3 - Medium")</f>
        <v>P3 - Medium</v>
      </c>
      <c r="C460" s="5">
        <f>IFERROR(__xludf.DUMMYFUNCTION("""COMPUTED_VALUE"""),43599.481620370374)</f>
        <v>43599.48162</v>
      </c>
      <c r="D460" s="4" t="str">
        <f>IFERROR(__xludf.DUMMYFUNCTION("""COMPUTED_VALUE"""),"RESOLVED")</f>
        <v>RESOLVED</v>
      </c>
      <c r="E460" s="6">
        <f>IFERROR(__xludf.DUMMYFUNCTION("""COMPUTED_VALUE"""),43731.946967592594)</f>
        <v>43731.94697</v>
      </c>
      <c r="F460" s="4" t="str">
        <f>IFERROR(__xludf.DUMMYFUNCTION("""COMPUTED_VALUE""")," ---")</f>
        <v> ---</v>
      </c>
      <c r="G460" s="4" t="str">
        <f>IFERROR(__xludf.DUMMYFUNCTION("""COMPUTED_VALUE"""),"Beta SUSE Linux Enterprise Server 15 SP1")</f>
        <v>Beta SUSE Linux Enterprise Server 15 SP1</v>
      </c>
      <c r="H460" s="7" t="str">
        <f t="shared" si="2"/>
        <v>NO</v>
      </c>
      <c r="I460" s="7" t="str">
        <f t="shared" si="3"/>
        <v>NO</v>
      </c>
    </row>
    <row r="461">
      <c r="A461" s="4">
        <f>IFERROR(__xludf.DUMMYFUNCTION("""COMPUTED_VALUE"""),1135046.0)</f>
        <v>1135046</v>
      </c>
      <c r="B461" s="4" t="str">
        <f>IFERROR(__xludf.DUMMYFUNCTION("""COMPUTED_VALUE"""),"P3 - Medium")</f>
        <v>P3 - Medium</v>
      </c>
      <c r="C461" s="5">
        <f>IFERROR(__xludf.DUMMYFUNCTION("""COMPUTED_VALUE"""),43599.482523148145)</f>
        <v>43599.48252</v>
      </c>
      <c r="D461" s="4" t="str">
        <f>IFERROR(__xludf.DUMMYFUNCTION("""COMPUTED_VALUE"""),"RESOLVED")</f>
        <v>RESOLVED</v>
      </c>
      <c r="E461" s="6">
        <f>IFERROR(__xludf.DUMMYFUNCTION("""COMPUTED_VALUE"""),43731.94703703704)</f>
        <v>43731.94704</v>
      </c>
      <c r="F461" s="4" t="str">
        <f>IFERROR(__xludf.DUMMYFUNCTION("""COMPUTED_VALUE""")," ---")</f>
        <v> ---</v>
      </c>
      <c r="G461" s="4" t="str">
        <f>IFERROR(__xludf.DUMMYFUNCTION("""COMPUTED_VALUE"""),"Beta SUSE Linux Enterprise Server 15 SP1")</f>
        <v>Beta SUSE Linux Enterprise Server 15 SP1</v>
      </c>
      <c r="H461" s="7" t="str">
        <f t="shared" si="2"/>
        <v>NO</v>
      </c>
      <c r="I461" s="7" t="str">
        <f t="shared" si="3"/>
        <v>NO</v>
      </c>
    </row>
    <row r="462">
      <c r="A462" s="4">
        <f>IFERROR(__xludf.DUMMYFUNCTION("""COMPUTED_VALUE"""),1135047.0)</f>
        <v>1135047</v>
      </c>
      <c r="B462" s="4" t="str">
        <f>IFERROR(__xludf.DUMMYFUNCTION("""COMPUTED_VALUE"""),"P3 - Medium")</f>
        <v>P3 - Medium</v>
      </c>
      <c r="C462" s="5">
        <f>IFERROR(__xludf.DUMMYFUNCTION("""COMPUTED_VALUE"""),43599.484085648146)</f>
        <v>43599.48409</v>
      </c>
      <c r="D462" s="4" t="str">
        <f>IFERROR(__xludf.DUMMYFUNCTION("""COMPUTED_VALUE"""),"RESOLVED")</f>
        <v>RESOLVED</v>
      </c>
      <c r="E462" s="6">
        <f>IFERROR(__xludf.DUMMYFUNCTION("""COMPUTED_VALUE"""),43731.94710648148)</f>
        <v>43731.94711</v>
      </c>
      <c r="F462" s="4" t="str">
        <f>IFERROR(__xludf.DUMMYFUNCTION("""COMPUTED_VALUE""")," ---")</f>
        <v> ---</v>
      </c>
      <c r="G462" s="4" t="str">
        <f>IFERROR(__xludf.DUMMYFUNCTION("""COMPUTED_VALUE"""),"Beta SUSE Linux Enterprise Server 15 SP1")</f>
        <v>Beta SUSE Linux Enterprise Server 15 SP1</v>
      </c>
      <c r="H462" s="7" t="str">
        <f t="shared" si="2"/>
        <v>NO</v>
      </c>
      <c r="I462" s="7" t="str">
        <f t="shared" si="3"/>
        <v>NO</v>
      </c>
    </row>
    <row r="463">
      <c r="A463" s="4">
        <f>IFERROR(__xludf.DUMMYFUNCTION("""COMPUTED_VALUE"""),1135049.0)</f>
        <v>1135049</v>
      </c>
      <c r="B463" s="4" t="str">
        <f>IFERROR(__xludf.DUMMYFUNCTION("""COMPUTED_VALUE"""),"P3 - Medium")</f>
        <v>P3 - Medium</v>
      </c>
      <c r="C463" s="5">
        <f>IFERROR(__xludf.DUMMYFUNCTION("""COMPUTED_VALUE"""),43599.485185185185)</f>
        <v>43599.48519</v>
      </c>
      <c r="D463" s="4" t="str">
        <f>IFERROR(__xludf.DUMMYFUNCTION("""COMPUTED_VALUE"""),"RESOLVED")</f>
        <v>RESOLVED</v>
      </c>
      <c r="E463" s="6">
        <f>IFERROR(__xludf.DUMMYFUNCTION("""COMPUTED_VALUE"""),43731.947164351855)</f>
        <v>43731.94716</v>
      </c>
      <c r="F463" s="4" t="str">
        <f>IFERROR(__xludf.DUMMYFUNCTION("""COMPUTED_VALUE""")," ---")</f>
        <v> ---</v>
      </c>
      <c r="G463" s="4" t="str">
        <f>IFERROR(__xludf.DUMMYFUNCTION("""COMPUTED_VALUE"""),"Beta SUSE Linux Enterprise Server 15 SP1")</f>
        <v>Beta SUSE Linux Enterprise Server 15 SP1</v>
      </c>
      <c r="H463" s="7" t="str">
        <f t="shared" si="2"/>
        <v>NO</v>
      </c>
      <c r="I463" s="7" t="str">
        <f t="shared" si="3"/>
        <v>NO</v>
      </c>
    </row>
    <row r="464">
      <c r="A464" s="4">
        <f>IFERROR(__xludf.DUMMYFUNCTION("""COMPUTED_VALUE"""),1135051.0)</f>
        <v>1135051</v>
      </c>
      <c r="B464" s="4" t="str">
        <f>IFERROR(__xludf.DUMMYFUNCTION("""COMPUTED_VALUE"""),"P3 - Medium")</f>
        <v>P3 - Medium</v>
      </c>
      <c r="C464" s="5">
        <f>IFERROR(__xludf.DUMMYFUNCTION("""COMPUTED_VALUE"""),43599.48641203704)</f>
        <v>43599.48641</v>
      </c>
      <c r="D464" s="4" t="str">
        <f>IFERROR(__xludf.DUMMYFUNCTION("""COMPUTED_VALUE"""),"RESOLVED")</f>
        <v>RESOLVED</v>
      </c>
      <c r="E464" s="6">
        <f>IFERROR(__xludf.DUMMYFUNCTION("""COMPUTED_VALUE"""),43731.947233796294)</f>
        <v>43731.94723</v>
      </c>
      <c r="F464" s="4" t="str">
        <f>IFERROR(__xludf.DUMMYFUNCTION("""COMPUTED_VALUE""")," ---")</f>
        <v> ---</v>
      </c>
      <c r="G464" s="4" t="str">
        <f>IFERROR(__xludf.DUMMYFUNCTION("""COMPUTED_VALUE"""),"Beta SUSE Linux Enterprise Server 15 SP1")</f>
        <v>Beta SUSE Linux Enterprise Server 15 SP1</v>
      </c>
      <c r="H464" s="7" t="str">
        <f t="shared" si="2"/>
        <v>NO</v>
      </c>
      <c r="I464" s="7" t="str">
        <f t="shared" si="3"/>
        <v>NO</v>
      </c>
    </row>
    <row r="465">
      <c r="A465" s="4">
        <f>IFERROR(__xludf.DUMMYFUNCTION("""COMPUTED_VALUE"""),1135052.0)</f>
        <v>1135052</v>
      </c>
      <c r="B465" s="4" t="str">
        <f>IFERROR(__xludf.DUMMYFUNCTION("""COMPUTED_VALUE"""),"P3 - Medium")</f>
        <v>P3 - Medium</v>
      </c>
      <c r="C465" s="5">
        <f>IFERROR(__xludf.DUMMYFUNCTION("""COMPUTED_VALUE"""),43599.48751157407)</f>
        <v>43599.48751</v>
      </c>
      <c r="D465" s="4" t="str">
        <f>IFERROR(__xludf.DUMMYFUNCTION("""COMPUTED_VALUE"""),"RESOLVED")</f>
        <v>RESOLVED</v>
      </c>
      <c r="E465" s="6">
        <f>IFERROR(__xludf.DUMMYFUNCTION("""COMPUTED_VALUE"""),43731.947291666664)</f>
        <v>43731.94729</v>
      </c>
      <c r="F465" s="4" t="str">
        <f>IFERROR(__xludf.DUMMYFUNCTION("""COMPUTED_VALUE""")," ---")</f>
        <v> ---</v>
      </c>
      <c r="G465" s="4" t="str">
        <f>IFERROR(__xludf.DUMMYFUNCTION("""COMPUTED_VALUE"""),"Beta SUSE Linux Enterprise Server 15 SP1")</f>
        <v>Beta SUSE Linux Enterprise Server 15 SP1</v>
      </c>
      <c r="H465" s="7" t="str">
        <f t="shared" si="2"/>
        <v>NO</v>
      </c>
      <c r="I465" s="7" t="str">
        <f t="shared" si="3"/>
        <v>NO</v>
      </c>
    </row>
    <row r="466">
      <c r="A466" s="4">
        <f>IFERROR(__xludf.DUMMYFUNCTION("""COMPUTED_VALUE"""),1135053.0)</f>
        <v>1135053</v>
      </c>
      <c r="B466" s="4" t="str">
        <f>IFERROR(__xludf.DUMMYFUNCTION("""COMPUTED_VALUE"""),"P3 - Medium")</f>
        <v>P3 - Medium</v>
      </c>
      <c r="C466" s="5">
        <f>IFERROR(__xludf.DUMMYFUNCTION("""COMPUTED_VALUE"""),43599.49017361111)</f>
        <v>43599.49017</v>
      </c>
      <c r="D466" s="4" t="str">
        <f>IFERROR(__xludf.DUMMYFUNCTION("""COMPUTED_VALUE"""),"RESOLVED")</f>
        <v>RESOLVED</v>
      </c>
      <c r="E466" s="6">
        <f>IFERROR(__xludf.DUMMYFUNCTION("""COMPUTED_VALUE"""),43731.94736111111)</f>
        <v>43731.94736</v>
      </c>
      <c r="F466" s="4" t="str">
        <f>IFERROR(__xludf.DUMMYFUNCTION("""COMPUTED_VALUE""")," ---")</f>
        <v> ---</v>
      </c>
      <c r="G466" s="4" t="str">
        <f>IFERROR(__xludf.DUMMYFUNCTION("""COMPUTED_VALUE"""),"Beta SUSE Linux Enterprise Server 15 SP1")</f>
        <v>Beta SUSE Linux Enterprise Server 15 SP1</v>
      </c>
      <c r="H466" s="7" t="str">
        <f t="shared" si="2"/>
        <v>NO</v>
      </c>
      <c r="I466" s="7" t="str">
        <f t="shared" si="3"/>
        <v>NO</v>
      </c>
    </row>
    <row r="467">
      <c r="A467" s="4">
        <f>IFERROR(__xludf.DUMMYFUNCTION("""COMPUTED_VALUE"""),1135055.0)</f>
        <v>1135055</v>
      </c>
      <c r="B467" s="4" t="str">
        <f>IFERROR(__xludf.DUMMYFUNCTION("""COMPUTED_VALUE"""),"P3 - Medium")</f>
        <v>P3 - Medium</v>
      </c>
      <c r="C467" s="5">
        <f>IFERROR(__xludf.DUMMYFUNCTION("""COMPUTED_VALUE"""),43599.49650462963)</f>
        <v>43599.4965</v>
      </c>
      <c r="D467" s="4" t="str">
        <f>IFERROR(__xludf.DUMMYFUNCTION("""COMPUTED_VALUE"""),"RESOLVED")</f>
        <v>RESOLVED</v>
      </c>
      <c r="E467" s="6">
        <f>IFERROR(__xludf.DUMMYFUNCTION("""COMPUTED_VALUE"""),43732.27715277778)</f>
        <v>43732.27715</v>
      </c>
      <c r="F467" s="4" t="str">
        <f>IFERROR(__xludf.DUMMYFUNCTION("""COMPUTED_VALUE""")," ---")</f>
        <v> ---</v>
      </c>
      <c r="G467" s="4" t="str">
        <f>IFERROR(__xludf.DUMMYFUNCTION("""COMPUTED_VALUE"""),"Beta SUSE Linux Enterprise Server 15 SP1")</f>
        <v>Beta SUSE Linux Enterprise Server 15 SP1</v>
      </c>
      <c r="H467" s="7" t="str">
        <f t="shared" si="2"/>
        <v>NO</v>
      </c>
      <c r="I467" s="7" t="str">
        <f t="shared" si="3"/>
        <v>NO</v>
      </c>
    </row>
    <row r="468">
      <c r="A468" s="4">
        <f>IFERROR(__xludf.DUMMYFUNCTION("""COMPUTED_VALUE"""),1135056.0)</f>
        <v>1135056</v>
      </c>
      <c r="B468" s="4" t="str">
        <f>IFERROR(__xludf.DUMMYFUNCTION("""COMPUTED_VALUE"""),"P3 - Medium")</f>
        <v>P3 - Medium</v>
      </c>
      <c r="C468" s="5">
        <f>IFERROR(__xludf.DUMMYFUNCTION("""COMPUTED_VALUE"""),43599.49741898148)</f>
        <v>43599.49742</v>
      </c>
      <c r="D468" s="4" t="str">
        <f>IFERROR(__xludf.DUMMYFUNCTION("""COMPUTED_VALUE"""),"RESOLVED")</f>
        <v>RESOLVED</v>
      </c>
      <c r="E468" s="6">
        <f>IFERROR(__xludf.DUMMYFUNCTION("""COMPUTED_VALUE"""),44624.896319444444)</f>
        <v>44624.89632</v>
      </c>
      <c r="F468" s="4" t="str">
        <f>IFERROR(__xludf.DUMMYFUNCTION("""COMPUTED_VALUE""")," ---")</f>
        <v> ---</v>
      </c>
      <c r="G468" s="4" t="str">
        <f>IFERROR(__xludf.DUMMYFUNCTION("""COMPUTED_VALUE"""),"Beta SUSE Linux Enterprise Server 15 SP1")</f>
        <v>Beta SUSE Linux Enterprise Server 15 SP1</v>
      </c>
      <c r="H468" s="7" t="str">
        <f t="shared" si="2"/>
        <v>NO</v>
      </c>
      <c r="I468" s="7" t="str">
        <f t="shared" si="3"/>
        <v>NO</v>
      </c>
    </row>
    <row r="469">
      <c r="A469" s="4">
        <f>IFERROR(__xludf.DUMMYFUNCTION("""COMPUTED_VALUE"""),1135058.0)</f>
        <v>1135058</v>
      </c>
      <c r="B469" s="4" t="str">
        <f>IFERROR(__xludf.DUMMYFUNCTION("""COMPUTED_VALUE"""),"P3 - Medium")</f>
        <v>P3 - Medium</v>
      </c>
      <c r="C469" s="5">
        <f>IFERROR(__xludf.DUMMYFUNCTION("""COMPUTED_VALUE"""),43599.50503472222)</f>
        <v>43599.50503</v>
      </c>
      <c r="D469" s="4" t="str">
        <f>IFERROR(__xludf.DUMMYFUNCTION("""COMPUTED_VALUE"""),"RESOLVED")</f>
        <v>RESOLVED</v>
      </c>
      <c r="E469" s="6">
        <f>IFERROR(__xludf.DUMMYFUNCTION("""COMPUTED_VALUE"""),43731.947488425925)</f>
        <v>43731.94749</v>
      </c>
      <c r="F469" s="4" t="str">
        <f>IFERROR(__xludf.DUMMYFUNCTION("""COMPUTED_VALUE""")," ---")</f>
        <v> ---</v>
      </c>
      <c r="G469" s="4" t="str">
        <f>IFERROR(__xludf.DUMMYFUNCTION("""COMPUTED_VALUE"""),"Beta SUSE Linux Enterprise Server 15 SP1")</f>
        <v>Beta SUSE Linux Enterprise Server 15 SP1</v>
      </c>
      <c r="H469" s="7" t="str">
        <f t="shared" si="2"/>
        <v>NO</v>
      </c>
      <c r="I469" s="7" t="str">
        <f t="shared" si="3"/>
        <v>NO</v>
      </c>
    </row>
    <row r="470">
      <c r="A470" s="4">
        <f>IFERROR(__xludf.DUMMYFUNCTION("""COMPUTED_VALUE"""),1137201.0)</f>
        <v>1137201</v>
      </c>
      <c r="B470" s="4" t="str">
        <f>IFERROR(__xludf.DUMMYFUNCTION("""COMPUTED_VALUE"""),"P3 - Medium")</f>
        <v>P3 - Medium</v>
      </c>
      <c r="C470" s="5">
        <f>IFERROR(__xludf.DUMMYFUNCTION("""COMPUTED_VALUE"""),43620.339849537035)</f>
        <v>43620.33985</v>
      </c>
      <c r="D470" s="4" t="str">
        <f>IFERROR(__xludf.DUMMYFUNCTION("""COMPUTED_VALUE"""),"RESOLVED")</f>
        <v>RESOLVED</v>
      </c>
      <c r="E470" s="6">
        <f>IFERROR(__xludf.DUMMYFUNCTION("""COMPUTED_VALUE"""),43732.27621527778)</f>
        <v>43732.27622</v>
      </c>
      <c r="F470" s="4" t="str">
        <f>IFERROR(__xludf.DUMMYFUNCTION("""COMPUTED_VALUE""")," ---")</f>
        <v> ---</v>
      </c>
      <c r="G470" s="4" t="str">
        <f>IFERROR(__xludf.DUMMYFUNCTION("""COMPUTED_VALUE"""),"Beta SUSE Linux Enterprise Server 15 SP1")</f>
        <v>Beta SUSE Linux Enterprise Server 15 SP1</v>
      </c>
      <c r="H470" s="7" t="str">
        <f t="shared" si="2"/>
        <v>NO</v>
      </c>
      <c r="I470" s="7" t="str">
        <f t="shared" si="3"/>
        <v>NO</v>
      </c>
    </row>
    <row r="471">
      <c r="A471" s="4">
        <f>IFERROR(__xludf.DUMMYFUNCTION("""COMPUTED_VALUE"""),1137232.0)</f>
        <v>1137232</v>
      </c>
      <c r="B471" s="4" t="str">
        <f>IFERROR(__xludf.DUMMYFUNCTION("""COMPUTED_VALUE"""),"P3 - Medium")</f>
        <v>P3 - Medium</v>
      </c>
      <c r="C471" s="5">
        <f>IFERROR(__xludf.DUMMYFUNCTION("""COMPUTED_VALUE"""),43620.51028935185)</f>
        <v>43620.51029</v>
      </c>
      <c r="D471" s="4" t="str">
        <f>IFERROR(__xludf.DUMMYFUNCTION("""COMPUTED_VALUE"""),"RESOLVED")</f>
        <v>RESOLVED</v>
      </c>
      <c r="E471" s="6">
        <f>IFERROR(__xludf.DUMMYFUNCTION("""COMPUTED_VALUE"""),43732.2765162037)</f>
        <v>43732.27652</v>
      </c>
      <c r="F471" s="4" t="str">
        <f>IFERROR(__xludf.DUMMYFUNCTION("""COMPUTED_VALUE""")," ---")</f>
        <v> ---</v>
      </c>
      <c r="G471" s="4" t="str">
        <f>IFERROR(__xludf.DUMMYFUNCTION("""COMPUTED_VALUE"""),"Beta SUSE Linux Enterprise Server 15 SP1")</f>
        <v>Beta SUSE Linux Enterprise Server 15 SP1</v>
      </c>
      <c r="H471" s="7" t="str">
        <f t="shared" si="2"/>
        <v>NO</v>
      </c>
      <c r="I471" s="7" t="str">
        <f t="shared" si="3"/>
        <v>NO</v>
      </c>
    </row>
    <row r="472">
      <c r="A472" s="4">
        <f>IFERROR(__xludf.DUMMYFUNCTION("""COMPUTED_VALUE"""),1137233.0)</f>
        <v>1137233</v>
      </c>
      <c r="B472" s="4" t="str">
        <f>IFERROR(__xludf.DUMMYFUNCTION("""COMPUTED_VALUE"""),"P3 - Medium")</f>
        <v>P3 - Medium</v>
      </c>
      <c r="C472" s="5">
        <f>IFERROR(__xludf.DUMMYFUNCTION("""COMPUTED_VALUE"""),43620.511724537035)</f>
        <v>43620.51172</v>
      </c>
      <c r="D472" s="4" t="str">
        <f>IFERROR(__xludf.DUMMYFUNCTION("""COMPUTED_VALUE"""),"RESOLVED")</f>
        <v>RESOLVED</v>
      </c>
      <c r="E472" s="6">
        <f>IFERROR(__xludf.DUMMYFUNCTION("""COMPUTED_VALUE"""),43732.27658564815)</f>
        <v>43732.27659</v>
      </c>
      <c r="F472" s="4" t="str">
        <f>IFERROR(__xludf.DUMMYFUNCTION("""COMPUTED_VALUE""")," ---")</f>
        <v> ---</v>
      </c>
      <c r="G472" s="4" t="str">
        <f>IFERROR(__xludf.DUMMYFUNCTION("""COMPUTED_VALUE"""),"Beta SUSE Linux Enterprise Server 15 SP1")</f>
        <v>Beta SUSE Linux Enterprise Server 15 SP1</v>
      </c>
      <c r="H472" s="7" t="str">
        <f t="shared" si="2"/>
        <v>NO</v>
      </c>
      <c r="I472" s="7" t="str">
        <f t="shared" si="3"/>
        <v>NO</v>
      </c>
    </row>
    <row r="473">
      <c r="A473" s="4">
        <f>IFERROR(__xludf.DUMMYFUNCTION("""COMPUTED_VALUE"""),1137236.0)</f>
        <v>1137236</v>
      </c>
      <c r="B473" s="4" t="str">
        <f>IFERROR(__xludf.DUMMYFUNCTION("""COMPUTED_VALUE"""),"P3 - Medium")</f>
        <v>P3 - Medium</v>
      </c>
      <c r="C473" s="5">
        <f>IFERROR(__xludf.DUMMYFUNCTION("""COMPUTED_VALUE"""),43620.51835648148)</f>
        <v>43620.51836</v>
      </c>
      <c r="D473" s="4" t="str">
        <f>IFERROR(__xludf.DUMMYFUNCTION("""COMPUTED_VALUE"""),"RESOLVED")</f>
        <v>RESOLVED</v>
      </c>
      <c r="E473" s="6">
        <f>IFERROR(__xludf.DUMMYFUNCTION("""COMPUTED_VALUE"""),43899.599583333336)</f>
        <v>43899.59958</v>
      </c>
      <c r="F473" s="4" t="str">
        <f>IFERROR(__xludf.DUMMYFUNCTION("""COMPUTED_VALUE""")," ---")</f>
        <v> ---</v>
      </c>
      <c r="G473" s="4" t="str">
        <f>IFERROR(__xludf.DUMMYFUNCTION("""COMPUTED_VALUE"""),"Beta SUSE Linux Enterprise Server 15 SP1")</f>
        <v>Beta SUSE Linux Enterprise Server 15 SP1</v>
      </c>
      <c r="H473" s="7" t="str">
        <f t="shared" si="2"/>
        <v>NO</v>
      </c>
      <c r="I473" s="7" t="str">
        <f t="shared" si="3"/>
        <v>NO</v>
      </c>
    </row>
    <row r="474">
      <c r="A474" s="4">
        <f>IFERROR(__xludf.DUMMYFUNCTION("""COMPUTED_VALUE"""),1137464.0)</f>
        <v>1137464</v>
      </c>
      <c r="B474" s="4" t="str">
        <f>IFERROR(__xludf.DUMMYFUNCTION("""COMPUTED_VALUE"""),"P3 - Medium")</f>
        <v>P3 - Medium</v>
      </c>
      <c r="C474" s="5">
        <f>IFERROR(__xludf.DUMMYFUNCTION("""COMPUTED_VALUE"""),43622.3953125)</f>
        <v>43622.39531</v>
      </c>
      <c r="D474" s="4" t="str">
        <f>IFERROR(__xludf.DUMMYFUNCTION("""COMPUTED_VALUE"""),"RESOLVED")</f>
        <v>RESOLVED</v>
      </c>
      <c r="E474" s="6">
        <f>IFERROR(__xludf.DUMMYFUNCTION("""COMPUTED_VALUE"""),43761.49722222222)</f>
        <v>43761.49722</v>
      </c>
      <c r="F474" s="4" t="str">
        <f>IFERROR(__xludf.DUMMYFUNCTION("""COMPUTED_VALUE""")," ---")</f>
        <v> ---</v>
      </c>
      <c r="G474" s="4" t="str">
        <f>IFERROR(__xludf.DUMMYFUNCTION("""COMPUTED_VALUE"""),"SUSE Linux Enterprise Server 15 SP1")</f>
        <v>SUSE Linux Enterprise Server 15 SP1</v>
      </c>
      <c r="H474" s="7" t="str">
        <f t="shared" si="2"/>
        <v>NO</v>
      </c>
      <c r="I474" s="7" t="str">
        <f t="shared" si="3"/>
        <v>NO</v>
      </c>
    </row>
    <row r="475">
      <c r="A475" s="4">
        <f>IFERROR(__xludf.DUMMYFUNCTION("""COMPUTED_VALUE"""),1104289.0)</f>
        <v>1104289</v>
      </c>
      <c r="B475" s="4" t="str">
        <f>IFERROR(__xludf.DUMMYFUNCTION("""COMPUTED_VALUE"""),"P3 - Medium")</f>
        <v>P3 - Medium</v>
      </c>
      <c r="C475" s="5">
        <f>IFERROR(__xludf.DUMMYFUNCTION("""COMPUTED_VALUE"""),43321.23721064815)</f>
        <v>43321.23721</v>
      </c>
      <c r="D475" s="4" t="str">
        <f>IFERROR(__xludf.DUMMYFUNCTION("""COMPUTED_VALUE"""),"RESOLVED")</f>
        <v>RESOLVED</v>
      </c>
      <c r="E475" s="6">
        <f>IFERROR(__xludf.DUMMYFUNCTION("""COMPUTED_VALUE"""),43656.61269675926)</f>
        <v>43656.6127</v>
      </c>
      <c r="F475" s="4" t="str">
        <f>IFERROR(__xludf.DUMMYFUNCTION("""COMPUTED_VALUE""")," ---")</f>
        <v> ---</v>
      </c>
      <c r="G475" s="4" t="str">
        <f>IFERROR(__xludf.DUMMYFUNCTION("""COMPUTED_VALUE"""),"SUSE Linux Enterprise Server 15 SP1")</f>
        <v>SUSE Linux Enterprise Server 15 SP1</v>
      </c>
      <c r="H475" s="7" t="str">
        <f t="shared" si="2"/>
        <v>NO</v>
      </c>
      <c r="I475" s="7" t="str">
        <f t="shared" si="3"/>
        <v>NO</v>
      </c>
    </row>
    <row r="476">
      <c r="A476" s="4">
        <f>IFERROR(__xludf.DUMMYFUNCTION("""COMPUTED_VALUE"""),1111666.0)</f>
        <v>1111666</v>
      </c>
      <c r="B476" s="4" t="str">
        <f>IFERROR(__xludf.DUMMYFUNCTION("""COMPUTED_VALUE"""),"P3 - Medium")</f>
        <v>P3 - Medium</v>
      </c>
      <c r="C476" s="5">
        <f>IFERROR(__xludf.DUMMYFUNCTION("""COMPUTED_VALUE"""),43385.60238425926)</f>
        <v>43385.60238</v>
      </c>
      <c r="D476" s="4" t="str">
        <f>IFERROR(__xludf.DUMMYFUNCTION("""COMPUTED_VALUE"""),"RESOLVED")</f>
        <v>RESOLVED</v>
      </c>
      <c r="E476" s="6">
        <f>IFERROR(__xludf.DUMMYFUNCTION("""COMPUTED_VALUE"""),44624.87486111111)</f>
        <v>44624.87486</v>
      </c>
      <c r="F476" s="4" t="str">
        <f>IFERROR(__xludf.DUMMYFUNCTION("""COMPUTED_VALUE""")," ---")</f>
        <v> ---</v>
      </c>
      <c r="G476" s="4" t="str">
        <f>IFERROR(__xludf.DUMMYFUNCTION("""COMPUTED_VALUE"""),"SUSE Linux Enterprise Server 15 SP1")</f>
        <v>SUSE Linux Enterprise Server 15 SP1</v>
      </c>
      <c r="H476" s="7" t="str">
        <f t="shared" si="2"/>
        <v>NO</v>
      </c>
      <c r="I476" s="7" t="str">
        <f t="shared" si="3"/>
        <v>NO</v>
      </c>
    </row>
    <row r="477">
      <c r="A477" s="4">
        <f>IFERROR(__xludf.DUMMYFUNCTION("""COMPUTED_VALUE"""),1132303.0)</f>
        <v>1132303</v>
      </c>
      <c r="B477" s="4" t="str">
        <f>IFERROR(__xludf.DUMMYFUNCTION("""COMPUTED_VALUE"""),"P3 - Medium")</f>
        <v>P3 - Medium</v>
      </c>
      <c r="C477" s="5">
        <f>IFERROR(__xludf.DUMMYFUNCTION("""COMPUTED_VALUE"""),43567.2737037037)</f>
        <v>43567.2737</v>
      </c>
      <c r="D477" s="4" t="str">
        <f>IFERROR(__xludf.DUMMYFUNCTION("""COMPUTED_VALUE"""),"RESOLVED")</f>
        <v>RESOLVED</v>
      </c>
      <c r="E477" s="6">
        <f>IFERROR(__xludf.DUMMYFUNCTION("""COMPUTED_VALUE"""),43656.61150462963)</f>
        <v>43656.6115</v>
      </c>
      <c r="F477" s="4" t="str">
        <f>IFERROR(__xludf.DUMMYFUNCTION("""COMPUTED_VALUE""")," ---")</f>
        <v> ---</v>
      </c>
      <c r="G477" s="4" t="str">
        <f>IFERROR(__xludf.DUMMYFUNCTION("""COMPUTED_VALUE"""),"Beta SUSE Linux Enterprise Server 15 SP1")</f>
        <v>Beta SUSE Linux Enterprise Server 15 SP1</v>
      </c>
      <c r="H477" s="7" t="str">
        <f t="shared" si="2"/>
        <v>NO</v>
      </c>
      <c r="I477" s="7" t="str">
        <f t="shared" si="3"/>
        <v>NO</v>
      </c>
    </row>
    <row r="478">
      <c r="A478" s="4">
        <f>IFERROR(__xludf.DUMMYFUNCTION("""COMPUTED_VALUE"""),1123536.0)</f>
        <v>1123536</v>
      </c>
      <c r="B478" s="4" t="str">
        <f>IFERROR(__xludf.DUMMYFUNCTION("""COMPUTED_VALUE"""),"P3 - Medium")</f>
        <v>P3 - Medium</v>
      </c>
      <c r="C478" s="5">
        <f>IFERROR(__xludf.DUMMYFUNCTION("""COMPUTED_VALUE"""),43494.64916666667)</f>
        <v>43494.64917</v>
      </c>
      <c r="D478" s="4" t="str">
        <f>IFERROR(__xludf.DUMMYFUNCTION("""COMPUTED_VALUE"""),"RESOLVED")</f>
        <v>RESOLVED</v>
      </c>
      <c r="E478" s="6">
        <f>IFERROR(__xludf.DUMMYFUNCTION("""COMPUTED_VALUE"""),43633.53099537037)</f>
        <v>43633.531</v>
      </c>
      <c r="F478" s="4" t="str">
        <f>IFERROR(__xludf.DUMMYFUNCTION("""COMPUTED_VALUE""")," ---")</f>
        <v> ---</v>
      </c>
      <c r="G478" s="4" t="str">
        <f>IFERROR(__xludf.DUMMYFUNCTION("""COMPUTED_VALUE"""),"SUSE Linux Enterprise Server 15 SP1")</f>
        <v>SUSE Linux Enterprise Server 15 SP1</v>
      </c>
      <c r="H478" s="7" t="str">
        <f t="shared" si="2"/>
        <v>NO</v>
      </c>
      <c r="I478" s="7" t="str">
        <f t="shared" si="3"/>
        <v>NO</v>
      </c>
    </row>
    <row r="479">
      <c r="A479" s="4">
        <f>IFERROR(__xludf.DUMMYFUNCTION("""COMPUTED_VALUE"""),1130133.0)</f>
        <v>1130133</v>
      </c>
      <c r="B479" s="4" t="str">
        <f>IFERROR(__xludf.DUMMYFUNCTION("""COMPUTED_VALUE"""),"P3 - Medium")</f>
        <v>P3 - Medium</v>
      </c>
      <c r="C479" s="5">
        <f>IFERROR(__xludf.DUMMYFUNCTION("""COMPUTED_VALUE"""),43545.92413194444)</f>
        <v>43545.92413</v>
      </c>
      <c r="D479" s="4" t="str">
        <f>IFERROR(__xludf.DUMMYFUNCTION("""COMPUTED_VALUE"""),"RESOLVED")</f>
        <v>RESOLVED</v>
      </c>
      <c r="E479" s="6">
        <f>IFERROR(__xludf.DUMMYFUNCTION("""COMPUTED_VALUE"""),43637.68456018518)</f>
        <v>43637.68456</v>
      </c>
      <c r="F479" s="4" t="str">
        <f>IFERROR(__xludf.DUMMYFUNCTION("""COMPUTED_VALUE""")," ---")</f>
        <v> ---</v>
      </c>
      <c r="G479" s="4" t="str">
        <f>IFERROR(__xludf.DUMMYFUNCTION("""COMPUTED_VALUE"""),"SUSE Linux Enterprise Server 15 SP1")</f>
        <v>SUSE Linux Enterprise Server 15 SP1</v>
      </c>
      <c r="H479" s="7" t="str">
        <f t="shared" si="2"/>
        <v>NO</v>
      </c>
      <c r="I479" s="7" t="str">
        <f t="shared" si="3"/>
        <v>NO</v>
      </c>
    </row>
    <row r="480">
      <c r="A480" s="4">
        <f>IFERROR(__xludf.DUMMYFUNCTION("""COMPUTED_VALUE"""),1131488.0)</f>
        <v>1131488</v>
      </c>
      <c r="B480" s="4" t="str">
        <f>IFERROR(__xludf.DUMMYFUNCTION("""COMPUTED_VALUE"""),"P3 - Medium")</f>
        <v>P3 - Medium</v>
      </c>
      <c r="C480" s="5">
        <f>IFERROR(__xludf.DUMMYFUNCTION("""COMPUTED_VALUE"""),43559.313159722224)</f>
        <v>43559.31316</v>
      </c>
      <c r="D480" s="4" t="str">
        <f>IFERROR(__xludf.DUMMYFUNCTION("""COMPUTED_VALUE"""),"RESOLVED")</f>
        <v>RESOLVED</v>
      </c>
      <c r="E480" s="6">
        <f>IFERROR(__xludf.DUMMYFUNCTION("""COMPUTED_VALUE"""),43731.9540625)</f>
        <v>43731.95406</v>
      </c>
      <c r="F480" s="4" t="str">
        <f>IFERROR(__xludf.DUMMYFUNCTION("""COMPUTED_VALUE""")," ---")</f>
        <v> ---</v>
      </c>
      <c r="G480" s="4" t="str">
        <f>IFERROR(__xludf.DUMMYFUNCTION("""COMPUTED_VALUE"""),"SUSE Linux Enterprise Server 15 SP1")</f>
        <v>SUSE Linux Enterprise Server 15 SP1</v>
      </c>
      <c r="H480" s="7" t="str">
        <f t="shared" si="2"/>
        <v>NO</v>
      </c>
      <c r="I480" s="7" t="str">
        <f t="shared" si="3"/>
        <v>NO</v>
      </c>
    </row>
    <row r="481">
      <c r="A481" s="4">
        <f>IFERROR(__xludf.DUMMYFUNCTION("""COMPUTED_VALUE"""),1104965.0)</f>
        <v>1104965</v>
      </c>
      <c r="B481" s="4" t="str">
        <f>IFERROR(__xludf.DUMMYFUNCTION("""COMPUTED_VALUE"""),"P3 - Medium")</f>
        <v>P3 - Medium</v>
      </c>
      <c r="C481" s="5">
        <f>IFERROR(__xludf.DUMMYFUNCTION("""COMPUTED_VALUE"""),43327.705104166664)</f>
        <v>43327.7051</v>
      </c>
      <c r="D481" s="4" t="str">
        <f>IFERROR(__xludf.DUMMYFUNCTION("""COMPUTED_VALUE"""),"RESOLVED")</f>
        <v>RESOLVED</v>
      </c>
      <c r="E481" s="6">
        <f>IFERROR(__xludf.DUMMYFUNCTION("""COMPUTED_VALUE"""),43630.62600694445)</f>
        <v>43630.62601</v>
      </c>
      <c r="F481" s="4" t="str">
        <f>IFERROR(__xludf.DUMMYFUNCTION("""COMPUTED_VALUE""")," ---")</f>
        <v> ---</v>
      </c>
      <c r="G481" s="4" t="str">
        <f>IFERROR(__xludf.DUMMYFUNCTION("""COMPUTED_VALUE"""),"SUSE Linux Enterprise Server 15 SP1")</f>
        <v>SUSE Linux Enterprise Server 15 SP1</v>
      </c>
      <c r="H481" s="7" t="str">
        <f t="shared" si="2"/>
        <v>NO</v>
      </c>
      <c r="I481" s="7" t="str">
        <f t="shared" si="3"/>
        <v>NO</v>
      </c>
    </row>
    <row r="482">
      <c r="A482" s="4">
        <f>IFERROR(__xludf.DUMMYFUNCTION("""COMPUTED_VALUE"""),1122324.0)</f>
        <v>1122324</v>
      </c>
      <c r="B482" s="4" t="str">
        <f>IFERROR(__xludf.DUMMYFUNCTION("""COMPUTED_VALUE"""),"P3 - Medium")</f>
        <v>P3 - Medium</v>
      </c>
      <c r="C482" s="5">
        <f>IFERROR(__xludf.DUMMYFUNCTION("""COMPUTED_VALUE"""),43482.44903935185)</f>
        <v>43482.44904</v>
      </c>
      <c r="D482" s="4" t="str">
        <f>IFERROR(__xludf.DUMMYFUNCTION("""COMPUTED_VALUE"""),"RESOLVED")</f>
        <v>RESOLVED</v>
      </c>
      <c r="E482" s="6">
        <f>IFERROR(__xludf.DUMMYFUNCTION("""COMPUTED_VALUE"""),44624.88452546296)</f>
        <v>44624.88453</v>
      </c>
      <c r="F482" s="4" t="str">
        <f>IFERROR(__xludf.DUMMYFUNCTION("""COMPUTED_VALUE""")," ---")</f>
        <v> ---</v>
      </c>
      <c r="G482" s="4" t="str">
        <f>IFERROR(__xludf.DUMMYFUNCTION("""COMPUTED_VALUE"""),"SUSE Linux Enterprise Server 15 SP1")</f>
        <v>SUSE Linux Enterprise Server 15 SP1</v>
      </c>
      <c r="H482" s="7" t="str">
        <f t="shared" si="2"/>
        <v>NO</v>
      </c>
      <c r="I482" s="7" t="str">
        <f t="shared" si="3"/>
        <v>NO</v>
      </c>
    </row>
    <row r="483">
      <c r="A483" s="4">
        <f>IFERROR(__xludf.DUMMYFUNCTION("""COMPUTED_VALUE"""),1127117.0)</f>
        <v>1127117</v>
      </c>
      <c r="B483" s="4" t="str">
        <f>IFERROR(__xludf.DUMMYFUNCTION("""COMPUTED_VALUE"""),"P3 - Medium")</f>
        <v>P3 - Medium</v>
      </c>
      <c r="C483" s="5">
        <f>IFERROR(__xludf.DUMMYFUNCTION("""COMPUTED_VALUE"""),43523.34175925926)</f>
        <v>43523.34176</v>
      </c>
      <c r="D483" s="4" t="str">
        <f>IFERROR(__xludf.DUMMYFUNCTION("""COMPUTED_VALUE"""),"RESOLVED")</f>
        <v>RESOLVED</v>
      </c>
      <c r="E483" s="6">
        <f>IFERROR(__xludf.DUMMYFUNCTION("""COMPUTED_VALUE"""),43822.03659722222)</f>
        <v>43822.0366</v>
      </c>
      <c r="F483" s="4" t="str">
        <f>IFERROR(__xludf.DUMMYFUNCTION("""COMPUTED_VALUE""")," ---")</f>
        <v> ---</v>
      </c>
      <c r="G483" s="4" t="str">
        <f>IFERROR(__xludf.DUMMYFUNCTION("""COMPUTED_VALUE"""),"SUSE Linux Enterprise Server 15 SP1")</f>
        <v>SUSE Linux Enterprise Server 15 SP1</v>
      </c>
      <c r="H483" s="7" t="str">
        <f t="shared" si="2"/>
        <v>NO</v>
      </c>
      <c r="I483" s="7" t="str">
        <f t="shared" si="3"/>
        <v>NO</v>
      </c>
    </row>
    <row r="484">
      <c r="A484" s="4">
        <f>IFERROR(__xludf.DUMMYFUNCTION("""COMPUTED_VALUE"""),1134973.0)</f>
        <v>1134973</v>
      </c>
      <c r="B484" s="4" t="str">
        <f>IFERROR(__xludf.DUMMYFUNCTION("""COMPUTED_VALUE"""),"P3 - Medium")</f>
        <v>P3 - Medium</v>
      </c>
      <c r="C484" s="5">
        <f>IFERROR(__xludf.DUMMYFUNCTION("""COMPUTED_VALUE"""),43599.347662037035)</f>
        <v>43599.34766</v>
      </c>
      <c r="D484" s="4" t="str">
        <f>IFERROR(__xludf.DUMMYFUNCTION("""COMPUTED_VALUE"""),"RESOLVED")</f>
        <v>RESOLVED</v>
      </c>
      <c r="E484" s="6">
        <f>IFERROR(__xludf.DUMMYFUNCTION("""COMPUTED_VALUE"""),44624.896157407406)</f>
        <v>44624.89616</v>
      </c>
      <c r="F484" s="4" t="str">
        <f>IFERROR(__xludf.DUMMYFUNCTION("""COMPUTED_VALUE""")," ---")</f>
        <v> ---</v>
      </c>
      <c r="G484" s="4" t="str">
        <f>IFERROR(__xludf.DUMMYFUNCTION("""COMPUTED_VALUE"""),"SUSE Linux Enterprise Server 15 SP1")</f>
        <v>SUSE Linux Enterprise Server 15 SP1</v>
      </c>
      <c r="H484" s="7" t="str">
        <f t="shared" si="2"/>
        <v>NO</v>
      </c>
      <c r="I484" s="7" t="str">
        <f t="shared" si="3"/>
        <v>NO</v>
      </c>
    </row>
    <row r="485">
      <c r="A485" s="4">
        <f>IFERROR(__xludf.DUMMYFUNCTION("""COMPUTED_VALUE"""),1115814.0)</f>
        <v>1115814</v>
      </c>
      <c r="B485" s="4" t="str">
        <f>IFERROR(__xludf.DUMMYFUNCTION("""COMPUTED_VALUE"""),"P3 - Medium")</f>
        <v>P3 - Medium</v>
      </c>
      <c r="C485" s="5">
        <f>IFERROR(__xludf.DUMMYFUNCTION("""COMPUTED_VALUE"""),43417.65733796296)</f>
        <v>43417.65734</v>
      </c>
      <c r="D485" s="4" t="str">
        <f>IFERROR(__xludf.DUMMYFUNCTION("""COMPUTED_VALUE"""),"RESOLVED")</f>
        <v>RESOLVED</v>
      </c>
      <c r="E485" s="6">
        <f>IFERROR(__xludf.DUMMYFUNCTION("""COMPUTED_VALUE"""),43591.351377314815)</f>
        <v>43591.35138</v>
      </c>
      <c r="F485" s="4" t="str">
        <f>IFERROR(__xludf.DUMMYFUNCTION("""COMPUTED_VALUE""")," ---")</f>
        <v> ---</v>
      </c>
      <c r="G485" s="4" t="str">
        <f>IFERROR(__xludf.DUMMYFUNCTION("""COMPUTED_VALUE"""),"SUSE Linux Enterprise Server 15 SP1")</f>
        <v>SUSE Linux Enterprise Server 15 SP1</v>
      </c>
      <c r="H485" s="7" t="str">
        <f t="shared" si="2"/>
        <v>NO</v>
      </c>
      <c r="I485" s="7" t="str">
        <f t="shared" si="3"/>
        <v>NO</v>
      </c>
    </row>
    <row r="486">
      <c r="A486" s="4">
        <f>IFERROR(__xludf.DUMMYFUNCTION("""COMPUTED_VALUE"""),1117459.0)</f>
        <v>1117459</v>
      </c>
      <c r="B486" s="4" t="str">
        <f>IFERROR(__xludf.DUMMYFUNCTION("""COMPUTED_VALUE"""),"P3 - Medium")</f>
        <v>P3 - Medium</v>
      </c>
      <c r="C486" s="5">
        <f>IFERROR(__xludf.DUMMYFUNCTION("""COMPUTED_VALUE"""),43431.50886574074)</f>
        <v>43431.50887</v>
      </c>
      <c r="D486" s="4" t="str">
        <f>IFERROR(__xludf.DUMMYFUNCTION("""COMPUTED_VALUE"""),"RESOLVED")</f>
        <v>RESOLVED</v>
      </c>
      <c r="E486" s="6">
        <f>IFERROR(__xludf.DUMMYFUNCTION("""COMPUTED_VALUE"""),43433.428819444445)</f>
        <v>43433.42882</v>
      </c>
      <c r="F486" s="4" t="str">
        <f>IFERROR(__xludf.DUMMYFUNCTION("""COMPUTED_VALUE""")," ---")</f>
        <v> ---</v>
      </c>
      <c r="G486" s="4" t="str">
        <f>IFERROR(__xludf.DUMMYFUNCTION("""COMPUTED_VALUE"""),"SUSE Linux Enterprise Server 15 SP1")</f>
        <v>SUSE Linux Enterprise Server 15 SP1</v>
      </c>
      <c r="H486" s="7" t="str">
        <f t="shared" si="2"/>
        <v>NO</v>
      </c>
      <c r="I486" s="7" t="str">
        <f t="shared" si="3"/>
        <v>NO</v>
      </c>
    </row>
    <row r="487">
      <c r="A487" s="4">
        <f>IFERROR(__xludf.DUMMYFUNCTION("""COMPUTED_VALUE"""),1120667.0)</f>
        <v>1120667</v>
      </c>
      <c r="B487" s="4" t="str">
        <f>IFERROR(__xludf.DUMMYFUNCTION("""COMPUTED_VALUE"""),"P3 - Medium")</f>
        <v>P3 - Medium</v>
      </c>
      <c r="C487" s="5">
        <f>IFERROR(__xludf.DUMMYFUNCTION("""COMPUTED_VALUE"""),43468.675405092596)</f>
        <v>43468.67541</v>
      </c>
      <c r="D487" s="4" t="str">
        <f>IFERROR(__xludf.DUMMYFUNCTION("""COMPUTED_VALUE"""),"RESOLVED")</f>
        <v>RESOLVED</v>
      </c>
      <c r="E487" s="6">
        <f>IFERROR(__xludf.DUMMYFUNCTION("""COMPUTED_VALUE"""),43630.630520833336)</f>
        <v>43630.63052</v>
      </c>
      <c r="F487" s="4" t="str">
        <f>IFERROR(__xludf.DUMMYFUNCTION("""COMPUTED_VALUE""")," ---")</f>
        <v> ---</v>
      </c>
      <c r="G487" s="4" t="str">
        <f>IFERROR(__xludf.DUMMYFUNCTION("""COMPUTED_VALUE"""),"SUSE Linux Enterprise Server 15 SP1")</f>
        <v>SUSE Linux Enterprise Server 15 SP1</v>
      </c>
      <c r="H487" s="7" t="str">
        <f t="shared" si="2"/>
        <v>YES</v>
      </c>
      <c r="I487" s="7" t="str">
        <f t="shared" si="3"/>
        <v>NO</v>
      </c>
    </row>
    <row r="488">
      <c r="A488" s="4">
        <f>IFERROR(__xludf.DUMMYFUNCTION("""COMPUTED_VALUE"""),1120668.0)</f>
        <v>1120668</v>
      </c>
      <c r="B488" s="4" t="str">
        <f>IFERROR(__xludf.DUMMYFUNCTION("""COMPUTED_VALUE"""),"P3 - Medium")</f>
        <v>P3 - Medium</v>
      </c>
      <c r="C488" s="5">
        <f>IFERROR(__xludf.DUMMYFUNCTION("""COMPUTED_VALUE"""),43468.67549768519)</f>
        <v>43468.6755</v>
      </c>
      <c r="D488" s="4" t="str">
        <f>IFERROR(__xludf.DUMMYFUNCTION("""COMPUTED_VALUE"""),"RESOLVED")</f>
        <v>RESOLVED</v>
      </c>
      <c r="E488" s="6">
        <f>IFERROR(__xludf.DUMMYFUNCTION("""COMPUTED_VALUE"""),43630.63055555556)</f>
        <v>43630.63056</v>
      </c>
      <c r="F488" s="4" t="str">
        <f>IFERROR(__xludf.DUMMYFUNCTION("""COMPUTED_VALUE""")," ---")</f>
        <v> ---</v>
      </c>
      <c r="G488" s="4" t="str">
        <f>IFERROR(__xludf.DUMMYFUNCTION("""COMPUTED_VALUE"""),"SUSE Linux Enterprise Server 15 SP1")</f>
        <v>SUSE Linux Enterprise Server 15 SP1</v>
      </c>
      <c r="H488" s="7" t="str">
        <f t="shared" si="2"/>
        <v>YES</v>
      </c>
      <c r="I488" s="7" t="str">
        <f t="shared" si="3"/>
        <v>NO</v>
      </c>
    </row>
    <row r="489">
      <c r="A489" s="4">
        <f>IFERROR(__xludf.DUMMYFUNCTION("""COMPUTED_VALUE"""),1120669.0)</f>
        <v>1120669</v>
      </c>
      <c r="B489" s="4" t="str">
        <f>IFERROR(__xludf.DUMMYFUNCTION("""COMPUTED_VALUE"""),"P3 - Medium")</f>
        <v>P3 - Medium</v>
      </c>
      <c r="C489" s="5">
        <f>IFERROR(__xludf.DUMMYFUNCTION("""COMPUTED_VALUE"""),43468.67559027778)</f>
        <v>43468.67559</v>
      </c>
      <c r="D489" s="4" t="str">
        <f>IFERROR(__xludf.DUMMYFUNCTION("""COMPUTED_VALUE"""),"RESOLVED")</f>
        <v>RESOLVED</v>
      </c>
      <c r="E489" s="6">
        <f>IFERROR(__xludf.DUMMYFUNCTION("""COMPUTED_VALUE"""),43630.63060185185)</f>
        <v>43630.6306</v>
      </c>
      <c r="F489" s="4" t="str">
        <f>IFERROR(__xludf.DUMMYFUNCTION("""COMPUTED_VALUE""")," ---")</f>
        <v> ---</v>
      </c>
      <c r="G489" s="4" t="str">
        <f>IFERROR(__xludf.DUMMYFUNCTION("""COMPUTED_VALUE"""),"SUSE Linux Enterprise Server 15 SP1")</f>
        <v>SUSE Linux Enterprise Server 15 SP1</v>
      </c>
      <c r="H489" s="7" t="str">
        <f t="shared" si="2"/>
        <v>YES</v>
      </c>
      <c r="I489" s="7" t="str">
        <f t="shared" si="3"/>
        <v>NO</v>
      </c>
    </row>
    <row r="490">
      <c r="A490" s="4">
        <f>IFERROR(__xludf.DUMMYFUNCTION("""COMPUTED_VALUE"""),1120670.0)</f>
        <v>1120670</v>
      </c>
      <c r="B490" s="4" t="str">
        <f>IFERROR(__xludf.DUMMYFUNCTION("""COMPUTED_VALUE"""),"P3 - Medium")</f>
        <v>P3 - Medium</v>
      </c>
      <c r="C490" s="5">
        <f>IFERROR(__xludf.DUMMYFUNCTION("""COMPUTED_VALUE"""),43468.675671296296)</f>
        <v>43468.67567</v>
      </c>
      <c r="D490" s="4" t="str">
        <f>IFERROR(__xludf.DUMMYFUNCTION("""COMPUTED_VALUE"""),"RESOLVED")</f>
        <v>RESOLVED</v>
      </c>
      <c r="E490" s="6">
        <f>IFERROR(__xludf.DUMMYFUNCTION("""COMPUTED_VALUE"""),43630.63064814815)</f>
        <v>43630.63065</v>
      </c>
      <c r="F490" s="4" t="str">
        <f>IFERROR(__xludf.DUMMYFUNCTION("""COMPUTED_VALUE""")," ---")</f>
        <v> ---</v>
      </c>
      <c r="G490" s="4" t="str">
        <f>IFERROR(__xludf.DUMMYFUNCTION("""COMPUTED_VALUE"""),"SUSE Linux Enterprise Server 15 SP1")</f>
        <v>SUSE Linux Enterprise Server 15 SP1</v>
      </c>
      <c r="H490" s="7" t="str">
        <f t="shared" si="2"/>
        <v>YES</v>
      </c>
      <c r="I490" s="7" t="str">
        <f t="shared" si="3"/>
        <v>NO</v>
      </c>
    </row>
    <row r="491">
      <c r="A491" s="4">
        <f>IFERROR(__xludf.DUMMYFUNCTION("""COMPUTED_VALUE"""),1123341.0)</f>
        <v>1123341</v>
      </c>
      <c r="B491" s="4" t="str">
        <f>IFERROR(__xludf.DUMMYFUNCTION("""COMPUTED_VALUE"""),"P3 - Medium")</f>
        <v>P3 - Medium</v>
      </c>
      <c r="C491" s="5">
        <f>IFERROR(__xludf.DUMMYFUNCTION("""COMPUTED_VALUE"""),43493.46900462963)</f>
        <v>43493.469</v>
      </c>
      <c r="D491" s="4" t="str">
        <f>IFERROR(__xludf.DUMMYFUNCTION("""COMPUTED_VALUE"""),"RESOLVED")</f>
        <v>RESOLVED</v>
      </c>
      <c r="E491" s="6">
        <f>IFERROR(__xludf.DUMMYFUNCTION("""COMPUTED_VALUE"""),43507.58628472222)</f>
        <v>43507.58628</v>
      </c>
      <c r="F491" s="4" t="str">
        <f>IFERROR(__xludf.DUMMYFUNCTION("""COMPUTED_VALUE""")," ---")</f>
        <v> ---</v>
      </c>
      <c r="G491" s="4" t="str">
        <f>IFERROR(__xludf.DUMMYFUNCTION("""COMPUTED_VALUE"""),"SUSE Linux Enterprise Server 15 SP1")</f>
        <v>SUSE Linux Enterprise Server 15 SP1</v>
      </c>
      <c r="H491" s="7" t="str">
        <f t="shared" si="2"/>
        <v>NO</v>
      </c>
      <c r="I491" s="7" t="str">
        <f t="shared" si="3"/>
        <v>NO</v>
      </c>
    </row>
    <row r="492">
      <c r="A492" s="4">
        <f>IFERROR(__xludf.DUMMYFUNCTION("""COMPUTED_VALUE"""),1114427.0)</f>
        <v>1114427</v>
      </c>
      <c r="B492" s="4" t="str">
        <f>IFERROR(__xludf.DUMMYFUNCTION("""COMPUTED_VALUE"""),"P3 - Medium")</f>
        <v>P3 - Medium</v>
      </c>
      <c r="C492" s="5">
        <f>IFERROR(__xludf.DUMMYFUNCTION("""COMPUTED_VALUE"""),43406.39915509259)</f>
        <v>43406.39916</v>
      </c>
      <c r="D492" s="4" t="str">
        <f>IFERROR(__xludf.DUMMYFUNCTION("""COMPUTED_VALUE"""),"VERIFIED")</f>
        <v>VERIFIED</v>
      </c>
      <c r="E492" s="6">
        <f>IFERROR(__xludf.DUMMYFUNCTION("""COMPUTED_VALUE"""),44624.877430555556)</f>
        <v>44624.87743</v>
      </c>
      <c r="F492" s="4" t="str">
        <f>IFERROR(__xludf.DUMMYFUNCTION("""COMPUTED_VALUE""")," ---")</f>
        <v> ---</v>
      </c>
      <c r="G492" s="4" t="str">
        <f>IFERROR(__xludf.DUMMYFUNCTION("""COMPUTED_VALUE"""),"SUSE Linux Enterprise Server 15 SP1")</f>
        <v>SUSE Linux Enterprise Server 15 SP1</v>
      </c>
      <c r="H492" s="7" t="str">
        <f t="shared" si="2"/>
        <v>NO</v>
      </c>
      <c r="I492" s="7" t="str">
        <f t="shared" si="3"/>
        <v>NO</v>
      </c>
    </row>
    <row r="493">
      <c r="A493" s="4">
        <f>IFERROR(__xludf.DUMMYFUNCTION("""COMPUTED_VALUE"""),1127659.0)</f>
        <v>1127659</v>
      </c>
      <c r="B493" s="4" t="str">
        <f>IFERROR(__xludf.DUMMYFUNCTION("""COMPUTED_VALUE"""),"P3 - Medium")</f>
        <v>P3 - Medium</v>
      </c>
      <c r="C493" s="5">
        <f>IFERROR(__xludf.DUMMYFUNCTION("""COMPUTED_VALUE"""),43528.244780092595)</f>
        <v>43528.24478</v>
      </c>
      <c r="D493" s="4" t="str">
        <f>IFERROR(__xludf.DUMMYFUNCTION("""COMPUTED_VALUE"""),"VERIFIED")</f>
        <v>VERIFIED</v>
      </c>
      <c r="E493" s="6">
        <f>IFERROR(__xludf.DUMMYFUNCTION("""COMPUTED_VALUE"""),43586.415289351855)</f>
        <v>43586.41529</v>
      </c>
      <c r="F493" s="4" t="str">
        <f>IFERROR(__xludf.DUMMYFUNCTION("""COMPUTED_VALUE""")," ---")</f>
        <v> ---</v>
      </c>
      <c r="G493" s="4" t="str">
        <f>IFERROR(__xludf.DUMMYFUNCTION("""COMPUTED_VALUE"""),"SUSE Linux Enterprise Server 15 SP1")</f>
        <v>SUSE Linux Enterprise Server 15 SP1</v>
      </c>
      <c r="H493" s="7" t="str">
        <f t="shared" si="2"/>
        <v>NO</v>
      </c>
      <c r="I493" s="7" t="str">
        <f t="shared" si="3"/>
        <v>NO</v>
      </c>
    </row>
    <row r="494">
      <c r="A494" s="4">
        <f>IFERROR(__xludf.DUMMYFUNCTION("""COMPUTED_VALUE"""),1115648.0)</f>
        <v>1115648</v>
      </c>
      <c r="B494" s="4" t="str">
        <f>IFERROR(__xludf.DUMMYFUNCTION("""COMPUTED_VALUE"""),"P3 - Medium")</f>
        <v>P3 - Medium</v>
      </c>
      <c r="C494" s="5">
        <f>IFERROR(__xludf.DUMMYFUNCTION("""COMPUTED_VALUE"""),43416.69328703704)</f>
        <v>43416.69329</v>
      </c>
      <c r="D494" s="4" t="str">
        <f>IFERROR(__xludf.DUMMYFUNCTION("""COMPUTED_VALUE"""),"VERIFIED")</f>
        <v>VERIFIED</v>
      </c>
      <c r="E494" s="6">
        <f>IFERROR(__xludf.DUMMYFUNCTION("""COMPUTED_VALUE"""),43678.29876157407)</f>
        <v>43678.29876</v>
      </c>
      <c r="F494" s="4" t="str">
        <f>IFERROR(__xludf.DUMMYFUNCTION("""COMPUTED_VALUE""")," ---")</f>
        <v> ---</v>
      </c>
      <c r="G494" s="4" t="str">
        <f>IFERROR(__xludf.DUMMYFUNCTION("""COMPUTED_VALUE"""),"SUSE Linux Enterprise Server 15 SP1")</f>
        <v>SUSE Linux Enterprise Server 15 SP1</v>
      </c>
      <c r="H494" s="7" t="str">
        <f t="shared" si="2"/>
        <v>NO</v>
      </c>
      <c r="I494" s="7" t="str">
        <f t="shared" si="3"/>
        <v>NO</v>
      </c>
    </row>
    <row r="495">
      <c r="A495" s="4">
        <f>IFERROR(__xludf.DUMMYFUNCTION("""COMPUTED_VALUE"""),1120566.0)</f>
        <v>1120566</v>
      </c>
      <c r="B495" s="4" t="str">
        <f>IFERROR(__xludf.DUMMYFUNCTION("""COMPUTED_VALUE"""),"P3 - Medium")</f>
        <v>P3 - Medium</v>
      </c>
      <c r="C495" s="5">
        <f>IFERROR(__xludf.DUMMYFUNCTION("""COMPUTED_VALUE"""),43468.28880787037)</f>
        <v>43468.28881</v>
      </c>
      <c r="D495" s="4" t="str">
        <f>IFERROR(__xludf.DUMMYFUNCTION("""COMPUTED_VALUE"""),"VERIFIED")</f>
        <v>VERIFIED</v>
      </c>
      <c r="E495" s="6">
        <f>IFERROR(__xludf.DUMMYFUNCTION("""COMPUTED_VALUE"""),44624.8828125)</f>
        <v>44624.88281</v>
      </c>
      <c r="F495" s="4" t="str">
        <f>IFERROR(__xludf.DUMMYFUNCTION("""COMPUTED_VALUE""")," ---")</f>
        <v> ---</v>
      </c>
      <c r="G495" s="4" t="str">
        <f>IFERROR(__xludf.DUMMYFUNCTION("""COMPUTED_VALUE"""),"Beta SUSE Linux Enterprise Server 15 SP1")</f>
        <v>Beta SUSE Linux Enterprise Server 15 SP1</v>
      </c>
      <c r="H495" s="7" t="str">
        <f t="shared" si="2"/>
        <v>YES</v>
      </c>
      <c r="I495" s="7" t="str">
        <f t="shared" si="3"/>
        <v>NO</v>
      </c>
    </row>
    <row r="496">
      <c r="A496" s="4">
        <f>IFERROR(__xludf.DUMMYFUNCTION("""COMPUTED_VALUE"""),1127537.0)</f>
        <v>1127537</v>
      </c>
      <c r="B496" s="4" t="str">
        <f>IFERROR(__xludf.DUMMYFUNCTION("""COMPUTED_VALUE"""),"P3 - Medium")</f>
        <v>P3 - Medium</v>
      </c>
      <c r="C496" s="5">
        <f>IFERROR(__xludf.DUMMYFUNCTION("""COMPUTED_VALUE"""),43525.60728009259)</f>
        <v>43525.60728</v>
      </c>
      <c r="D496" s="4" t="str">
        <f>IFERROR(__xludf.DUMMYFUNCTION("""COMPUTED_VALUE"""),"VERIFIED")</f>
        <v>VERIFIED</v>
      </c>
      <c r="E496" s="6">
        <f>IFERROR(__xludf.DUMMYFUNCTION("""COMPUTED_VALUE"""),44596.450057870374)</f>
        <v>44596.45006</v>
      </c>
      <c r="F496" s="4" t="str">
        <f>IFERROR(__xludf.DUMMYFUNCTION("""COMPUTED_VALUE""")," ---")</f>
        <v> ---</v>
      </c>
      <c r="G496" s="4" t="str">
        <f>IFERROR(__xludf.DUMMYFUNCTION("""COMPUTED_VALUE"""),"SUSE Linux Enterprise Server 15 SP1")</f>
        <v>SUSE Linux Enterprise Server 15 SP1</v>
      </c>
      <c r="H496" s="7" t="str">
        <f t="shared" si="2"/>
        <v>NO</v>
      </c>
      <c r="I496" s="7" t="str">
        <f t="shared" si="3"/>
        <v>NO</v>
      </c>
    </row>
    <row r="497">
      <c r="A497" s="4">
        <f>IFERROR(__xludf.DUMMYFUNCTION("""COMPUTED_VALUE"""),1113500.0)</f>
        <v>1113500</v>
      </c>
      <c r="B497" s="4" t="str">
        <f>IFERROR(__xludf.DUMMYFUNCTION("""COMPUTED_VALUE"""),"P3 - Medium")</f>
        <v>P3 - Medium</v>
      </c>
      <c r="C497" s="5">
        <f>IFERROR(__xludf.DUMMYFUNCTION("""COMPUTED_VALUE"""),43399.472604166665)</f>
        <v>43399.4726</v>
      </c>
      <c r="D497" s="4" t="str">
        <f>IFERROR(__xludf.DUMMYFUNCTION("""COMPUTED_VALUE"""),"VERIFIED")</f>
        <v>VERIFIED</v>
      </c>
      <c r="E497" s="6">
        <f>IFERROR(__xludf.DUMMYFUNCTION("""COMPUTED_VALUE"""),43630.628020833334)</f>
        <v>43630.62802</v>
      </c>
      <c r="F497" s="4" t="str">
        <f>IFERROR(__xludf.DUMMYFUNCTION("""COMPUTED_VALUE""")," ---")</f>
        <v> ---</v>
      </c>
      <c r="G497" s="4" t="str">
        <f>IFERROR(__xludf.DUMMYFUNCTION("""COMPUTED_VALUE"""),"SUSE Linux Enterprise Server 15 SP1")</f>
        <v>SUSE Linux Enterprise Server 15 SP1</v>
      </c>
      <c r="H497" s="7" t="str">
        <f t="shared" si="2"/>
        <v>NO</v>
      </c>
      <c r="I497" s="7" t="str">
        <f t="shared" si="3"/>
        <v>NO</v>
      </c>
    </row>
    <row r="498">
      <c r="A498" s="4">
        <f>IFERROR(__xludf.DUMMYFUNCTION("""COMPUTED_VALUE"""),1128548.0)</f>
        <v>1128548</v>
      </c>
      <c r="B498" s="4" t="str">
        <f>IFERROR(__xludf.DUMMYFUNCTION("""COMPUTED_VALUE"""),"P3 - Medium")</f>
        <v>P3 - Medium</v>
      </c>
      <c r="C498" s="5">
        <f>IFERROR(__xludf.DUMMYFUNCTION("""COMPUTED_VALUE"""),43532.688043981485)</f>
        <v>43532.68804</v>
      </c>
      <c r="D498" s="4" t="str">
        <f>IFERROR(__xludf.DUMMYFUNCTION("""COMPUTED_VALUE"""),"VERIFIED")</f>
        <v>VERIFIED</v>
      </c>
      <c r="E498" s="6">
        <f>IFERROR(__xludf.DUMMYFUNCTION("""COMPUTED_VALUE"""),43683.092152777775)</f>
        <v>43683.09215</v>
      </c>
      <c r="F498" s="4" t="str">
        <f>IFERROR(__xludf.DUMMYFUNCTION("""COMPUTED_VALUE""")," ---")</f>
        <v> ---</v>
      </c>
      <c r="G498" s="4" t="str">
        <f>IFERROR(__xludf.DUMMYFUNCTION("""COMPUTED_VALUE"""),"SUSE Linux Enterprise Server 15 SP1")</f>
        <v>SUSE Linux Enterprise Server 15 SP1</v>
      </c>
      <c r="H498" s="7" t="str">
        <f t="shared" si="2"/>
        <v>NO</v>
      </c>
      <c r="I498" s="7" t="str">
        <f t="shared" si="3"/>
        <v>NO</v>
      </c>
    </row>
    <row r="499">
      <c r="A499" s="4">
        <f>IFERROR(__xludf.DUMMYFUNCTION("""COMPUTED_VALUE"""),1125914.0)</f>
        <v>1125914</v>
      </c>
      <c r="B499" s="4" t="str">
        <f>IFERROR(__xludf.DUMMYFUNCTION("""COMPUTED_VALUE"""),"P3 - Medium")</f>
        <v>P3 - Medium</v>
      </c>
      <c r="C499" s="5">
        <f>IFERROR(__xludf.DUMMYFUNCTION("""COMPUTED_VALUE"""),43515.43680555555)</f>
        <v>43515.43681</v>
      </c>
      <c r="D499" s="4" t="str">
        <f>IFERROR(__xludf.DUMMYFUNCTION("""COMPUTED_VALUE"""),"VERIFIED")</f>
        <v>VERIFIED</v>
      </c>
      <c r="E499" s="6">
        <f>IFERROR(__xludf.DUMMYFUNCTION("""COMPUTED_VALUE"""),44110.678148148145)</f>
        <v>44110.67815</v>
      </c>
      <c r="F499" s="4" t="str">
        <f>IFERROR(__xludf.DUMMYFUNCTION("""COMPUTED_VALUE""")," ---")</f>
        <v> ---</v>
      </c>
      <c r="G499" s="4" t="str">
        <f>IFERROR(__xludf.DUMMYFUNCTION("""COMPUTED_VALUE"""),"Beta SUSE Linux Enterprise Server 15 SP1")</f>
        <v>Beta SUSE Linux Enterprise Server 15 SP1</v>
      </c>
      <c r="H499" s="7" t="str">
        <f t="shared" si="2"/>
        <v>NO</v>
      </c>
      <c r="I499" s="7" t="str">
        <f t="shared" si="3"/>
        <v>NO</v>
      </c>
    </row>
    <row r="500">
      <c r="A500" s="4">
        <f>IFERROR(__xludf.DUMMYFUNCTION("""COMPUTED_VALUE"""),1126476.0)</f>
        <v>1126476</v>
      </c>
      <c r="B500" s="4" t="str">
        <f>IFERROR(__xludf.DUMMYFUNCTION("""COMPUTED_VALUE"""),"P4 - Low")</f>
        <v>P4 - Low</v>
      </c>
      <c r="C500" s="5">
        <f>IFERROR(__xludf.DUMMYFUNCTION("""COMPUTED_VALUE"""),43518.467523148145)</f>
        <v>43518.46752</v>
      </c>
      <c r="D500" s="4" t="str">
        <f>IFERROR(__xludf.DUMMYFUNCTION("""COMPUTED_VALUE"""),"NEW")</f>
        <v>NEW</v>
      </c>
      <c r="E500" s="6">
        <f>IFERROR(__xludf.DUMMYFUNCTION("""COMPUTED_VALUE"""),44624.887083333335)</f>
        <v>44624.88708</v>
      </c>
      <c r="F500" s="4" t="str">
        <f>IFERROR(__xludf.DUMMYFUNCTION("""COMPUTED_VALUE""")," ---")</f>
        <v> ---</v>
      </c>
      <c r="G500" s="4" t="str">
        <f>IFERROR(__xludf.DUMMYFUNCTION("""COMPUTED_VALUE"""),"SUSE Linux Enterprise Server 15 SP1")</f>
        <v>SUSE Linux Enterprise Server 15 SP1</v>
      </c>
      <c r="H500" s="7" t="str">
        <f t="shared" si="2"/>
        <v>NO</v>
      </c>
      <c r="I500" s="7" t="str">
        <f t="shared" si="3"/>
        <v>NO</v>
      </c>
    </row>
    <row r="501">
      <c r="A501" s="4">
        <f>IFERROR(__xludf.DUMMYFUNCTION("""COMPUTED_VALUE"""),1126481.0)</f>
        <v>1126481</v>
      </c>
      <c r="B501" s="4" t="str">
        <f>IFERROR(__xludf.DUMMYFUNCTION("""COMPUTED_VALUE"""),"P4 - Low")</f>
        <v>P4 - Low</v>
      </c>
      <c r="C501" s="5">
        <f>IFERROR(__xludf.DUMMYFUNCTION("""COMPUTED_VALUE"""),43518.48898148148)</f>
        <v>43518.48898</v>
      </c>
      <c r="D501" s="4" t="str">
        <f>IFERROR(__xludf.DUMMYFUNCTION("""COMPUTED_VALUE"""),"NEW")</f>
        <v>NEW</v>
      </c>
      <c r="E501" s="6">
        <f>IFERROR(__xludf.DUMMYFUNCTION("""COMPUTED_VALUE"""),44624.88717592593)</f>
        <v>44624.88718</v>
      </c>
      <c r="F501" s="4" t="str">
        <f>IFERROR(__xludf.DUMMYFUNCTION("""COMPUTED_VALUE""")," ---")</f>
        <v> ---</v>
      </c>
      <c r="G501" s="4" t="str">
        <f>IFERROR(__xludf.DUMMYFUNCTION("""COMPUTED_VALUE"""),"SUSE Linux Enterprise Server 15 SP1")</f>
        <v>SUSE Linux Enterprise Server 15 SP1</v>
      </c>
      <c r="H501" s="7" t="str">
        <f t="shared" si="2"/>
        <v>NO</v>
      </c>
      <c r="I501" s="7" t="str">
        <f t="shared" si="3"/>
        <v>NO</v>
      </c>
    </row>
    <row r="502">
      <c r="A502" s="4">
        <f>IFERROR(__xludf.DUMMYFUNCTION("""COMPUTED_VALUE"""),1126488.0)</f>
        <v>1126488</v>
      </c>
      <c r="B502" s="4" t="str">
        <f>IFERROR(__xludf.DUMMYFUNCTION("""COMPUTED_VALUE"""),"P4 - Low")</f>
        <v>P4 - Low</v>
      </c>
      <c r="C502" s="5">
        <f>IFERROR(__xludf.DUMMYFUNCTION("""COMPUTED_VALUE"""),43518.495787037034)</f>
        <v>43518.49579</v>
      </c>
      <c r="D502" s="4" t="str">
        <f>IFERROR(__xludf.DUMMYFUNCTION("""COMPUTED_VALUE"""),"NEW")</f>
        <v>NEW</v>
      </c>
      <c r="E502" s="6">
        <f>IFERROR(__xludf.DUMMYFUNCTION("""COMPUTED_VALUE"""),44624.8872337963)</f>
        <v>44624.88723</v>
      </c>
      <c r="F502" s="4" t="str">
        <f>IFERROR(__xludf.DUMMYFUNCTION("""COMPUTED_VALUE""")," ---")</f>
        <v> ---</v>
      </c>
      <c r="G502" s="4" t="str">
        <f>IFERROR(__xludf.DUMMYFUNCTION("""COMPUTED_VALUE"""),"SUSE Linux Enterprise Server 15 SP1")</f>
        <v>SUSE Linux Enterprise Server 15 SP1</v>
      </c>
      <c r="H502" s="7" t="str">
        <f t="shared" si="2"/>
        <v>NO</v>
      </c>
      <c r="I502" s="7" t="str">
        <f t="shared" si="3"/>
        <v>NO</v>
      </c>
    </row>
    <row r="503">
      <c r="A503" s="4">
        <f>IFERROR(__xludf.DUMMYFUNCTION("""COMPUTED_VALUE"""),1130195.0)</f>
        <v>1130195</v>
      </c>
      <c r="B503" s="4" t="str">
        <f>IFERROR(__xludf.DUMMYFUNCTION("""COMPUTED_VALUE"""),"P4 - Low")</f>
        <v>P4 - Low</v>
      </c>
      <c r="C503" s="5">
        <f>IFERROR(__xludf.DUMMYFUNCTION("""COMPUTED_VALUE"""),43546.47005787037)</f>
        <v>43546.47006</v>
      </c>
      <c r="D503" s="4" t="str">
        <f>IFERROR(__xludf.DUMMYFUNCTION("""COMPUTED_VALUE"""),"NEW")</f>
        <v>NEW</v>
      </c>
      <c r="E503" s="6">
        <f>IFERROR(__xludf.DUMMYFUNCTION("""COMPUTED_VALUE"""),44624.89082175926)</f>
        <v>44624.89082</v>
      </c>
      <c r="F503" s="4" t="str">
        <f>IFERROR(__xludf.DUMMYFUNCTION("""COMPUTED_VALUE""")," ---")</f>
        <v> ---</v>
      </c>
      <c r="G503" s="4" t="str">
        <f>IFERROR(__xludf.DUMMYFUNCTION("""COMPUTED_VALUE"""),"SUSE Linux Enterprise Server 15 SP1")</f>
        <v>SUSE Linux Enterprise Server 15 SP1</v>
      </c>
      <c r="H503" s="7" t="str">
        <f t="shared" si="2"/>
        <v>NO</v>
      </c>
      <c r="I503" s="7" t="str">
        <f t="shared" si="3"/>
        <v>NO</v>
      </c>
    </row>
    <row r="504">
      <c r="A504" s="4">
        <f>IFERROR(__xludf.DUMMYFUNCTION("""COMPUTED_VALUE"""),1127127.0)</f>
        <v>1127127</v>
      </c>
      <c r="B504" s="4" t="str">
        <f>IFERROR(__xludf.DUMMYFUNCTION("""COMPUTED_VALUE"""),"P4 - Low")</f>
        <v>P4 - Low</v>
      </c>
      <c r="C504" s="5">
        <f>IFERROR(__xludf.DUMMYFUNCTION("""COMPUTED_VALUE"""),43523.371770833335)</f>
        <v>43523.37177</v>
      </c>
      <c r="D504" s="4" t="str">
        <f>IFERROR(__xludf.DUMMYFUNCTION("""COMPUTED_VALUE"""),"NEW")</f>
        <v>NEW</v>
      </c>
      <c r="E504" s="6">
        <f>IFERROR(__xludf.DUMMYFUNCTION("""COMPUTED_VALUE"""),43683.31883101852)</f>
        <v>43683.31883</v>
      </c>
      <c r="F504" s="4" t="str">
        <f>IFERROR(__xludf.DUMMYFUNCTION("""COMPUTED_VALUE""")," ---")</f>
        <v> ---</v>
      </c>
      <c r="G504" s="4" t="str">
        <f>IFERROR(__xludf.DUMMYFUNCTION("""COMPUTED_VALUE"""),"SUSE Linux Enterprise Server 15 SP1")</f>
        <v>SUSE Linux Enterprise Server 15 SP1</v>
      </c>
      <c r="H504" s="7" t="str">
        <f t="shared" si="2"/>
        <v>NO</v>
      </c>
      <c r="I504" s="7" t="str">
        <f t="shared" si="3"/>
        <v>NO</v>
      </c>
    </row>
    <row r="505">
      <c r="A505" s="4">
        <f>IFERROR(__xludf.DUMMYFUNCTION("""COMPUTED_VALUE"""),1129578.0)</f>
        <v>1129578</v>
      </c>
      <c r="B505" s="4" t="str">
        <f>IFERROR(__xludf.DUMMYFUNCTION("""COMPUTED_VALUE"""),"P4 - Low")</f>
        <v>P4 - Low</v>
      </c>
      <c r="C505" s="5">
        <f>IFERROR(__xludf.DUMMYFUNCTION("""COMPUTED_VALUE"""),43542.50739583333)</f>
        <v>43542.5074</v>
      </c>
      <c r="D505" s="4" t="str">
        <f>IFERROR(__xludf.DUMMYFUNCTION("""COMPUTED_VALUE"""),"NEW")</f>
        <v>NEW</v>
      </c>
      <c r="E505" s="6">
        <f>IFERROR(__xludf.DUMMYFUNCTION("""COMPUTED_VALUE"""),43551.32980324074)</f>
        <v>43551.3298</v>
      </c>
      <c r="F505" s="4" t="str">
        <f>IFERROR(__xludf.DUMMYFUNCTION("""COMPUTED_VALUE""")," ---")</f>
        <v> ---</v>
      </c>
      <c r="G505" s="4" t="str">
        <f>IFERROR(__xludf.DUMMYFUNCTION("""COMPUTED_VALUE"""),"SUSE Linux Enterprise Server 15 SP1")</f>
        <v>SUSE Linux Enterprise Server 15 SP1</v>
      </c>
      <c r="H505" s="7" t="str">
        <f t="shared" si="2"/>
        <v>NO</v>
      </c>
      <c r="I505" s="7" t="str">
        <f t="shared" si="3"/>
        <v>NO</v>
      </c>
    </row>
    <row r="506">
      <c r="A506" s="4">
        <f>IFERROR(__xludf.DUMMYFUNCTION("""COMPUTED_VALUE"""),1126071.0)</f>
        <v>1126071</v>
      </c>
      <c r="B506" s="4" t="str">
        <f>IFERROR(__xludf.DUMMYFUNCTION("""COMPUTED_VALUE"""),"P4 - Low")</f>
        <v>P4 - Low</v>
      </c>
      <c r="C506" s="5">
        <f>IFERROR(__xludf.DUMMYFUNCTION("""COMPUTED_VALUE"""),43516.44719907407)</f>
        <v>43516.4472</v>
      </c>
      <c r="D506" s="4" t="str">
        <f>IFERROR(__xludf.DUMMYFUNCTION("""COMPUTED_VALUE"""),"RESOLVED")</f>
        <v>RESOLVED</v>
      </c>
      <c r="E506" s="6">
        <f>IFERROR(__xludf.DUMMYFUNCTION("""COMPUTED_VALUE"""),43640.9594212963)</f>
        <v>43640.95942</v>
      </c>
      <c r="F506" s="4" t="str">
        <f>IFERROR(__xludf.DUMMYFUNCTION("""COMPUTED_VALUE""")," ---")</f>
        <v> ---</v>
      </c>
      <c r="G506" s="4" t="str">
        <f>IFERROR(__xludf.DUMMYFUNCTION("""COMPUTED_VALUE"""),"SUSE Linux Enterprise Server 15 SP1")</f>
        <v>SUSE Linux Enterprise Server 15 SP1</v>
      </c>
      <c r="H506" s="7" t="str">
        <f t="shared" si="2"/>
        <v>NO</v>
      </c>
      <c r="I506" s="7" t="str">
        <f t="shared" si="3"/>
        <v>NO</v>
      </c>
    </row>
    <row r="507">
      <c r="A507" s="4">
        <f>IFERROR(__xludf.DUMMYFUNCTION("""COMPUTED_VALUE"""),1128408.0)</f>
        <v>1128408</v>
      </c>
      <c r="B507" s="4" t="str">
        <f>IFERROR(__xludf.DUMMYFUNCTION("""COMPUTED_VALUE"""),"P4 - Low")</f>
        <v>P4 - Low</v>
      </c>
      <c r="C507" s="5">
        <f>IFERROR(__xludf.DUMMYFUNCTION("""COMPUTED_VALUE"""),43531.93010416667)</f>
        <v>43531.9301</v>
      </c>
      <c r="D507" s="4" t="str">
        <f>IFERROR(__xludf.DUMMYFUNCTION("""COMPUTED_VALUE"""),"RESOLVED")</f>
        <v>RESOLVED</v>
      </c>
      <c r="E507" s="6">
        <f>IFERROR(__xludf.DUMMYFUNCTION("""COMPUTED_VALUE"""),43555.78298611111)</f>
        <v>43555.78299</v>
      </c>
      <c r="F507" s="4" t="str">
        <f>IFERROR(__xludf.DUMMYFUNCTION("""COMPUTED_VALUE""")," ---")</f>
        <v> ---</v>
      </c>
      <c r="G507" s="4" t="str">
        <f>IFERROR(__xludf.DUMMYFUNCTION("""COMPUTED_VALUE"""),"SUSE Linux Enterprise Server 15 SP1")</f>
        <v>SUSE Linux Enterprise Server 15 SP1</v>
      </c>
      <c r="H507" s="7" t="str">
        <f t="shared" si="2"/>
        <v>NO</v>
      </c>
      <c r="I507" s="7" t="str">
        <f t="shared" si="3"/>
        <v>NO</v>
      </c>
    </row>
    <row r="508">
      <c r="A508" s="4">
        <f>IFERROR(__xludf.DUMMYFUNCTION("""COMPUTED_VALUE"""),1128415.0)</f>
        <v>1128415</v>
      </c>
      <c r="B508" s="4" t="str">
        <f>IFERROR(__xludf.DUMMYFUNCTION("""COMPUTED_VALUE"""),"P4 - Low")</f>
        <v>P4 - Low</v>
      </c>
      <c r="C508" s="5">
        <f>IFERROR(__xludf.DUMMYFUNCTION("""COMPUTED_VALUE"""),43532.014375)</f>
        <v>43532.01438</v>
      </c>
      <c r="D508" s="4" t="str">
        <f>IFERROR(__xludf.DUMMYFUNCTION("""COMPUTED_VALUE"""),"RESOLVED")</f>
        <v>RESOLVED</v>
      </c>
      <c r="E508" s="6">
        <f>IFERROR(__xludf.DUMMYFUNCTION("""COMPUTED_VALUE"""),44624.88894675926)</f>
        <v>44624.88895</v>
      </c>
      <c r="F508" s="4" t="str">
        <f>IFERROR(__xludf.DUMMYFUNCTION("""COMPUTED_VALUE""")," ---")</f>
        <v> ---</v>
      </c>
      <c r="G508" s="4" t="str">
        <f>IFERROR(__xludf.DUMMYFUNCTION("""COMPUTED_VALUE"""),"SUSE Linux Enterprise Server 15 SP1")</f>
        <v>SUSE Linux Enterprise Server 15 SP1</v>
      </c>
      <c r="H508" s="7" t="str">
        <f t="shared" si="2"/>
        <v>NO</v>
      </c>
      <c r="I508" s="7" t="str">
        <f t="shared" si="3"/>
        <v>NO</v>
      </c>
    </row>
    <row r="509">
      <c r="A509" s="4">
        <f>IFERROR(__xludf.DUMMYFUNCTION("""COMPUTED_VALUE"""),1116334.0)</f>
        <v>1116334</v>
      </c>
      <c r="B509" s="4" t="str">
        <f>IFERROR(__xludf.DUMMYFUNCTION("""COMPUTED_VALUE"""),"P4 - Low")</f>
        <v>P4 - Low</v>
      </c>
      <c r="C509" s="5">
        <f>IFERROR(__xludf.DUMMYFUNCTION("""COMPUTED_VALUE"""),43420.507523148146)</f>
        <v>43420.50752</v>
      </c>
      <c r="D509" s="4" t="str">
        <f>IFERROR(__xludf.DUMMYFUNCTION("""COMPUTED_VALUE"""),"RESOLVED")</f>
        <v>RESOLVED</v>
      </c>
      <c r="E509" s="6">
        <f>IFERROR(__xludf.DUMMYFUNCTION("""COMPUTED_VALUE"""),43650.1934375)</f>
        <v>43650.19344</v>
      </c>
      <c r="F509" s="4" t="str">
        <f>IFERROR(__xludf.DUMMYFUNCTION("""COMPUTED_VALUE"""),"Yes")</f>
        <v>Yes</v>
      </c>
      <c r="G509" s="4" t="str">
        <f>IFERROR(__xludf.DUMMYFUNCTION("""COMPUTED_VALUE"""),"SUSE Linux Enterprise Server 15 SP1")</f>
        <v>SUSE Linux Enterprise Server 15 SP1</v>
      </c>
      <c r="H509" s="7" t="str">
        <f t="shared" si="2"/>
        <v>NO</v>
      </c>
      <c r="I509" s="7" t="str">
        <f t="shared" si="3"/>
        <v>NO</v>
      </c>
    </row>
    <row r="510">
      <c r="A510" s="4">
        <f>IFERROR(__xludf.DUMMYFUNCTION("""COMPUTED_VALUE"""),1127594.0)</f>
        <v>1127594</v>
      </c>
      <c r="B510" s="4" t="str">
        <f>IFERROR(__xludf.DUMMYFUNCTION("""COMPUTED_VALUE"""),"P4 - Low")</f>
        <v>P4 - Low</v>
      </c>
      <c r="C510" s="5">
        <f>IFERROR(__xludf.DUMMYFUNCTION("""COMPUTED_VALUE"""),43526.090266203704)</f>
        <v>43526.09027</v>
      </c>
      <c r="D510" s="4" t="str">
        <f>IFERROR(__xludf.DUMMYFUNCTION("""COMPUTED_VALUE"""),"RESOLVED")</f>
        <v>RESOLVED</v>
      </c>
      <c r="E510" s="6">
        <f>IFERROR(__xludf.DUMMYFUNCTION("""COMPUTED_VALUE"""),43630.63449074074)</f>
        <v>43630.63449</v>
      </c>
      <c r="F510" s="4" t="str">
        <f>IFERROR(__xludf.DUMMYFUNCTION("""COMPUTED_VALUE""")," ---")</f>
        <v> ---</v>
      </c>
      <c r="G510" s="4" t="str">
        <f>IFERROR(__xludf.DUMMYFUNCTION("""COMPUTED_VALUE"""),"Beta SUSE Linux Enterprise Server 15 SP1")</f>
        <v>Beta SUSE Linux Enterprise Server 15 SP1</v>
      </c>
      <c r="H510" s="7" t="str">
        <f t="shared" si="2"/>
        <v>NO</v>
      </c>
      <c r="I510" s="7" t="str">
        <f t="shared" si="3"/>
        <v>NO</v>
      </c>
    </row>
    <row r="511">
      <c r="A511" s="4">
        <f>IFERROR(__xludf.DUMMYFUNCTION("""COMPUTED_VALUE"""),1134937.0)</f>
        <v>1134937</v>
      </c>
      <c r="B511" s="4" t="str">
        <f>IFERROR(__xludf.DUMMYFUNCTION("""COMPUTED_VALUE"""),"P4 - Low")</f>
        <v>P4 - Low</v>
      </c>
      <c r="C511" s="5">
        <f>IFERROR(__xludf.DUMMYFUNCTION("""COMPUTED_VALUE"""),43599.15775462963)</f>
        <v>43599.15775</v>
      </c>
      <c r="D511" s="4" t="str">
        <f>IFERROR(__xludf.DUMMYFUNCTION("""COMPUTED_VALUE"""),"RESOLVED")</f>
        <v>RESOLVED</v>
      </c>
      <c r="E511" s="6">
        <f>IFERROR(__xludf.DUMMYFUNCTION("""COMPUTED_VALUE"""),43626.51898148148)</f>
        <v>43626.51898</v>
      </c>
      <c r="F511" s="4" t="str">
        <f>IFERROR(__xludf.DUMMYFUNCTION("""COMPUTED_VALUE""")," ---")</f>
        <v> ---</v>
      </c>
      <c r="G511" s="4" t="str">
        <f>IFERROR(__xludf.DUMMYFUNCTION("""COMPUTED_VALUE"""),"Beta SUSE Linux Enterprise Server 15 SP1")</f>
        <v>Beta SUSE Linux Enterprise Server 15 SP1</v>
      </c>
      <c r="H511" s="7" t="str">
        <f t="shared" si="2"/>
        <v>NO</v>
      </c>
      <c r="I511" s="7" t="str">
        <f t="shared" si="3"/>
        <v>NO</v>
      </c>
    </row>
    <row r="512">
      <c r="A512" s="4">
        <f>IFERROR(__xludf.DUMMYFUNCTION("""COMPUTED_VALUE"""),1120920.0)</f>
        <v>1120920</v>
      </c>
      <c r="B512" s="4" t="str">
        <f>IFERROR(__xludf.DUMMYFUNCTION("""COMPUTED_VALUE"""),"P4 - Low")</f>
        <v>P4 - Low</v>
      </c>
      <c r="C512" s="5">
        <f>IFERROR(__xludf.DUMMYFUNCTION("""COMPUTED_VALUE"""),43472.484872685185)</f>
        <v>43472.48487</v>
      </c>
      <c r="D512" s="4" t="str">
        <f>IFERROR(__xludf.DUMMYFUNCTION("""COMPUTED_VALUE"""),"RESOLVED")</f>
        <v>RESOLVED</v>
      </c>
      <c r="E512" s="6">
        <f>IFERROR(__xludf.DUMMYFUNCTION("""COMPUTED_VALUE"""),43506.422118055554)</f>
        <v>43506.42212</v>
      </c>
      <c r="F512" s="4" t="str">
        <f>IFERROR(__xludf.DUMMYFUNCTION("""COMPUTED_VALUE""")," ---")</f>
        <v> ---</v>
      </c>
      <c r="G512" s="4" t="str">
        <f>IFERROR(__xludf.DUMMYFUNCTION("""COMPUTED_VALUE"""),"SUSE Linux Enterprise Server 15 SP1")</f>
        <v>SUSE Linux Enterprise Server 15 SP1</v>
      </c>
      <c r="H512" s="7" t="str">
        <f t="shared" si="2"/>
        <v>NO</v>
      </c>
      <c r="I512" s="7" t="str">
        <f t="shared" si="3"/>
        <v>NO</v>
      </c>
    </row>
    <row r="513">
      <c r="A513" s="4">
        <f>IFERROR(__xludf.DUMMYFUNCTION("""COMPUTED_VALUE"""),1133547.0)</f>
        <v>1133547</v>
      </c>
      <c r="B513" s="4" t="str">
        <f>IFERROR(__xludf.DUMMYFUNCTION("""COMPUTED_VALUE"""),"P4 - Low")</f>
        <v>P4 - Low</v>
      </c>
      <c r="C513" s="5">
        <f>IFERROR(__xludf.DUMMYFUNCTION("""COMPUTED_VALUE"""),43581.641550925924)</f>
        <v>43581.64155</v>
      </c>
      <c r="D513" s="4" t="str">
        <f>IFERROR(__xludf.DUMMYFUNCTION("""COMPUTED_VALUE"""),"RESOLVED")</f>
        <v>RESOLVED</v>
      </c>
      <c r="E513" s="6">
        <f>IFERROR(__xludf.DUMMYFUNCTION("""COMPUTED_VALUE"""),43731.62465277778)</f>
        <v>43731.62465</v>
      </c>
      <c r="F513" s="4" t="str">
        <f>IFERROR(__xludf.DUMMYFUNCTION("""COMPUTED_VALUE""")," ---")</f>
        <v> ---</v>
      </c>
      <c r="G513" s="4" t="str">
        <f>IFERROR(__xludf.DUMMYFUNCTION("""COMPUTED_VALUE"""),"Beta SUSE Linux Enterprise Server 15 SP1")</f>
        <v>Beta SUSE Linux Enterprise Server 15 SP1</v>
      </c>
      <c r="H513" s="7" t="str">
        <f t="shared" si="2"/>
        <v>NO</v>
      </c>
      <c r="I513" s="7" t="str">
        <f t="shared" si="3"/>
        <v>NO</v>
      </c>
    </row>
    <row r="514">
      <c r="A514" s="4">
        <f>IFERROR(__xludf.DUMMYFUNCTION("""COMPUTED_VALUE"""),1122215.0)</f>
        <v>1122215</v>
      </c>
      <c r="B514" s="4" t="str">
        <f>IFERROR(__xludf.DUMMYFUNCTION("""COMPUTED_VALUE"""),"P4 - Low")</f>
        <v>P4 - Low</v>
      </c>
      <c r="C514" s="5">
        <f>IFERROR(__xludf.DUMMYFUNCTION("""COMPUTED_VALUE"""),43481.67170138889)</f>
        <v>43481.6717</v>
      </c>
      <c r="D514" s="4" t="str">
        <f>IFERROR(__xludf.DUMMYFUNCTION("""COMPUTED_VALUE"""),"RESOLVED")</f>
        <v>RESOLVED</v>
      </c>
      <c r="E514" s="6">
        <f>IFERROR(__xludf.DUMMYFUNCTION("""COMPUTED_VALUE"""),43630.631377314814)</f>
        <v>43630.63138</v>
      </c>
      <c r="F514" s="4" t="str">
        <f>IFERROR(__xludf.DUMMYFUNCTION("""COMPUTED_VALUE""")," ---")</f>
        <v> ---</v>
      </c>
      <c r="G514" s="4" t="str">
        <f>IFERROR(__xludf.DUMMYFUNCTION("""COMPUTED_VALUE"""),"SUSE Linux Enterprise Server 15 SP1")</f>
        <v>SUSE Linux Enterprise Server 15 SP1</v>
      </c>
      <c r="H514" s="7" t="str">
        <f t="shared" si="2"/>
        <v>NO</v>
      </c>
      <c r="I514" s="7" t="str">
        <f t="shared" si="3"/>
        <v>NO</v>
      </c>
    </row>
    <row r="515">
      <c r="A515" s="4">
        <f>IFERROR(__xludf.DUMMYFUNCTION("""COMPUTED_VALUE"""),1123548.0)</f>
        <v>1123548</v>
      </c>
      <c r="B515" s="4" t="str">
        <f>IFERROR(__xludf.DUMMYFUNCTION("""COMPUTED_VALUE"""),"P4 - Low")</f>
        <v>P4 - Low</v>
      </c>
      <c r="C515" s="5">
        <f>IFERROR(__xludf.DUMMYFUNCTION("""COMPUTED_VALUE"""),43494.68015046296)</f>
        <v>43494.68015</v>
      </c>
      <c r="D515" s="4" t="str">
        <f>IFERROR(__xludf.DUMMYFUNCTION("""COMPUTED_VALUE"""),"RESOLVED")</f>
        <v>RESOLVED</v>
      </c>
      <c r="E515" s="6">
        <f>IFERROR(__xludf.DUMMYFUNCTION("""COMPUTED_VALUE"""),43630.63228009259)</f>
        <v>43630.63228</v>
      </c>
      <c r="F515" s="4" t="str">
        <f>IFERROR(__xludf.DUMMYFUNCTION("""COMPUTED_VALUE""")," ---")</f>
        <v> ---</v>
      </c>
      <c r="G515" s="4" t="str">
        <f>IFERROR(__xludf.DUMMYFUNCTION("""COMPUTED_VALUE"""),"SUSE Linux Enterprise Server 15 SP1")</f>
        <v>SUSE Linux Enterprise Server 15 SP1</v>
      </c>
      <c r="H515" s="7" t="str">
        <f t="shared" si="2"/>
        <v>NO</v>
      </c>
      <c r="I515" s="7" t="str">
        <f t="shared" si="3"/>
        <v>NO</v>
      </c>
    </row>
    <row r="516">
      <c r="A516" s="4">
        <f>IFERROR(__xludf.DUMMYFUNCTION("""COMPUTED_VALUE"""),1121237.0)</f>
        <v>1121237</v>
      </c>
      <c r="B516" s="4" t="str">
        <f>IFERROR(__xludf.DUMMYFUNCTION("""COMPUTED_VALUE"""),"P4 - Low")</f>
        <v>P4 - Low</v>
      </c>
      <c r="C516" s="5">
        <f>IFERROR(__xludf.DUMMYFUNCTION("""COMPUTED_VALUE"""),43474.46895833333)</f>
        <v>43474.46896</v>
      </c>
      <c r="D516" s="4" t="str">
        <f>IFERROR(__xludf.DUMMYFUNCTION("""COMPUTED_VALUE"""),"RESOLVED")</f>
        <v>RESOLVED</v>
      </c>
      <c r="E516" s="6">
        <f>IFERROR(__xludf.DUMMYFUNCTION("""COMPUTED_VALUE"""),43704.408159722225)</f>
        <v>43704.40816</v>
      </c>
      <c r="F516" s="4" t="str">
        <f>IFERROR(__xludf.DUMMYFUNCTION("""COMPUTED_VALUE""")," ---")</f>
        <v> ---</v>
      </c>
      <c r="G516" s="4" t="str">
        <f>IFERROR(__xludf.DUMMYFUNCTION("""COMPUTED_VALUE"""),"SUSE Linux Enterprise Server 15 SP1")</f>
        <v>SUSE Linux Enterprise Server 15 SP1</v>
      </c>
      <c r="H516" s="7" t="str">
        <f t="shared" si="2"/>
        <v>NO</v>
      </c>
      <c r="I516" s="7" t="str">
        <f t="shared" si="3"/>
        <v>NO</v>
      </c>
    </row>
    <row r="517">
      <c r="A517" s="4">
        <f>IFERROR(__xludf.DUMMYFUNCTION("""COMPUTED_VALUE"""),1120919.0)</f>
        <v>1120919</v>
      </c>
      <c r="B517" s="4" t="str">
        <f>IFERROR(__xludf.DUMMYFUNCTION("""COMPUTED_VALUE"""),"P4 - Low")</f>
        <v>P4 - Low</v>
      </c>
      <c r="C517" s="5">
        <f>IFERROR(__xludf.DUMMYFUNCTION("""COMPUTED_VALUE"""),43472.4799537037)</f>
        <v>43472.47995</v>
      </c>
      <c r="D517" s="4" t="str">
        <f>IFERROR(__xludf.DUMMYFUNCTION("""COMPUTED_VALUE"""),"RESOLVED")</f>
        <v>RESOLVED</v>
      </c>
      <c r="E517" s="6">
        <f>IFERROR(__xludf.DUMMYFUNCTION("""COMPUTED_VALUE"""),43630.630960648145)</f>
        <v>43630.63096</v>
      </c>
      <c r="F517" s="4" t="str">
        <f>IFERROR(__xludf.DUMMYFUNCTION("""COMPUTED_VALUE""")," ---")</f>
        <v> ---</v>
      </c>
      <c r="G517" s="4" t="str">
        <f>IFERROR(__xludf.DUMMYFUNCTION("""COMPUTED_VALUE"""),"SUSE Linux Enterprise Server 15 SP1")</f>
        <v>SUSE Linux Enterprise Server 15 SP1</v>
      </c>
      <c r="H517" s="7" t="str">
        <f t="shared" si="2"/>
        <v>NO</v>
      </c>
      <c r="I517" s="7" t="str">
        <f t="shared" si="3"/>
        <v>NO</v>
      </c>
    </row>
    <row r="518">
      <c r="A518" s="4">
        <f>IFERROR(__xludf.DUMMYFUNCTION("""COMPUTED_VALUE"""),1130653.0)</f>
        <v>1130653</v>
      </c>
      <c r="B518" s="4" t="str">
        <f>IFERROR(__xludf.DUMMYFUNCTION("""COMPUTED_VALUE"""),"P4 - Low")</f>
        <v>P4 - Low</v>
      </c>
      <c r="C518" s="5">
        <f>IFERROR(__xludf.DUMMYFUNCTION("""COMPUTED_VALUE"""),43551.43347222222)</f>
        <v>43551.43347</v>
      </c>
      <c r="D518" s="4" t="str">
        <f>IFERROR(__xludf.DUMMYFUNCTION("""COMPUTED_VALUE"""),"RESOLVED")</f>
        <v>RESOLVED</v>
      </c>
      <c r="E518" s="6">
        <f>IFERROR(__xludf.DUMMYFUNCTION("""COMPUTED_VALUE"""),43853.43835648148)</f>
        <v>43853.43836</v>
      </c>
      <c r="F518" s="4" t="str">
        <f>IFERROR(__xludf.DUMMYFUNCTION("""COMPUTED_VALUE""")," ---")</f>
        <v> ---</v>
      </c>
      <c r="G518" s="4" t="str">
        <f>IFERROR(__xludf.DUMMYFUNCTION("""COMPUTED_VALUE"""),"Beta SUSE Linux Enterprise Server 15 SP1")</f>
        <v>Beta SUSE Linux Enterprise Server 15 SP1</v>
      </c>
      <c r="H518" s="7" t="str">
        <f t="shared" si="2"/>
        <v>NO</v>
      </c>
      <c r="I518" s="7" t="str">
        <f t="shared" si="3"/>
        <v>NO</v>
      </c>
    </row>
    <row r="519">
      <c r="A519" s="4">
        <f>IFERROR(__xludf.DUMMYFUNCTION("""COMPUTED_VALUE"""),1130527.0)</f>
        <v>1130527</v>
      </c>
      <c r="B519" s="4" t="str">
        <f>IFERROR(__xludf.DUMMYFUNCTION("""COMPUTED_VALUE"""),"P4 - Low")</f>
        <v>P4 - Low</v>
      </c>
      <c r="C519" s="5">
        <f>IFERROR(__xludf.DUMMYFUNCTION("""COMPUTED_VALUE"""),43550.53870370371)</f>
        <v>43550.5387</v>
      </c>
      <c r="D519" s="4" t="str">
        <f>IFERROR(__xludf.DUMMYFUNCTION("""COMPUTED_VALUE"""),"RESOLVED")</f>
        <v>RESOLVED</v>
      </c>
      <c r="E519" s="6">
        <f>IFERROR(__xludf.DUMMYFUNCTION("""COMPUTED_VALUE"""),44624.89114583333)</f>
        <v>44624.89115</v>
      </c>
      <c r="F519" s="4" t="str">
        <f>IFERROR(__xludf.DUMMYFUNCTION("""COMPUTED_VALUE""")," ---")</f>
        <v> ---</v>
      </c>
      <c r="G519" s="4" t="str">
        <f>IFERROR(__xludf.DUMMYFUNCTION("""COMPUTED_VALUE"""),"SUSE Linux Enterprise Server 15 SP1")</f>
        <v>SUSE Linux Enterprise Server 15 SP1</v>
      </c>
      <c r="H519" s="7" t="str">
        <f t="shared" si="2"/>
        <v>NO</v>
      </c>
      <c r="I519" s="7" t="str">
        <f t="shared" si="3"/>
        <v>NO</v>
      </c>
    </row>
    <row r="520">
      <c r="A520" s="4">
        <f>IFERROR(__xludf.DUMMYFUNCTION("""COMPUTED_VALUE"""),1124370.0)</f>
        <v>1124370</v>
      </c>
      <c r="B520" s="4" t="str">
        <f>IFERROR(__xludf.DUMMYFUNCTION("""COMPUTED_VALUE"""),"P4 - Low")</f>
        <v>P4 - Low</v>
      </c>
      <c r="C520" s="5">
        <f>IFERROR(__xludf.DUMMYFUNCTION("""COMPUTED_VALUE"""),43501.70899305555)</f>
        <v>43501.70899</v>
      </c>
      <c r="D520" s="4" t="str">
        <f>IFERROR(__xludf.DUMMYFUNCTION("""COMPUTED_VALUE"""),"RESOLVED")</f>
        <v>RESOLVED</v>
      </c>
      <c r="E520" s="6">
        <f>IFERROR(__xludf.DUMMYFUNCTION("""COMPUTED_VALUE"""),44624.88569444444)</f>
        <v>44624.88569</v>
      </c>
      <c r="F520" s="4" t="str">
        <f>IFERROR(__xludf.DUMMYFUNCTION("""COMPUTED_VALUE""")," ---")</f>
        <v> ---</v>
      </c>
      <c r="G520" s="4" t="str">
        <f>IFERROR(__xludf.DUMMYFUNCTION("""COMPUTED_VALUE"""),"SUSE Linux Enterprise Server 15 SP1")</f>
        <v>SUSE Linux Enterprise Server 15 SP1</v>
      </c>
      <c r="H520" s="7" t="str">
        <f t="shared" si="2"/>
        <v>NO</v>
      </c>
      <c r="I520" s="7" t="str">
        <f t="shared" si="3"/>
        <v>YES</v>
      </c>
    </row>
    <row r="521">
      <c r="A521" s="4">
        <f>IFERROR(__xludf.DUMMYFUNCTION("""COMPUTED_VALUE"""),1135463.0)</f>
        <v>1135463</v>
      </c>
      <c r="B521" s="4" t="str">
        <f>IFERROR(__xludf.DUMMYFUNCTION("""COMPUTED_VALUE"""),"P4 - Low")</f>
        <v>P4 - Low</v>
      </c>
      <c r="C521" s="5">
        <f>IFERROR(__xludf.DUMMYFUNCTION("""COMPUTED_VALUE"""),43602.39010416667)</f>
        <v>43602.3901</v>
      </c>
      <c r="D521" s="4" t="str">
        <f>IFERROR(__xludf.DUMMYFUNCTION("""COMPUTED_VALUE"""),"RESOLVED")</f>
        <v>RESOLVED</v>
      </c>
      <c r="E521" s="6">
        <f>IFERROR(__xludf.DUMMYFUNCTION("""COMPUTED_VALUE"""),43822.05079861111)</f>
        <v>43822.0508</v>
      </c>
      <c r="F521" s="4" t="str">
        <f>IFERROR(__xludf.DUMMYFUNCTION("""COMPUTED_VALUE""")," ---")</f>
        <v> ---</v>
      </c>
      <c r="G521" s="4" t="str">
        <f>IFERROR(__xludf.DUMMYFUNCTION("""COMPUTED_VALUE"""),"SUSE Linux Enterprise Server 15 SP1")</f>
        <v>SUSE Linux Enterprise Server 15 SP1</v>
      </c>
      <c r="H521" s="7" t="str">
        <f t="shared" si="2"/>
        <v>NO</v>
      </c>
      <c r="I521" s="7" t="str">
        <f t="shared" si="3"/>
        <v>NO</v>
      </c>
    </row>
    <row r="522">
      <c r="A522" s="4">
        <f>IFERROR(__xludf.DUMMYFUNCTION("""COMPUTED_VALUE"""),1138099.0)</f>
        <v>1138099</v>
      </c>
      <c r="B522" s="4" t="str">
        <f>IFERROR(__xludf.DUMMYFUNCTION("""COMPUTED_VALUE"""),"P5 - None")</f>
        <v>P5 - None</v>
      </c>
      <c r="C522" s="5">
        <f>IFERROR(__xludf.DUMMYFUNCTION("""COMPUTED_VALUE"""),43629.27361111111)</f>
        <v>43629.27361</v>
      </c>
      <c r="D522" s="4" t="str">
        <f>IFERROR(__xludf.DUMMYFUNCTION("""COMPUTED_VALUE"""),"RESOLVED")</f>
        <v>RESOLVED</v>
      </c>
      <c r="E522" s="6">
        <f>IFERROR(__xludf.DUMMYFUNCTION("""COMPUTED_VALUE"""),43762.56518518519)</f>
        <v>43762.56519</v>
      </c>
      <c r="F522" s="4" t="str">
        <f>IFERROR(__xludf.DUMMYFUNCTION("""COMPUTED_VALUE""")," ---")</f>
        <v> ---</v>
      </c>
      <c r="G522" s="4" t="str">
        <f>IFERROR(__xludf.DUMMYFUNCTION("""COMPUTED_VALUE"""),"Beta SUSE Linux Enterprise Server 15 SP1")</f>
        <v>Beta SUSE Linux Enterprise Server 15 SP1</v>
      </c>
      <c r="H522" s="7" t="str">
        <f t="shared" si="2"/>
        <v>NO</v>
      </c>
      <c r="I522" s="7" t="str">
        <f t="shared" si="3"/>
        <v>NO</v>
      </c>
    </row>
    <row r="523">
      <c r="A523" s="4">
        <f>IFERROR(__xludf.DUMMYFUNCTION("""COMPUTED_VALUE"""),1138100.0)</f>
        <v>1138100</v>
      </c>
      <c r="B523" s="4" t="str">
        <f>IFERROR(__xludf.DUMMYFUNCTION("""COMPUTED_VALUE"""),"P5 - None")</f>
        <v>P5 - None</v>
      </c>
      <c r="C523" s="5">
        <f>IFERROR(__xludf.DUMMYFUNCTION("""COMPUTED_VALUE"""),43629.27453703704)</f>
        <v>43629.27454</v>
      </c>
      <c r="D523" s="4" t="str">
        <f>IFERROR(__xludf.DUMMYFUNCTION("""COMPUTED_VALUE"""),"RESOLVED")</f>
        <v>RESOLVED</v>
      </c>
      <c r="E523" s="6">
        <f>IFERROR(__xludf.DUMMYFUNCTION("""COMPUTED_VALUE"""),43762.56563657407)</f>
        <v>43762.56564</v>
      </c>
      <c r="F523" s="4" t="str">
        <f>IFERROR(__xludf.DUMMYFUNCTION("""COMPUTED_VALUE""")," ---")</f>
        <v> ---</v>
      </c>
      <c r="G523" s="4" t="str">
        <f>IFERROR(__xludf.DUMMYFUNCTION("""COMPUTED_VALUE"""),"Beta SUSE Linux Enterprise Server 15 SP1")</f>
        <v>Beta SUSE Linux Enterprise Server 15 SP1</v>
      </c>
      <c r="H523" s="7" t="str">
        <f t="shared" si="2"/>
        <v>NO</v>
      </c>
      <c r="I523" s="7" t="str">
        <f t="shared" si="3"/>
        <v>NO</v>
      </c>
    </row>
    <row r="524">
      <c r="A524" s="4">
        <f>IFERROR(__xludf.DUMMYFUNCTION("""COMPUTED_VALUE"""),1113673.0)</f>
        <v>1113673</v>
      </c>
      <c r="B524" s="4" t="str">
        <f>IFERROR(__xludf.DUMMYFUNCTION("""COMPUTED_VALUE"""),"P5 - None")</f>
        <v>P5 - None</v>
      </c>
      <c r="C524" s="5">
        <f>IFERROR(__xludf.DUMMYFUNCTION("""COMPUTED_VALUE"""),43402.36355324074)</f>
        <v>43402.36355</v>
      </c>
      <c r="D524" s="4" t="str">
        <f>IFERROR(__xludf.DUMMYFUNCTION("""COMPUTED_VALUE"""),"RESOLVED")</f>
        <v>RESOLVED</v>
      </c>
      <c r="E524" s="6">
        <f>IFERROR(__xludf.DUMMYFUNCTION("""COMPUTED_VALUE"""),43630.62835648148)</f>
        <v>43630.62836</v>
      </c>
      <c r="F524" s="4" t="str">
        <f>IFERROR(__xludf.DUMMYFUNCTION("""COMPUTED_VALUE""")," ---")</f>
        <v> ---</v>
      </c>
      <c r="G524" s="4" t="str">
        <f>IFERROR(__xludf.DUMMYFUNCTION("""COMPUTED_VALUE"""),"SUSE Linux Enterprise Server 15 SP1")</f>
        <v>SUSE Linux Enterprise Server 15 SP1</v>
      </c>
      <c r="H524" s="7" t="str">
        <f t="shared" si="2"/>
        <v>NO</v>
      </c>
      <c r="I524" s="7" t="str">
        <f t="shared" si="3"/>
        <v>NO</v>
      </c>
    </row>
    <row r="525">
      <c r="A525" s="4">
        <f>IFERROR(__xludf.DUMMYFUNCTION("""COMPUTED_VALUE"""),1125245.0)</f>
        <v>1125245</v>
      </c>
      <c r="B525" s="4" t="str">
        <f>IFERROR(__xludf.DUMMYFUNCTION("""COMPUTED_VALUE"""),"P5 - None")</f>
        <v>P5 - None</v>
      </c>
      <c r="C525" s="5">
        <f>IFERROR(__xludf.DUMMYFUNCTION("""COMPUTED_VALUE"""),43509.34978009259)</f>
        <v>43509.34978</v>
      </c>
      <c r="D525" s="4" t="str">
        <f>IFERROR(__xludf.DUMMYFUNCTION("""COMPUTED_VALUE"""),"RESOLVED")</f>
        <v>RESOLVED</v>
      </c>
      <c r="E525" s="6">
        <f>IFERROR(__xludf.DUMMYFUNCTION("""COMPUTED_VALUE"""),43630.63298611111)</f>
        <v>43630.63299</v>
      </c>
      <c r="F525" s="4" t="str">
        <f>IFERROR(__xludf.DUMMYFUNCTION("""COMPUTED_VALUE""")," ---")</f>
        <v> ---</v>
      </c>
      <c r="G525" s="4" t="str">
        <f>IFERROR(__xludf.DUMMYFUNCTION("""COMPUTED_VALUE"""),"SUSE Linux Enterprise Server 15 SP1")</f>
        <v>SUSE Linux Enterprise Server 15 SP1</v>
      </c>
      <c r="H525" s="7" t="str">
        <f t="shared" si="2"/>
        <v>NO</v>
      </c>
      <c r="I525" s="7" t="str">
        <f t="shared" si="3"/>
        <v>NO</v>
      </c>
    </row>
    <row r="526">
      <c r="A526" s="4">
        <f>IFERROR(__xludf.DUMMYFUNCTION("""COMPUTED_VALUE"""),1114762.0)</f>
        <v>1114762</v>
      </c>
      <c r="B526" s="4" t="str">
        <f>IFERROR(__xludf.DUMMYFUNCTION("""COMPUTED_VALUE"""),"P5 - None")</f>
        <v>P5 - None</v>
      </c>
      <c r="C526" s="5">
        <f>IFERROR(__xludf.DUMMYFUNCTION("""COMPUTED_VALUE"""),43409.836689814816)</f>
        <v>43409.83669</v>
      </c>
      <c r="D526" s="4" t="str">
        <f>IFERROR(__xludf.DUMMYFUNCTION("""COMPUTED_VALUE"""),"RESOLVED")</f>
        <v>RESOLVED</v>
      </c>
      <c r="E526" s="6">
        <f>IFERROR(__xludf.DUMMYFUNCTION("""COMPUTED_VALUE"""),43433.0330787037)</f>
        <v>43433.03308</v>
      </c>
      <c r="F526" s="4" t="str">
        <f>IFERROR(__xludf.DUMMYFUNCTION("""COMPUTED_VALUE""")," ---")</f>
        <v> ---</v>
      </c>
      <c r="G526" s="4" t="str">
        <f>IFERROR(__xludf.DUMMYFUNCTION("""COMPUTED_VALUE"""),"SUSE Linux Enterprise Real Time 15 SP1")</f>
        <v>SUSE Linux Enterprise Real Time 15 SP1</v>
      </c>
      <c r="H526" s="7" t="str">
        <f t="shared" si="2"/>
        <v>NO</v>
      </c>
      <c r="I526" s="7" t="str">
        <f t="shared" si="3"/>
        <v>NO</v>
      </c>
    </row>
    <row r="527">
      <c r="A527" s="4">
        <f>IFERROR(__xludf.DUMMYFUNCTION("""COMPUTED_VALUE"""),1126385.0)</f>
        <v>1126385</v>
      </c>
      <c r="B527" s="4" t="str">
        <f>IFERROR(__xludf.DUMMYFUNCTION("""COMPUTED_VALUE"""),"P5 - None")</f>
        <v>P5 - None</v>
      </c>
      <c r="C527" s="5">
        <f>IFERROR(__xludf.DUMMYFUNCTION("""COMPUTED_VALUE"""),43518.0434837963)</f>
        <v>43518.04348</v>
      </c>
      <c r="D527" s="4" t="str">
        <f>IFERROR(__xludf.DUMMYFUNCTION("""COMPUTED_VALUE"""),"RESOLVED")</f>
        <v>RESOLVED</v>
      </c>
      <c r="E527" s="6">
        <f>IFERROR(__xludf.DUMMYFUNCTION("""COMPUTED_VALUE"""),43630.63365740741)</f>
        <v>43630.63366</v>
      </c>
      <c r="F527" s="4" t="str">
        <f>IFERROR(__xludf.DUMMYFUNCTION("""COMPUTED_VALUE""")," ---")</f>
        <v> ---</v>
      </c>
      <c r="G527" s="4" t="str">
        <f>IFERROR(__xludf.DUMMYFUNCTION("""COMPUTED_VALUE"""),"Beta SUSE Linux Enterprise Server 15 SP1")</f>
        <v>Beta SUSE Linux Enterprise Server 15 SP1</v>
      </c>
      <c r="H527" s="7" t="str">
        <f t="shared" si="2"/>
        <v>NO</v>
      </c>
      <c r="I527" s="7" t="str">
        <f t="shared" si="3"/>
        <v>NO</v>
      </c>
    </row>
    <row r="528">
      <c r="A528" s="4">
        <f>IFERROR(__xludf.DUMMYFUNCTION("""COMPUTED_VALUE"""),1130331.0)</f>
        <v>1130331</v>
      </c>
      <c r="B528" s="4" t="str">
        <f>IFERROR(__xludf.DUMMYFUNCTION("""COMPUTED_VALUE"""),"P5 - None")</f>
        <v>P5 - None</v>
      </c>
      <c r="C528" s="5">
        <f>IFERROR(__xludf.DUMMYFUNCTION("""COMPUTED_VALUE"""),43549.369780092595)</f>
        <v>43549.36978</v>
      </c>
      <c r="D528" s="4" t="str">
        <f>IFERROR(__xludf.DUMMYFUNCTION("""COMPUTED_VALUE"""),"RESOLVED")</f>
        <v>RESOLVED</v>
      </c>
      <c r="E528" s="6">
        <f>IFERROR(__xludf.DUMMYFUNCTION("""COMPUTED_VALUE"""),43630.635833333334)</f>
        <v>43630.63583</v>
      </c>
      <c r="F528" s="4" t="str">
        <f>IFERROR(__xludf.DUMMYFUNCTION("""COMPUTED_VALUE""")," ---")</f>
        <v> ---</v>
      </c>
      <c r="G528" s="4" t="str">
        <f>IFERROR(__xludf.DUMMYFUNCTION("""COMPUTED_VALUE"""),"SUSE Linux Enterprise Server 15 SP1")</f>
        <v>SUSE Linux Enterprise Server 15 SP1</v>
      </c>
      <c r="H528" s="7" t="str">
        <f t="shared" si="2"/>
        <v>NO</v>
      </c>
      <c r="I528" s="7" t="str">
        <f t="shared" si="3"/>
        <v>NO</v>
      </c>
    </row>
    <row r="529">
      <c r="A529" s="4">
        <f>IFERROR(__xludf.DUMMYFUNCTION("""COMPUTED_VALUE"""),1131412.0)</f>
        <v>1131412</v>
      </c>
      <c r="B529" s="4" t="str">
        <f>IFERROR(__xludf.DUMMYFUNCTION("""COMPUTED_VALUE"""),"P5 - None")</f>
        <v>P5 - None</v>
      </c>
      <c r="C529" s="5">
        <f>IFERROR(__xludf.DUMMYFUNCTION("""COMPUTED_VALUE"""),43558.49318287037)</f>
        <v>43558.49318</v>
      </c>
      <c r="D529" s="4" t="str">
        <f>IFERROR(__xludf.DUMMYFUNCTION("""COMPUTED_VALUE"""),"RESOLVED")</f>
        <v>RESOLVED</v>
      </c>
      <c r="E529" s="6">
        <f>IFERROR(__xludf.DUMMYFUNCTION("""COMPUTED_VALUE"""),43558.49344907407)</f>
        <v>43558.49345</v>
      </c>
      <c r="F529" s="4" t="str">
        <f>IFERROR(__xludf.DUMMYFUNCTION("""COMPUTED_VALUE""")," ---")</f>
        <v> ---</v>
      </c>
      <c r="G529" s="4" t="str">
        <f>IFERROR(__xludf.DUMMYFUNCTION("""COMPUTED_VALUE"""),"SUSE Linux Enterprise Server 15 SP1")</f>
        <v>SUSE Linux Enterprise Server 15 SP1</v>
      </c>
      <c r="H529" s="7" t="str">
        <f t="shared" si="2"/>
        <v>NO</v>
      </c>
      <c r="I529" s="7" t="str">
        <f t="shared" si="3"/>
        <v>NO</v>
      </c>
    </row>
    <row r="530">
      <c r="A530" s="4">
        <f>IFERROR(__xludf.DUMMYFUNCTION("""COMPUTED_VALUE"""),1131413.0)</f>
        <v>1131413</v>
      </c>
      <c r="B530" s="4" t="str">
        <f>IFERROR(__xludf.DUMMYFUNCTION("""COMPUTED_VALUE"""),"P5 - None")</f>
        <v>P5 - None</v>
      </c>
      <c r="C530" s="5">
        <f>IFERROR(__xludf.DUMMYFUNCTION("""COMPUTED_VALUE"""),43558.493738425925)</f>
        <v>43558.49374</v>
      </c>
      <c r="D530" s="4" t="str">
        <f>IFERROR(__xludf.DUMMYFUNCTION("""COMPUTED_VALUE"""),"RESOLVED")</f>
        <v>RESOLVED</v>
      </c>
      <c r="E530" s="6">
        <f>IFERROR(__xludf.DUMMYFUNCTION("""COMPUTED_VALUE"""),43558.49407407407)</f>
        <v>43558.49407</v>
      </c>
      <c r="F530" s="4" t="str">
        <f>IFERROR(__xludf.DUMMYFUNCTION("""COMPUTED_VALUE""")," ---")</f>
        <v> ---</v>
      </c>
      <c r="G530" s="4" t="str">
        <f>IFERROR(__xludf.DUMMYFUNCTION("""COMPUTED_VALUE"""),"SUSE Linux Enterprise Server 15 SP1")</f>
        <v>SUSE Linux Enterprise Server 15 SP1</v>
      </c>
      <c r="H530" s="7" t="str">
        <f t="shared" si="2"/>
        <v>NO</v>
      </c>
      <c r="I530" s="7" t="str">
        <f t="shared" si="3"/>
        <v>NO</v>
      </c>
    </row>
    <row r="531">
      <c r="A531" s="4">
        <f>IFERROR(__xludf.DUMMYFUNCTION("""COMPUTED_VALUE"""),1131415.0)</f>
        <v>1131415</v>
      </c>
      <c r="B531" s="4" t="str">
        <f>IFERROR(__xludf.DUMMYFUNCTION("""COMPUTED_VALUE"""),"P5 - None")</f>
        <v>P5 - None</v>
      </c>
      <c r="C531" s="5">
        <f>IFERROR(__xludf.DUMMYFUNCTION("""COMPUTED_VALUE"""),43558.49527777778)</f>
        <v>43558.49528</v>
      </c>
      <c r="D531" s="4" t="str">
        <f>IFERROR(__xludf.DUMMYFUNCTION("""COMPUTED_VALUE"""),"RESOLVED")</f>
        <v>RESOLVED</v>
      </c>
      <c r="E531" s="6">
        <f>IFERROR(__xludf.DUMMYFUNCTION("""COMPUTED_VALUE"""),43558.495520833334)</f>
        <v>43558.49552</v>
      </c>
      <c r="F531" s="4" t="str">
        <f>IFERROR(__xludf.DUMMYFUNCTION("""COMPUTED_VALUE""")," ---")</f>
        <v> ---</v>
      </c>
      <c r="G531" s="4" t="str">
        <f>IFERROR(__xludf.DUMMYFUNCTION("""COMPUTED_VALUE"""),"SUSE Linux Enterprise Server 15 SP1")</f>
        <v>SUSE Linux Enterprise Server 15 SP1</v>
      </c>
      <c r="H531" s="7" t="str">
        <f t="shared" si="2"/>
        <v>NO</v>
      </c>
      <c r="I531" s="7" t="str">
        <f t="shared" si="3"/>
        <v>NO</v>
      </c>
    </row>
    <row r="532">
      <c r="A532" s="4">
        <f>IFERROR(__xludf.DUMMYFUNCTION("""COMPUTED_VALUE"""),1131417.0)</f>
        <v>1131417</v>
      </c>
      <c r="B532" s="4" t="str">
        <f>IFERROR(__xludf.DUMMYFUNCTION("""COMPUTED_VALUE"""),"P5 - None")</f>
        <v>P5 - None</v>
      </c>
      <c r="C532" s="5">
        <f>IFERROR(__xludf.DUMMYFUNCTION("""COMPUTED_VALUE"""),43558.49747685185)</f>
        <v>43558.49748</v>
      </c>
      <c r="D532" s="4" t="str">
        <f>IFERROR(__xludf.DUMMYFUNCTION("""COMPUTED_VALUE"""),"RESOLVED")</f>
        <v>RESOLVED</v>
      </c>
      <c r="E532" s="6">
        <f>IFERROR(__xludf.DUMMYFUNCTION("""COMPUTED_VALUE"""),43558.498078703706)</f>
        <v>43558.49808</v>
      </c>
      <c r="F532" s="4" t="str">
        <f>IFERROR(__xludf.DUMMYFUNCTION("""COMPUTED_VALUE""")," ---")</f>
        <v> ---</v>
      </c>
      <c r="G532" s="4" t="str">
        <f>IFERROR(__xludf.DUMMYFUNCTION("""COMPUTED_VALUE"""),"SUSE Linux Enterprise Server 15 SP1")</f>
        <v>SUSE Linux Enterprise Server 15 SP1</v>
      </c>
      <c r="H532" s="7" t="str">
        <f t="shared" si="2"/>
        <v>NO</v>
      </c>
      <c r="I532" s="7" t="str">
        <f t="shared" si="3"/>
        <v>NO</v>
      </c>
    </row>
    <row r="533">
      <c r="A533" s="4">
        <f>IFERROR(__xludf.DUMMYFUNCTION("""COMPUTED_VALUE"""),1131419.0)</f>
        <v>1131419</v>
      </c>
      <c r="B533" s="4" t="str">
        <f>IFERROR(__xludf.DUMMYFUNCTION("""COMPUTED_VALUE"""),"P5 - None")</f>
        <v>P5 - None</v>
      </c>
      <c r="C533" s="5">
        <f>IFERROR(__xludf.DUMMYFUNCTION("""COMPUTED_VALUE"""),43558.49914351852)</f>
        <v>43558.49914</v>
      </c>
      <c r="D533" s="4" t="str">
        <f>IFERROR(__xludf.DUMMYFUNCTION("""COMPUTED_VALUE"""),"RESOLVED")</f>
        <v>RESOLVED</v>
      </c>
      <c r="E533" s="6">
        <f>IFERROR(__xludf.DUMMYFUNCTION("""COMPUTED_VALUE"""),43558.50141203704)</f>
        <v>43558.50141</v>
      </c>
      <c r="F533" s="4" t="str">
        <f>IFERROR(__xludf.DUMMYFUNCTION("""COMPUTED_VALUE""")," ---")</f>
        <v> ---</v>
      </c>
      <c r="G533" s="4" t="str">
        <f>IFERROR(__xludf.DUMMYFUNCTION("""COMPUTED_VALUE"""),"SUSE Linux Enterprise Server 15 SP1")</f>
        <v>SUSE Linux Enterprise Server 15 SP1</v>
      </c>
      <c r="H533" s="7" t="str">
        <f t="shared" si="2"/>
        <v>NO</v>
      </c>
      <c r="I533" s="7" t="str">
        <f t="shared" si="3"/>
        <v>NO</v>
      </c>
    </row>
    <row r="534">
      <c r="A534" s="4">
        <f>IFERROR(__xludf.DUMMYFUNCTION("""COMPUTED_VALUE"""),1131421.0)</f>
        <v>1131421</v>
      </c>
      <c r="B534" s="4" t="str">
        <f>IFERROR(__xludf.DUMMYFUNCTION("""COMPUTED_VALUE"""),"P5 - None")</f>
        <v>P5 - None</v>
      </c>
      <c r="C534" s="5">
        <f>IFERROR(__xludf.DUMMYFUNCTION("""COMPUTED_VALUE"""),43558.50152777778)</f>
        <v>43558.50153</v>
      </c>
      <c r="D534" s="4" t="str">
        <f>IFERROR(__xludf.DUMMYFUNCTION("""COMPUTED_VALUE"""),"RESOLVED")</f>
        <v>RESOLVED</v>
      </c>
      <c r="E534" s="6">
        <f>IFERROR(__xludf.DUMMYFUNCTION("""COMPUTED_VALUE"""),43558.501875)</f>
        <v>43558.50188</v>
      </c>
      <c r="F534" s="4" t="str">
        <f>IFERROR(__xludf.DUMMYFUNCTION("""COMPUTED_VALUE""")," ---")</f>
        <v> ---</v>
      </c>
      <c r="G534" s="4" t="str">
        <f>IFERROR(__xludf.DUMMYFUNCTION("""COMPUTED_VALUE"""),"SUSE Linux Enterprise Server 15 SP1")</f>
        <v>SUSE Linux Enterprise Server 15 SP1</v>
      </c>
      <c r="H534" s="7" t="str">
        <f t="shared" si="2"/>
        <v>NO</v>
      </c>
      <c r="I534" s="7" t="str">
        <f t="shared" si="3"/>
        <v>NO</v>
      </c>
    </row>
    <row r="535">
      <c r="A535" s="4">
        <f>IFERROR(__xludf.DUMMYFUNCTION("""COMPUTED_VALUE"""),1115993.0)</f>
        <v>1115993</v>
      </c>
      <c r="B535" s="4" t="str">
        <f>IFERROR(__xludf.DUMMYFUNCTION("""COMPUTED_VALUE"""),"P5 - None")</f>
        <v>P5 - None</v>
      </c>
      <c r="C535" s="5">
        <f>IFERROR(__xludf.DUMMYFUNCTION("""COMPUTED_VALUE"""),43418.576261574075)</f>
        <v>43418.57626</v>
      </c>
      <c r="D535" s="4" t="str">
        <f>IFERROR(__xludf.DUMMYFUNCTION("""COMPUTED_VALUE"""),"RESOLVED")</f>
        <v>RESOLVED</v>
      </c>
      <c r="E535" s="6">
        <f>IFERROR(__xludf.DUMMYFUNCTION("""COMPUTED_VALUE"""),43630.62900462963)</f>
        <v>43630.629</v>
      </c>
      <c r="F535" s="4" t="str">
        <f>IFERROR(__xludf.DUMMYFUNCTION("""COMPUTED_VALUE""")," ---")</f>
        <v> ---</v>
      </c>
      <c r="G535" s="4" t="str">
        <f>IFERROR(__xludf.DUMMYFUNCTION("""COMPUTED_VALUE"""),"SUSE Linux Enterprise Server 15 SP1")</f>
        <v>SUSE Linux Enterprise Server 15 SP1</v>
      </c>
      <c r="H535" s="7" t="str">
        <f t="shared" si="2"/>
        <v>NO</v>
      </c>
      <c r="I535" s="7" t="str">
        <f t="shared" si="3"/>
        <v>NO</v>
      </c>
    </row>
    <row r="536">
      <c r="A536" s="4">
        <f>IFERROR(__xludf.DUMMYFUNCTION("""COMPUTED_VALUE"""),1122648.0)</f>
        <v>1122648</v>
      </c>
      <c r="B536" s="4" t="str">
        <f>IFERROR(__xludf.DUMMYFUNCTION("""COMPUTED_VALUE"""),"P5 - None")</f>
        <v>P5 - None</v>
      </c>
      <c r="C536" s="5">
        <f>IFERROR(__xludf.DUMMYFUNCTION("""COMPUTED_VALUE"""),43486.517592592594)</f>
        <v>43486.51759</v>
      </c>
      <c r="D536" s="4" t="str">
        <f>IFERROR(__xludf.DUMMYFUNCTION("""COMPUTED_VALUE"""),"RESOLVED")</f>
        <v>RESOLVED</v>
      </c>
      <c r="E536" s="6">
        <f>IFERROR(__xludf.DUMMYFUNCTION("""COMPUTED_VALUE"""),43630.63141203704)</f>
        <v>43630.63141</v>
      </c>
      <c r="F536" s="4" t="str">
        <f>IFERROR(__xludf.DUMMYFUNCTION("""COMPUTED_VALUE""")," ---")</f>
        <v> ---</v>
      </c>
      <c r="G536" s="4" t="str">
        <f>IFERROR(__xludf.DUMMYFUNCTION("""COMPUTED_VALUE"""),"SUSE Linux Enterprise Server 15 SP1")</f>
        <v>SUSE Linux Enterprise Server 15 SP1</v>
      </c>
      <c r="H536" s="7" t="str">
        <f t="shared" si="2"/>
        <v>NO</v>
      </c>
      <c r="I536" s="7" t="str">
        <f t="shared" si="3"/>
        <v>NO</v>
      </c>
    </row>
    <row r="537">
      <c r="A537" s="4">
        <f>IFERROR(__xludf.DUMMYFUNCTION("""COMPUTED_VALUE"""),1122654.0)</f>
        <v>1122654</v>
      </c>
      <c r="B537" s="4" t="str">
        <f>IFERROR(__xludf.DUMMYFUNCTION("""COMPUTED_VALUE"""),"P5 - None")</f>
        <v>P5 - None</v>
      </c>
      <c r="C537" s="5">
        <f>IFERROR(__xludf.DUMMYFUNCTION("""COMPUTED_VALUE"""),43486.53333333333)</f>
        <v>43486.53333</v>
      </c>
      <c r="D537" s="4" t="str">
        <f>IFERROR(__xludf.DUMMYFUNCTION("""COMPUTED_VALUE"""),"RESOLVED")</f>
        <v>RESOLVED</v>
      </c>
      <c r="E537" s="6">
        <f>IFERROR(__xludf.DUMMYFUNCTION("""COMPUTED_VALUE"""),43630.63150462963)</f>
        <v>43630.6315</v>
      </c>
      <c r="F537" s="4" t="str">
        <f>IFERROR(__xludf.DUMMYFUNCTION("""COMPUTED_VALUE""")," ---")</f>
        <v> ---</v>
      </c>
      <c r="G537" s="4" t="str">
        <f>IFERROR(__xludf.DUMMYFUNCTION("""COMPUTED_VALUE"""),"SUSE Linux Enterprise Server 15 SP1")</f>
        <v>SUSE Linux Enterprise Server 15 SP1</v>
      </c>
      <c r="H537" s="7" t="str">
        <f t="shared" si="2"/>
        <v>NO</v>
      </c>
      <c r="I537" s="7" t="str">
        <f t="shared" si="3"/>
        <v>NO</v>
      </c>
    </row>
    <row r="538">
      <c r="A538" s="4">
        <f>IFERROR(__xludf.DUMMYFUNCTION("""COMPUTED_VALUE"""),1123305.0)</f>
        <v>1123305</v>
      </c>
      <c r="B538" s="4" t="str">
        <f>IFERROR(__xludf.DUMMYFUNCTION("""COMPUTED_VALUE"""),"P5 - None")</f>
        <v>P5 - None</v>
      </c>
      <c r="C538" s="5">
        <f>IFERROR(__xludf.DUMMYFUNCTION("""COMPUTED_VALUE"""),43493.403032407405)</f>
        <v>43493.40303</v>
      </c>
      <c r="D538" s="4" t="str">
        <f>IFERROR(__xludf.DUMMYFUNCTION("""COMPUTED_VALUE"""),"RESOLVED")</f>
        <v>RESOLVED</v>
      </c>
      <c r="E538" s="6">
        <f>IFERROR(__xludf.DUMMYFUNCTION("""COMPUTED_VALUE"""),43630.63209490741)</f>
        <v>43630.63209</v>
      </c>
      <c r="F538" s="4" t="str">
        <f>IFERROR(__xludf.DUMMYFUNCTION("""COMPUTED_VALUE""")," ---")</f>
        <v> ---</v>
      </c>
      <c r="G538" s="4" t="str">
        <f>IFERROR(__xludf.DUMMYFUNCTION("""COMPUTED_VALUE"""),"SUSE Linux Enterprise Server 15 SP1")</f>
        <v>SUSE Linux Enterprise Server 15 SP1</v>
      </c>
      <c r="H538" s="7" t="str">
        <f t="shared" si="2"/>
        <v>NO</v>
      </c>
      <c r="I538" s="7" t="str">
        <f t="shared" si="3"/>
        <v>NO</v>
      </c>
    </row>
    <row r="539">
      <c r="A539" s="4">
        <f>IFERROR(__xludf.DUMMYFUNCTION("""COMPUTED_VALUE"""),1123306.0)</f>
        <v>1123306</v>
      </c>
      <c r="B539" s="4" t="str">
        <f>IFERROR(__xludf.DUMMYFUNCTION("""COMPUTED_VALUE"""),"P5 - None")</f>
        <v>P5 - None</v>
      </c>
      <c r="C539" s="5">
        <f>IFERROR(__xludf.DUMMYFUNCTION("""COMPUTED_VALUE"""),43493.40314814815)</f>
        <v>43493.40315</v>
      </c>
      <c r="D539" s="4" t="str">
        <f>IFERROR(__xludf.DUMMYFUNCTION("""COMPUTED_VALUE"""),"RESOLVED")</f>
        <v>RESOLVED</v>
      </c>
      <c r="E539" s="6">
        <f>IFERROR(__xludf.DUMMYFUNCTION("""COMPUTED_VALUE"""),43630.63214120371)</f>
        <v>43630.63214</v>
      </c>
      <c r="F539" s="4" t="str">
        <f>IFERROR(__xludf.DUMMYFUNCTION("""COMPUTED_VALUE""")," ---")</f>
        <v> ---</v>
      </c>
      <c r="G539" s="4" t="str">
        <f>IFERROR(__xludf.DUMMYFUNCTION("""COMPUTED_VALUE"""),"SUSE Linux Enterprise Server 15 SP1")</f>
        <v>SUSE Linux Enterprise Server 15 SP1</v>
      </c>
      <c r="H539" s="7" t="str">
        <f t="shared" si="2"/>
        <v>NO</v>
      </c>
      <c r="I539" s="7" t="str">
        <f t="shared" si="3"/>
        <v>NO</v>
      </c>
    </row>
    <row r="540">
      <c r="A540" s="4">
        <f>IFERROR(__xludf.DUMMYFUNCTION("""COMPUTED_VALUE"""),1124328.0)</f>
        <v>1124328</v>
      </c>
      <c r="B540" s="4" t="str">
        <f>IFERROR(__xludf.DUMMYFUNCTION("""COMPUTED_VALUE"""),"P5 - None")</f>
        <v>P5 - None</v>
      </c>
      <c r="C540" s="5">
        <f>IFERROR(__xludf.DUMMYFUNCTION("""COMPUTED_VALUE"""),43501.56351851852)</f>
        <v>43501.56352</v>
      </c>
      <c r="D540" s="4" t="str">
        <f>IFERROR(__xludf.DUMMYFUNCTION("""COMPUTED_VALUE"""),"RESOLVED")</f>
        <v>RESOLVED</v>
      </c>
      <c r="E540" s="6">
        <f>IFERROR(__xludf.DUMMYFUNCTION("""COMPUTED_VALUE"""),43630.63267361111)</f>
        <v>43630.63267</v>
      </c>
      <c r="F540" s="4" t="str">
        <f>IFERROR(__xludf.DUMMYFUNCTION("""COMPUTED_VALUE""")," ---")</f>
        <v> ---</v>
      </c>
      <c r="G540" s="4" t="str">
        <f>IFERROR(__xludf.DUMMYFUNCTION("""COMPUTED_VALUE"""),"SUSE Linux Enterprise Server 15 SP1")</f>
        <v>SUSE Linux Enterprise Server 15 SP1</v>
      </c>
      <c r="H540" s="7" t="str">
        <f t="shared" si="2"/>
        <v>NO</v>
      </c>
      <c r="I540" s="7" t="str">
        <f t="shared" si="3"/>
        <v>YES</v>
      </c>
    </row>
    <row r="541">
      <c r="A541" s="4">
        <f>IFERROR(__xludf.DUMMYFUNCTION("""COMPUTED_VALUE"""),1128900.0)</f>
        <v>1128900</v>
      </c>
      <c r="B541" s="4" t="str">
        <f>IFERROR(__xludf.DUMMYFUNCTION("""COMPUTED_VALUE"""),"P5 - None")</f>
        <v>P5 - None</v>
      </c>
      <c r="C541" s="5">
        <f>IFERROR(__xludf.DUMMYFUNCTION("""COMPUTED_VALUE"""),43536.5490162037)</f>
        <v>43536.54902</v>
      </c>
      <c r="D541" s="4" t="str">
        <f>IFERROR(__xludf.DUMMYFUNCTION("""COMPUTED_VALUE"""),"RESOLVED")</f>
        <v>RESOLVED</v>
      </c>
      <c r="E541" s="6">
        <f>IFERROR(__xludf.DUMMYFUNCTION("""COMPUTED_VALUE"""),43633.33692129629)</f>
        <v>43633.33692</v>
      </c>
      <c r="F541" s="4" t="str">
        <f>IFERROR(__xludf.DUMMYFUNCTION("""COMPUTED_VALUE""")," ---")</f>
        <v> ---</v>
      </c>
      <c r="G541" s="4" t="str">
        <f>IFERROR(__xludf.DUMMYFUNCTION("""COMPUTED_VALUE"""),"SUSE Linux Enterprise Server 15 SP1")</f>
        <v>SUSE Linux Enterprise Server 15 SP1</v>
      </c>
      <c r="H541" s="7" t="str">
        <f t="shared" si="2"/>
        <v>NO</v>
      </c>
      <c r="I541" s="7" t="str">
        <f t="shared" si="3"/>
        <v>NO</v>
      </c>
    </row>
    <row r="542">
      <c r="A542" s="4">
        <f>IFERROR(__xludf.DUMMYFUNCTION("""COMPUTED_VALUE"""),1131837.0)</f>
        <v>1131837</v>
      </c>
      <c r="B542" s="4" t="str">
        <f>IFERROR(__xludf.DUMMYFUNCTION("""COMPUTED_VALUE"""),"P5 - None")</f>
        <v>P5 - None</v>
      </c>
      <c r="C542" s="5">
        <f>IFERROR(__xludf.DUMMYFUNCTION("""COMPUTED_VALUE"""),43563.48883101852)</f>
        <v>43563.48883</v>
      </c>
      <c r="D542" s="4" t="str">
        <f>IFERROR(__xludf.DUMMYFUNCTION("""COMPUTED_VALUE"""),"RESOLVED")</f>
        <v>RESOLVED</v>
      </c>
      <c r="E542" s="6">
        <f>IFERROR(__xludf.DUMMYFUNCTION("""COMPUTED_VALUE"""),43630.63650462963)</f>
        <v>43630.6365</v>
      </c>
      <c r="F542" s="4" t="str">
        <f>IFERROR(__xludf.DUMMYFUNCTION("""COMPUTED_VALUE""")," ---")</f>
        <v> ---</v>
      </c>
      <c r="G542" s="4" t="str">
        <f>IFERROR(__xludf.DUMMYFUNCTION("""COMPUTED_VALUE"""),"SUSE Linux Enterprise Server 15 SP1")</f>
        <v>SUSE Linux Enterprise Server 15 SP1</v>
      </c>
      <c r="H542" s="7" t="str">
        <f t="shared" si="2"/>
        <v>NO</v>
      </c>
      <c r="I542" s="7" t="str">
        <f t="shared" si="3"/>
        <v>NO</v>
      </c>
    </row>
    <row r="543">
      <c r="A543" s="4">
        <f>IFERROR(__xludf.DUMMYFUNCTION("""COMPUTED_VALUE"""),1108950.0)</f>
        <v>1108950</v>
      </c>
      <c r="B543" s="4" t="str">
        <f>IFERROR(__xludf.DUMMYFUNCTION("""COMPUTED_VALUE"""),"P5 - None")</f>
        <v>P5 - None</v>
      </c>
      <c r="C543" s="5">
        <f>IFERROR(__xludf.DUMMYFUNCTION("""COMPUTED_VALUE"""),43362.420625)</f>
        <v>43362.42063</v>
      </c>
      <c r="D543" s="4" t="str">
        <f>IFERROR(__xludf.DUMMYFUNCTION("""COMPUTED_VALUE"""),"RESOLVED")</f>
        <v>RESOLVED</v>
      </c>
      <c r="E543" s="6">
        <f>IFERROR(__xludf.DUMMYFUNCTION("""COMPUTED_VALUE"""),43378.56494212963)</f>
        <v>43378.56494</v>
      </c>
      <c r="F543" s="4" t="str">
        <f>IFERROR(__xludf.DUMMYFUNCTION("""COMPUTED_VALUE""")," ---")</f>
        <v> ---</v>
      </c>
      <c r="G543" s="4" t="str">
        <f>IFERROR(__xludf.DUMMYFUNCTION("""COMPUTED_VALUE"""),"SUSE Linux Enterprise Server 15 SP1")</f>
        <v>SUSE Linux Enterprise Server 15 SP1</v>
      </c>
      <c r="H543" s="7" t="str">
        <f t="shared" si="2"/>
        <v>NO</v>
      </c>
      <c r="I543" s="7" t="str">
        <f t="shared" si="3"/>
        <v>NO</v>
      </c>
    </row>
    <row r="544">
      <c r="A544" s="4">
        <f>IFERROR(__xludf.DUMMYFUNCTION("""COMPUTED_VALUE"""),1109113.0)</f>
        <v>1109113</v>
      </c>
      <c r="B544" s="4" t="str">
        <f>IFERROR(__xludf.DUMMYFUNCTION("""COMPUTED_VALUE"""),"P5 - None")</f>
        <v>P5 - None</v>
      </c>
      <c r="C544" s="5">
        <f>IFERROR(__xludf.DUMMYFUNCTION("""COMPUTED_VALUE"""),43363.42222222222)</f>
        <v>43363.42222</v>
      </c>
      <c r="D544" s="4" t="str">
        <f>IFERROR(__xludf.DUMMYFUNCTION("""COMPUTED_VALUE"""),"RESOLVED")</f>
        <v>RESOLVED</v>
      </c>
      <c r="E544" s="6">
        <f>IFERROR(__xludf.DUMMYFUNCTION("""COMPUTED_VALUE"""),43425.30144675926)</f>
        <v>43425.30145</v>
      </c>
      <c r="F544" s="4" t="str">
        <f>IFERROR(__xludf.DUMMYFUNCTION("""COMPUTED_VALUE""")," ---")</f>
        <v> ---</v>
      </c>
      <c r="G544" s="4" t="str">
        <f>IFERROR(__xludf.DUMMYFUNCTION("""COMPUTED_VALUE"""),"SUSE Linux Enterprise Server 15 SP1")</f>
        <v>SUSE Linux Enterprise Server 15 SP1</v>
      </c>
      <c r="H544" s="7" t="str">
        <f t="shared" si="2"/>
        <v>NO</v>
      </c>
      <c r="I544" s="7" t="str">
        <f t="shared" si="3"/>
        <v>NO</v>
      </c>
    </row>
    <row r="545">
      <c r="A545" s="4">
        <f>IFERROR(__xludf.DUMMYFUNCTION("""COMPUTED_VALUE"""),1113483.0)</f>
        <v>1113483</v>
      </c>
      <c r="B545" s="4" t="str">
        <f>IFERROR(__xludf.DUMMYFUNCTION("""COMPUTED_VALUE"""),"P5 - None")</f>
        <v>P5 - None</v>
      </c>
      <c r="C545" s="5">
        <f>IFERROR(__xludf.DUMMYFUNCTION("""COMPUTED_VALUE"""),43399.424097222225)</f>
        <v>43399.4241</v>
      </c>
      <c r="D545" s="4" t="str">
        <f>IFERROR(__xludf.DUMMYFUNCTION("""COMPUTED_VALUE"""),"RESOLVED")</f>
        <v>RESOLVED</v>
      </c>
      <c r="E545" s="6">
        <f>IFERROR(__xludf.DUMMYFUNCTION("""COMPUTED_VALUE"""),43630.627847222226)</f>
        <v>43630.62785</v>
      </c>
      <c r="F545" s="4" t="str">
        <f>IFERROR(__xludf.DUMMYFUNCTION("""COMPUTED_VALUE""")," ---")</f>
        <v> ---</v>
      </c>
      <c r="G545" s="4" t="str">
        <f>IFERROR(__xludf.DUMMYFUNCTION("""COMPUTED_VALUE"""),"SUSE Linux Enterprise Server 15 SP1")</f>
        <v>SUSE Linux Enterprise Server 15 SP1</v>
      </c>
      <c r="H545" s="7" t="str">
        <f t="shared" si="2"/>
        <v>NO</v>
      </c>
      <c r="I545" s="7" t="str">
        <f t="shared" si="3"/>
        <v>NO</v>
      </c>
    </row>
    <row r="546">
      <c r="A546" s="4">
        <f>IFERROR(__xludf.DUMMYFUNCTION("""COMPUTED_VALUE"""),1116169.0)</f>
        <v>1116169</v>
      </c>
      <c r="B546" s="4" t="str">
        <f>IFERROR(__xludf.DUMMYFUNCTION("""COMPUTED_VALUE"""),"P5 - None")</f>
        <v>P5 - None</v>
      </c>
      <c r="C546" s="5">
        <f>IFERROR(__xludf.DUMMYFUNCTION("""COMPUTED_VALUE"""),43419.38415509259)</f>
        <v>43419.38416</v>
      </c>
      <c r="D546" s="4" t="str">
        <f>IFERROR(__xludf.DUMMYFUNCTION("""COMPUTED_VALUE"""),"RESOLVED")</f>
        <v>RESOLVED</v>
      </c>
      <c r="E546" s="6">
        <f>IFERROR(__xludf.DUMMYFUNCTION("""COMPUTED_VALUE"""),43420.471400462964)</f>
        <v>43420.4714</v>
      </c>
      <c r="F546" s="4" t="str">
        <f>IFERROR(__xludf.DUMMYFUNCTION("""COMPUTED_VALUE""")," ---")</f>
        <v> ---</v>
      </c>
      <c r="G546" s="4" t="str">
        <f>IFERROR(__xludf.DUMMYFUNCTION("""COMPUTED_VALUE"""),"SUSE Linux Enterprise Server 15 SP1")</f>
        <v>SUSE Linux Enterprise Server 15 SP1</v>
      </c>
      <c r="H546" s="7" t="str">
        <f t="shared" si="2"/>
        <v>NO</v>
      </c>
      <c r="I546" s="7" t="str">
        <f t="shared" si="3"/>
        <v>NO</v>
      </c>
    </row>
    <row r="547">
      <c r="A547" s="4">
        <f>IFERROR(__xludf.DUMMYFUNCTION("""COMPUTED_VALUE"""),1119682.0)</f>
        <v>1119682</v>
      </c>
      <c r="B547" s="4" t="str">
        <f>IFERROR(__xludf.DUMMYFUNCTION("""COMPUTED_VALUE"""),"P5 - None")</f>
        <v>P5 - None</v>
      </c>
      <c r="C547" s="5">
        <f>IFERROR(__xludf.DUMMYFUNCTION("""COMPUTED_VALUE"""),43451.39577546297)</f>
        <v>43451.39578</v>
      </c>
      <c r="D547" s="4" t="str">
        <f>IFERROR(__xludf.DUMMYFUNCTION("""COMPUTED_VALUE"""),"RESOLVED")</f>
        <v>RESOLVED</v>
      </c>
      <c r="E547" s="6">
        <f>IFERROR(__xludf.DUMMYFUNCTION("""COMPUTED_VALUE"""),43452.106354166666)</f>
        <v>43452.10635</v>
      </c>
      <c r="F547" s="4" t="str">
        <f>IFERROR(__xludf.DUMMYFUNCTION("""COMPUTED_VALUE""")," ---")</f>
        <v> ---</v>
      </c>
      <c r="G547" s="4" t="str">
        <f>IFERROR(__xludf.DUMMYFUNCTION("""COMPUTED_VALUE"""),"SUSE Linux Enterprise Server 15 SP1")</f>
        <v>SUSE Linux Enterprise Server 15 SP1</v>
      </c>
      <c r="H547" s="7" t="str">
        <f t="shared" si="2"/>
        <v>NO</v>
      </c>
      <c r="I547" s="7" t="str">
        <f t="shared" si="3"/>
        <v>NO</v>
      </c>
    </row>
    <row r="548">
      <c r="A548" s="4">
        <f>IFERROR(__xludf.DUMMYFUNCTION("""COMPUTED_VALUE"""),1122043.0)</f>
        <v>1122043</v>
      </c>
      <c r="B548" s="4" t="str">
        <f>IFERROR(__xludf.DUMMYFUNCTION("""COMPUTED_VALUE"""),"P5 - None")</f>
        <v>P5 - None</v>
      </c>
      <c r="C548" s="5">
        <f>IFERROR(__xludf.DUMMYFUNCTION("""COMPUTED_VALUE"""),43480.76329861111)</f>
        <v>43480.7633</v>
      </c>
      <c r="D548" s="4" t="str">
        <f>IFERROR(__xludf.DUMMYFUNCTION("""COMPUTED_VALUE"""),"RESOLVED")</f>
        <v>RESOLVED</v>
      </c>
      <c r="E548" s="6">
        <f>IFERROR(__xludf.DUMMYFUNCTION("""COMPUTED_VALUE"""),43483.78648148148)</f>
        <v>43483.78648</v>
      </c>
      <c r="F548" s="4" t="str">
        <f>IFERROR(__xludf.DUMMYFUNCTION("""COMPUTED_VALUE""")," ---")</f>
        <v> ---</v>
      </c>
      <c r="G548" s="4" t="str">
        <f>IFERROR(__xludf.DUMMYFUNCTION("""COMPUTED_VALUE"""),"Beta SUSE Linux Enterprise Desktop 15 SP1")</f>
        <v>Beta SUSE Linux Enterprise Desktop 15 SP1</v>
      </c>
      <c r="H548" s="7" t="str">
        <f t="shared" si="2"/>
        <v>NO</v>
      </c>
      <c r="I548" s="7" t="str">
        <f t="shared" si="3"/>
        <v>NO</v>
      </c>
    </row>
    <row r="549">
      <c r="A549" s="4">
        <f>IFERROR(__xludf.DUMMYFUNCTION("""COMPUTED_VALUE"""),1125175.0)</f>
        <v>1125175</v>
      </c>
      <c r="B549" s="4" t="str">
        <f>IFERROR(__xludf.DUMMYFUNCTION("""COMPUTED_VALUE"""),"P5 - None")</f>
        <v>P5 - None</v>
      </c>
      <c r="C549" s="5">
        <f>IFERROR(__xludf.DUMMYFUNCTION("""COMPUTED_VALUE"""),43508.7746875)</f>
        <v>43508.77469</v>
      </c>
      <c r="D549" s="4" t="str">
        <f>IFERROR(__xludf.DUMMYFUNCTION("""COMPUTED_VALUE"""),"RESOLVED")</f>
        <v>RESOLVED</v>
      </c>
      <c r="E549" s="6">
        <f>IFERROR(__xludf.DUMMYFUNCTION("""COMPUTED_VALUE"""),43508.80844907407)</f>
        <v>43508.80845</v>
      </c>
      <c r="F549" s="4" t="str">
        <f>IFERROR(__xludf.DUMMYFUNCTION("""COMPUTED_VALUE""")," ---")</f>
        <v> ---</v>
      </c>
      <c r="G549" s="4" t="str">
        <f>IFERROR(__xludf.DUMMYFUNCTION("""COMPUTED_VALUE"""),"Beta SUSE Linux Enterprise Server 15 SP1")</f>
        <v>Beta SUSE Linux Enterprise Server 15 SP1</v>
      </c>
      <c r="H549" s="7" t="str">
        <f t="shared" si="2"/>
        <v>NO</v>
      </c>
      <c r="I549" s="7" t="str">
        <f t="shared" si="3"/>
        <v>NO</v>
      </c>
    </row>
    <row r="550">
      <c r="A550" s="4">
        <f>IFERROR(__xludf.DUMMYFUNCTION("""COMPUTED_VALUE"""),1126234.0)</f>
        <v>1126234</v>
      </c>
      <c r="B550" s="4" t="str">
        <f>IFERROR(__xludf.DUMMYFUNCTION("""COMPUTED_VALUE"""),"P5 - None")</f>
        <v>P5 - None</v>
      </c>
      <c r="C550" s="5">
        <f>IFERROR(__xludf.DUMMYFUNCTION("""COMPUTED_VALUE"""),43517.38148148148)</f>
        <v>43517.38148</v>
      </c>
      <c r="D550" s="4" t="str">
        <f>IFERROR(__xludf.DUMMYFUNCTION("""COMPUTED_VALUE"""),"RESOLVED")</f>
        <v>RESOLVED</v>
      </c>
      <c r="E550" s="6">
        <f>IFERROR(__xludf.DUMMYFUNCTION("""COMPUTED_VALUE"""),43517.47966435185)</f>
        <v>43517.47966</v>
      </c>
      <c r="F550" s="4" t="str">
        <f>IFERROR(__xludf.DUMMYFUNCTION("""COMPUTED_VALUE""")," ---")</f>
        <v> ---</v>
      </c>
      <c r="G550" s="4" t="str">
        <f>IFERROR(__xludf.DUMMYFUNCTION("""COMPUTED_VALUE"""),"Beta SUSE Linux Enterprise Server 15 SP1")</f>
        <v>Beta SUSE Linux Enterprise Server 15 SP1</v>
      </c>
      <c r="H550" s="7" t="str">
        <f t="shared" si="2"/>
        <v>NO</v>
      </c>
      <c r="I550" s="7" t="str">
        <f t="shared" si="3"/>
        <v>NO</v>
      </c>
    </row>
    <row r="551">
      <c r="A551" s="4">
        <f>IFERROR(__xludf.DUMMYFUNCTION("""COMPUTED_VALUE"""),1126889.0)</f>
        <v>1126889</v>
      </c>
      <c r="B551" s="4" t="str">
        <f>IFERROR(__xludf.DUMMYFUNCTION("""COMPUTED_VALUE"""),"P5 - None")</f>
        <v>P5 - None</v>
      </c>
      <c r="C551" s="5">
        <f>IFERROR(__xludf.DUMMYFUNCTION("""COMPUTED_VALUE"""),43521.75231481482)</f>
        <v>43521.75231</v>
      </c>
      <c r="D551" s="4" t="str">
        <f>IFERROR(__xludf.DUMMYFUNCTION("""COMPUTED_VALUE"""),"RESOLVED")</f>
        <v>RESOLVED</v>
      </c>
      <c r="E551" s="6">
        <f>IFERROR(__xludf.DUMMYFUNCTION("""COMPUTED_VALUE"""),43522.38146990741)</f>
        <v>43522.38147</v>
      </c>
      <c r="F551" s="4" t="str">
        <f>IFERROR(__xludf.DUMMYFUNCTION("""COMPUTED_VALUE""")," ---")</f>
        <v> ---</v>
      </c>
      <c r="G551" s="4" t="str">
        <f>IFERROR(__xludf.DUMMYFUNCTION("""COMPUTED_VALUE"""),"Beta SUSE Linux Enterprise Server 15 SP1")</f>
        <v>Beta SUSE Linux Enterprise Server 15 SP1</v>
      </c>
      <c r="H551" s="7" t="str">
        <f t="shared" si="2"/>
        <v>NO</v>
      </c>
      <c r="I551" s="7" t="str">
        <f t="shared" si="3"/>
        <v>NO</v>
      </c>
    </row>
    <row r="552">
      <c r="A552" s="4">
        <f>IFERROR(__xludf.DUMMYFUNCTION("""COMPUTED_VALUE"""),1129163.0)</f>
        <v>1129163</v>
      </c>
      <c r="B552" s="4" t="str">
        <f>IFERROR(__xludf.DUMMYFUNCTION("""COMPUTED_VALUE"""),"P5 - None")</f>
        <v>P5 - None</v>
      </c>
      <c r="C552" s="5">
        <f>IFERROR(__xludf.DUMMYFUNCTION("""COMPUTED_VALUE"""),43538.31491898148)</f>
        <v>43538.31492</v>
      </c>
      <c r="D552" s="4" t="str">
        <f>IFERROR(__xludf.DUMMYFUNCTION("""COMPUTED_VALUE"""),"RESOLVED")</f>
        <v>RESOLVED</v>
      </c>
      <c r="E552" s="6">
        <f>IFERROR(__xludf.DUMMYFUNCTION("""COMPUTED_VALUE"""),44624.88943287037)</f>
        <v>44624.88943</v>
      </c>
      <c r="F552" s="4" t="str">
        <f>IFERROR(__xludf.DUMMYFUNCTION("""COMPUTED_VALUE""")," ---")</f>
        <v> ---</v>
      </c>
      <c r="G552" s="4" t="str">
        <f>IFERROR(__xludf.DUMMYFUNCTION("""COMPUTED_VALUE"""),"SUSE Linux Enterprise Server 15 SP1")</f>
        <v>SUSE Linux Enterprise Server 15 SP1</v>
      </c>
      <c r="H552" s="7" t="str">
        <f t="shared" si="2"/>
        <v>NO</v>
      </c>
      <c r="I552" s="7" t="str">
        <f t="shared" si="3"/>
        <v>NO</v>
      </c>
    </row>
    <row r="553">
      <c r="A553" s="4">
        <f>IFERROR(__xludf.DUMMYFUNCTION("""COMPUTED_VALUE"""),1131659.0)</f>
        <v>1131659</v>
      </c>
      <c r="B553" s="4" t="str">
        <f>IFERROR(__xludf.DUMMYFUNCTION("""COMPUTED_VALUE"""),"P5 - None")</f>
        <v>P5 - None</v>
      </c>
      <c r="C553" s="5">
        <f>IFERROR(__xludf.DUMMYFUNCTION("""COMPUTED_VALUE"""),43560.36133101852)</f>
        <v>43560.36133</v>
      </c>
      <c r="D553" s="4" t="str">
        <f>IFERROR(__xludf.DUMMYFUNCTION("""COMPUTED_VALUE"""),"RESOLVED")</f>
        <v>RESOLVED</v>
      </c>
      <c r="E553" s="6">
        <f>IFERROR(__xludf.DUMMYFUNCTION("""COMPUTED_VALUE"""),43731.61369212963)</f>
        <v>43731.61369</v>
      </c>
      <c r="F553" s="4" t="str">
        <f>IFERROR(__xludf.DUMMYFUNCTION("""COMPUTED_VALUE""")," ---")</f>
        <v> ---</v>
      </c>
      <c r="G553" s="4" t="str">
        <f>IFERROR(__xludf.DUMMYFUNCTION("""COMPUTED_VALUE"""),"SUSE Linux Enterprise Server 15 SP1")</f>
        <v>SUSE Linux Enterprise Server 15 SP1</v>
      </c>
      <c r="H553" s="7" t="str">
        <f t="shared" si="2"/>
        <v>NO</v>
      </c>
      <c r="I553" s="7" t="str">
        <f t="shared" si="3"/>
        <v>NO</v>
      </c>
    </row>
    <row r="554">
      <c r="A554" s="4">
        <f>IFERROR(__xludf.DUMMYFUNCTION("""COMPUTED_VALUE"""),1132036.0)</f>
        <v>1132036</v>
      </c>
      <c r="B554" s="4" t="str">
        <f>IFERROR(__xludf.DUMMYFUNCTION("""COMPUTED_VALUE"""),"P5 - None")</f>
        <v>P5 - None</v>
      </c>
      <c r="C554" s="5">
        <f>IFERROR(__xludf.DUMMYFUNCTION("""COMPUTED_VALUE"""),43565.190625)</f>
        <v>43565.19063</v>
      </c>
      <c r="D554" s="4" t="str">
        <f>IFERROR(__xludf.DUMMYFUNCTION("""COMPUTED_VALUE"""),"RESOLVED")</f>
        <v>RESOLVED</v>
      </c>
      <c r="E554" s="6">
        <f>IFERROR(__xludf.DUMMYFUNCTION("""COMPUTED_VALUE"""),43892.38166666667)</f>
        <v>43892.38167</v>
      </c>
      <c r="F554" s="4" t="str">
        <f>IFERROR(__xludf.DUMMYFUNCTION("""COMPUTED_VALUE""")," ---")</f>
        <v> ---</v>
      </c>
      <c r="G554" s="4" t="str">
        <f>IFERROR(__xludf.DUMMYFUNCTION("""COMPUTED_VALUE"""),"SUSE Linux Enterprise Server 15 SP1")</f>
        <v>SUSE Linux Enterprise Server 15 SP1</v>
      </c>
      <c r="H554" s="7" t="str">
        <f t="shared" si="2"/>
        <v>NO</v>
      </c>
      <c r="I554" s="7" t="str">
        <f t="shared" si="3"/>
        <v>NO</v>
      </c>
    </row>
    <row r="555">
      <c r="A555" s="4">
        <f>IFERROR(__xludf.DUMMYFUNCTION("""COMPUTED_VALUE"""),1132599.0)</f>
        <v>1132599</v>
      </c>
      <c r="B555" s="4" t="str">
        <f>IFERROR(__xludf.DUMMYFUNCTION("""COMPUTED_VALUE"""),"P5 - None")</f>
        <v>P5 - None</v>
      </c>
      <c r="C555" s="5">
        <f>IFERROR(__xludf.DUMMYFUNCTION("""COMPUTED_VALUE"""),43571.11783564815)</f>
        <v>43571.11784</v>
      </c>
      <c r="D555" s="4" t="str">
        <f>IFERROR(__xludf.DUMMYFUNCTION("""COMPUTED_VALUE"""),"RESOLVED")</f>
        <v>RESOLVED</v>
      </c>
      <c r="E555" s="6">
        <f>IFERROR(__xludf.DUMMYFUNCTION("""COMPUTED_VALUE"""),43571.12644675926)</f>
        <v>43571.12645</v>
      </c>
      <c r="F555" s="4" t="str">
        <f>IFERROR(__xludf.DUMMYFUNCTION("""COMPUTED_VALUE""")," ---")</f>
        <v> ---</v>
      </c>
      <c r="G555" s="4" t="str">
        <f>IFERROR(__xludf.DUMMYFUNCTION("""COMPUTED_VALUE"""),"SUSE Linux Enterprise Server 15 SP1")</f>
        <v>SUSE Linux Enterprise Server 15 SP1</v>
      </c>
      <c r="H555" s="7" t="str">
        <f t="shared" si="2"/>
        <v>NO</v>
      </c>
      <c r="I555" s="7" t="str">
        <f t="shared" si="3"/>
        <v>NO</v>
      </c>
    </row>
    <row r="556">
      <c r="A556" s="4">
        <f>IFERROR(__xludf.DUMMYFUNCTION("""COMPUTED_VALUE"""),1135120.0)</f>
        <v>1135120</v>
      </c>
      <c r="B556" s="4" t="str">
        <f>IFERROR(__xludf.DUMMYFUNCTION("""COMPUTED_VALUE"""),"P5 - None")</f>
        <v>P5 - None</v>
      </c>
      <c r="C556" s="5">
        <f>IFERROR(__xludf.DUMMYFUNCTION("""COMPUTED_VALUE"""),43599.80028935185)</f>
        <v>43599.80029</v>
      </c>
      <c r="D556" s="4" t="str">
        <f>IFERROR(__xludf.DUMMYFUNCTION("""COMPUTED_VALUE"""),"RESOLVED")</f>
        <v>RESOLVED</v>
      </c>
      <c r="E556" s="6">
        <f>IFERROR(__xludf.DUMMYFUNCTION("""COMPUTED_VALUE"""),43731.9477662037)</f>
        <v>43731.94777</v>
      </c>
      <c r="F556" s="4" t="str">
        <f>IFERROR(__xludf.DUMMYFUNCTION("""COMPUTED_VALUE""")," ---")</f>
        <v> ---</v>
      </c>
      <c r="G556" s="4" t="str">
        <f>IFERROR(__xludf.DUMMYFUNCTION("""COMPUTED_VALUE"""),"Beta SUSE Linux Enterprise Server 15 SP1")</f>
        <v>Beta SUSE Linux Enterprise Server 15 SP1</v>
      </c>
      <c r="H556" s="7" t="str">
        <f t="shared" si="2"/>
        <v>NO</v>
      </c>
      <c r="I556" s="7" t="str">
        <f t="shared" si="3"/>
        <v>NO</v>
      </c>
    </row>
    <row r="557">
      <c r="A557" s="4">
        <f>IFERROR(__xludf.DUMMYFUNCTION("""COMPUTED_VALUE"""),1138336.0)</f>
        <v>1138336</v>
      </c>
      <c r="B557" s="4" t="str">
        <f>IFERROR(__xludf.DUMMYFUNCTION("""COMPUTED_VALUE"""),"P5 - None")</f>
        <v>P5 - None</v>
      </c>
      <c r="C557" s="5">
        <f>IFERROR(__xludf.DUMMYFUNCTION("""COMPUTED_VALUE"""),43630.86332175926)</f>
        <v>43630.86332</v>
      </c>
      <c r="D557" s="4" t="str">
        <f>IFERROR(__xludf.DUMMYFUNCTION("""COMPUTED_VALUE"""),"RESOLVED")</f>
        <v>RESOLVED</v>
      </c>
      <c r="E557" s="6">
        <f>IFERROR(__xludf.DUMMYFUNCTION("""COMPUTED_VALUE"""),43732.28503472222)</f>
        <v>43732.28503</v>
      </c>
      <c r="F557" s="4" t="str">
        <f>IFERROR(__xludf.DUMMYFUNCTION("""COMPUTED_VALUE""")," ---")</f>
        <v> ---</v>
      </c>
      <c r="G557" s="4" t="str">
        <f>IFERROR(__xludf.DUMMYFUNCTION("""COMPUTED_VALUE"""),"SUSE Linux Enterprise Server 15 SP1")</f>
        <v>SUSE Linux Enterprise Server 15 SP1</v>
      </c>
      <c r="H557" s="7" t="str">
        <f t="shared" si="2"/>
        <v>NO</v>
      </c>
      <c r="I557" s="7" t="str">
        <f t="shared" si="3"/>
        <v>NO</v>
      </c>
    </row>
    <row r="558">
      <c r="A558" s="4">
        <f>IFERROR(__xludf.DUMMYFUNCTION("""COMPUTED_VALUE"""),1130412.0)</f>
        <v>1130412</v>
      </c>
      <c r="B558" s="4" t="str">
        <f>IFERROR(__xludf.DUMMYFUNCTION("""COMPUTED_VALUE"""),"P5 - None")</f>
        <v>P5 - None</v>
      </c>
      <c r="C558" s="5">
        <f>IFERROR(__xludf.DUMMYFUNCTION("""COMPUTED_VALUE"""),43549.64745370371)</f>
        <v>43549.64745</v>
      </c>
      <c r="D558" s="4" t="str">
        <f>IFERROR(__xludf.DUMMYFUNCTION("""COMPUTED_VALUE"""),"RESOLVED")</f>
        <v>RESOLVED</v>
      </c>
      <c r="E558" s="6">
        <f>IFERROR(__xludf.DUMMYFUNCTION("""COMPUTED_VALUE"""),43630.63586805556)</f>
        <v>43630.63587</v>
      </c>
      <c r="F558" s="4" t="str">
        <f>IFERROR(__xludf.DUMMYFUNCTION("""COMPUTED_VALUE""")," ---")</f>
        <v> ---</v>
      </c>
      <c r="G558" s="4" t="str">
        <f>IFERROR(__xludf.DUMMYFUNCTION("""COMPUTED_VALUE"""),"SUSE Linux Enterprise Server 15 SP1")</f>
        <v>SUSE Linux Enterprise Server 15 SP1</v>
      </c>
      <c r="H558" s="7" t="str">
        <f t="shared" si="2"/>
        <v>NO</v>
      </c>
      <c r="I558" s="7" t="str">
        <f t="shared" si="3"/>
        <v>NO</v>
      </c>
    </row>
    <row r="559">
      <c r="A559" s="4">
        <f>IFERROR(__xludf.DUMMYFUNCTION("""COMPUTED_VALUE"""),1137985.0)</f>
        <v>1137985</v>
      </c>
      <c r="B559" s="4" t="str">
        <f>IFERROR(__xludf.DUMMYFUNCTION("""COMPUTED_VALUE"""),"P5 - None")</f>
        <v>P5 - None</v>
      </c>
      <c r="C559" s="5">
        <f>IFERROR(__xludf.DUMMYFUNCTION("""COMPUTED_VALUE"""),43628.52361111111)</f>
        <v>43628.52361</v>
      </c>
      <c r="D559" s="4" t="str">
        <f>IFERROR(__xludf.DUMMYFUNCTION("""COMPUTED_VALUE"""),"RESOLVED")</f>
        <v>RESOLVED</v>
      </c>
      <c r="E559" s="6">
        <f>IFERROR(__xludf.DUMMYFUNCTION("""COMPUTED_VALUE"""),43732.28695601852)</f>
        <v>43732.28696</v>
      </c>
      <c r="F559" s="4" t="str">
        <f>IFERROR(__xludf.DUMMYFUNCTION("""COMPUTED_VALUE""")," ---")</f>
        <v> ---</v>
      </c>
      <c r="G559" s="4" t="str">
        <f>IFERROR(__xludf.DUMMYFUNCTION("""COMPUTED_VALUE"""),"SUSE Linux Enterprise Server 15 SP1")</f>
        <v>SUSE Linux Enterprise Server 15 SP1</v>
      </c>
      <c r="H559" s="7" t="str">
        <f t="shared" si="2"/>
        <v>NO</v>
      </c>
      <c r="I559" s="7" t="str">
        <f t="shared" si="3"/>
        <v>NO</v>
      </c>
    </row>
    <row r="560">
      <c r="A560" s="4">
        <f>IFERROR(__xludf.DUMMYFUNCTION("""COMPUTED_VALUE"""),1138681.0)</f>
        <v>1138681</v>
      </c>
      <c r="B560" s="4" t="str">
        <f>IFERROR(__xludf.DUMMYFUNCTION("""COMPUTED_VALUE"""),"P5 - None")</f>
        <v>P5 - None</v>
      </c>
      <c r="C560" s="5">
        <f>IFERROR(__xludf.DUMMYFUNCTION("""COMPUTED_VALUE"""),43635.39545138889)</f>
        <v>43635.39545</v>
      </c>
      <c r="D560" s="4" t="str">
        <f>IFERROR(__xludf.DUMMYFUNCTION("""COMPUTED_VALUE"""),"RESOLVED")</f>
        <v>RESOLVED</v>
      </c>
      <c r="E560" s="6">
        <f>IFERROR(__xludf.DUMMYFUNCTION("""COMPUTED_VALUE"""),43732.28804398148)</f>
        <v>43732.28804</v>
      </c>
      <c r="F560" s="4" t="str">
        <f>IFERROR(__xludf.DUMMYFUNCTION("""COMPUTED_VALUE""")," ---")</f>
        <v> ---</v>
      </c>
      <c r="G560" s="4" t="str">
        <f>IFERROR(__xludf.DUMMYFUNCTION("""COMPUTED_VALUE"""),"SUSE Linux Enterprise Server 15 SP1")</f>
        <v>SUSE Linux Enterprise Server 15 SP1</v>
      </c>
      <c r="H560" s="7" t="str">
        <f t="shared" si="2"/>
        <v>NO</v>
      </c>
      <c r="I560" s="7" t="str">
        <f t="shared" si="3"/>
        <v>NO</v>
      </c>
    </row>
    <row r="561">
      <c r="A561" s="4">
        <f>IFERROR(__xludf.DUMMYFUNCTION("""COMPUTED_VALUE"""),1135019.0)</f>
        <v>1135019</v>
      </c>
      <c r="B561" s="4" t="str">
        <f>IFERROR(__xludf.DUMMYFUNCTION("""COMPUTED_VALUE"""),"P5 - None")</f>
        <v>P5 - None</v>
      </c>
      <c r="C561" s="5">
        <f>IFERROR(__xludf.DUMMYFUNCTION("""COMPUTED_VALUE"""),43599.4353587963)</f>
        <v>43599.43536</v>
      </c>
      <c r="D561" s="4" t="str">
        <f>IFERROR(__xludf.DUMMYFUNCTION("""COMPUTED_VALUE"""),"RESOLVED")</f>
        <v>RESOLVED</v>
      </c>
      <c r="E561" s="6">
        <f>IFERROR(__xludf.DUMMYFUNCTION("""COMPUTED_VALUE"""),43599.70543981482)</f>
        <v>43599.70544</v>
      </c>
      <c r="F561" s="4" t="str">
        <f>IFERROR(__xludf.DUMMYFUNCTION("""COMPUTED_VALUE""")," ---")</f>
        <v> ---</v>
      </c>
      <c r="G561" s="4" t="str">
        <f>IFERROR(__xludf.DUMMYFUNCTION("""COMPUTED_VALUE"""),"Beta SUSE Linux Enterprise Server 15 SP1")</f>
        <v>Beta SUSE Linux Enterprise Server 15 SP1</v>
      </c>
      <c r="H561" s="7" t="str">
        <f t="shared" si="2"/>
        <v>NO</v>
      </c>
      <c r="I561" s="7" t="str">
        <f t="shared" si="3"/>
        <v>NO</v>
      </c>
    </row>
    <row r="562">
      <c r="A562" s="4">
        <f>IFERROR(__xludf.DUMMYFUNCTION("""COMPUTED_VALUE"""),1125892.0)</f>
        <v>1125892</v>
      </c>
      <c r="B562" s="4" t="str">
        <f>IFERROR(__xludf.DUMMYFUNCTION("""COMPUTED_VALUE"""),"P5 - None")</f>
        <v>P5 - None</v>
      </c>
      <c r="C562" s="5">
        <f>IFERROR(__xludf.DUMMYFUNCTION("""COMPUTED_VALUE"""),43515.39297453704)</f>
        <v>43515.39297</v>
      </c>
      <c r="D562" s="4" t="str">
        <f>IFERROR(__xludf.DUMMYFUNCTION("""COMPUTED_VALUE"""),"RESOLVED")</f>
        <v>RESOLVED</v>
      </c>
      <c r="E562" s="6">
        <f>IFERROR(__xludf.DUMMYFUNCTION("""COMPUTED_VALUE"""),43630.63324074074)</f>
        <v>43630.63324</v>
      </c>
      <c r="F562" s="4" t="str">
        <f>IFERROR(__xludf.DUMMYFUNCTION("""COMPUTED_VALUE""")," ---")</f>
        <v> ---</v>
      </c>
      <c r="G562" s="4" t="str">
        <f>IFERROR(__xludf.DUMMYFUNCTION("""COMPUTED_VALUE"""),"SUSE Linux Enterprise Server 15 SP1")</f>
        <v>SUSE Linux Enterprise Server 15 SP1</v>
      </c>
      <c r="H562" s="7" t="str">
        <f t="shared" si="2"/>
        <v>NO</v>
      </c>
      <c r="I562" s="7" t="str">
        <f t="shared" si="3"/>
        <v>NO</v>
      </c>
    </row>
    <row r="563">
      <c r="A563" s="4">
        <f>IFERROR(__xludf.DUMMYFUNCTION("""COMPUTED_VALUE"""),1138839.0)</f>
        <v>1138839</v>
      </c>
      <c r="B563" s="4" t="str">
        <f>IFERROR(__xludf.DUMMYFUNCTION("""COMPUTED_VALUE"""),"P5 - None")</f>
        <v>P5 - None</v>
      </c>
      <c r="C563" s="5">
        <f>IFERROR(__xludf.DUMMYFUNCTION("""COMPUTED_VALUE"""),43636.521527777775)</f>
        <v>43636.52153</v>
      </c>
      <c r="D563" s="4" t="str">
        <f>IFERROR(__xludf.DUMMYFUNCTION("""COMPUTED_VALUE"""),"RESOLVED")</f>
        <v>RESOLVED</v>
      </c>
      <c r="E563" s="6">
        <f>IFERROR(__xludf.DUMMYFUNCTION("""COMPUTED_VALUE"""),43906.46487268519)</f>
        <v>43906.46487</v>
      </c>
      <c r="F563" s="4" t="str">
        <f>IFERROR(__xludf.DUMMYFUNCTION("""COMPUTED_VALUE""")," ---")</f>
        <v> ---</v>
      </c>
      <c r="G563" s="4" t="str">
        <f>IFERROR(__xludf.DUMMYFUNCTION("""COMPUTED_VALUE"""),"SUSE Linux Enterprise Server 15 SP1")</f>
        <v>SUSE Linux Enterprise Server 15 SP1</v>
      </c>
      <c r="H563" s="7" t="str">
        <f t="shared" si="2"/>
        <v>NO</v>
      </c>
      <c r="I563" s="7" t="str">
        <f t="shared" si="3"/>
        <v>NO</v>
      </c>
    </row>
    <row r="564">
      <c r="A564" s="4">
        <f>IFERROR(__xludf.DUMMYFUNCTION("""COMPUTED_VALUE"""),1125582.0)</f>
        <v>1125582</v>
      </c>
      <c r="B564" s="4" t="str">
        <f>IFERROR(__xludf.DUMMYFUNCTION("""COMPUTED_VALUE"""),"P5 - None")</f>
        <v>P5 - None</v>
      </c>
      <c r="C564" s="5">
        <f>IFERROR(__xludf.DUMMYFUNCTION("""COMPUTED_VALUE"""),43511.46729166667)</f>
        <v>43511.46729</v>
      </c>
      <c r="D564" s="4" t="str">
        <f>IFERROR(__xludf.DUMMYFUNCTION("""COMPUTED_VALUE"""),"RESOLVED")</f>
        <v>RESOLVED</v>
      </c>
      <c r="E564" s="6">
        <f>IFERROR(__xludf.DUMMYFUNCTION("""COMPUTED_VALUE"""),43511.541030092594)</f>
        <v>43511.54103</v>
      </c>
      <c r="F564" s="4" t="str">
        <f>IFERROR(__xludf.DUMMYFUNCTION("""COMPUTED_VALUE""")," ---")</f>
        <v> ---</v>
      </c>
      <c r="G564" s="4" t="str">
        <f>IFERROR(__xludf.DUMMYFUNCTION("""COMPUTED_VALUE"""),"Beta SUSE Linux Enterprise Server 15 SP1")</f>
        <v>Beta SUSE Linux Enterprise Server 15 SP1</v>
      </c>
      <c r="H564" s="7" t="str">
        <f t="shared" si="2"/>
        <v>NO</v>
      </c>
      <c r="I564" s="7" t="str">
        <f t="shared" si="3"/>
        <v>NO</v>
      </c>
    </row>
    <row r="565">
      <c r="A565" s="4">
        <f>IFERROR(__xludf.DUMMYFUNCTION("""COMPUTED_VALUE"""),1113484.0)</f>
        <v>1113484</v>
      </c>
      <c r="B565" s="4" t="str">
        <f>IFERROR(__xludf.DUMMYFUNCTION("""COMPUTED_VALUE"""),"P5 - None")</f>
        <v>P5 - None</v>
      </c>
      <c r="C565" s="5">
        <f>IFERROR(__xludf.DUMMYFUNCTION("""COMPUTED_VALUE"""),43399.42429398148)</f>
        <v>43399.42429</v>
      </c>
      <c r="D565" s="4" t="str">
        <f>IFERROR(__xludf.DUMMYFUNCTION("""COMPUTED_VALUE"""),"RESOLVED")</f>
        <v>RESOLVED</v>
      </c>
      <c r="E565" s="6">
        <f>IFERROR(__xludf.DUMMYFUNCTION("""COMPUTED_VALUE"""),43630.62789351852)</f>
        <v>43630.62789</v>
      </c>
      <c r="F565" s="4" t="str">
        <f>IFERROR(__xludf.DUMMYFUNCTION("""COMPUTED_VALUE""")," ---")</f>
        <v> ---</v>
      </c>
      <c r="G565" s="4" t="str">
        <f>IFERROR(__xludf.DUMMYFUNCTION("""COMPUTED_VALUE"""),"SUSE Linux Enterprise Server 15 SP1")</f>
        <v>SUSE Linux Enterprise Server 15 SP1</v>
      </c>
      <c r="H565" s="7" t="str">
        <f t="shared" si="2"/>
        <v>NO</v>
      </c>
      <c r="I565" s="7" t="str">
        <f t="shared" si="3"/>
        <v>NO</v>
      </c>
    </row>
    <row r="566">
      <c r="A566" s="4">
        <f>IFERROR(__xludf.DUMMYFUNCTION("""COMPUTED_VALUE"""),1113509.0)</f>
        <v>1113509</v>
      </c>
      <c r="B566" s="4" t="str">
        <f>IFERROR(__xludf.DUMMYFUNCTION("""COMPUTED_VALUE"""),"P5 - None")</f>
        <v>P5 - None</v>
      </c>
      <c r="C566" s="5">
        <f>IFERROR(__xludf.DUMMYFUNCTION("""COMPUTED_VALUE"""),43399.47974537037)</f>
        <v>43399.47975</v>
      </c>
      <c r="D566" s="4" t="str">
        <f>IFERROR(__xludf.DUMMYFUNCTION("""COMPUTED_VALUE"""),"RESOLVED")</f>
        <v>RESOLVED</v>
      </c>
      <c r="E566" s="6">
        <f>IFERROR(__xludf.DUMMYFUNCTION("""COMPUTED_VALUE"""),43630.62810185185)</f>
        <v>43630.6281</v>
      </c>
      <c r="F566" s="4" t="str">
        <f>IFERROR(__xludf.DUMMYFUNCTION("""COMPUTED_VALUE""")," ---")</f>
        <v> ---</v>
      </c>
      <c r="G566" s="4" t="str">
        <f>IFERROR(__xludf.DUMMYFUNCTION("""COMPUTED_VALUE"""),"SUSE Linux Enterprise Server 15 SP1")</f>
        <v>SUSE Linux Enterprise Server 15 SP1</v>
      </c>
      <c r="H566" s="7" t="str">
        <f t="shared" si="2"/>
        <v>NO</v>
      </c>
      <c r="I566" s="7" t="str">
        <f t="shared" si="3"/>
        <v>NO</v>
      </c>
    </row>
    <row r="567">
      <c r="A567" s="4">
        <f>IFERROR(__xludf.DUMMYFUNCTION("""COMPUTED_VALUE"""),1113511.0)</f>
        <v>1113511</v>
      </c>
      <c r="B567" s="4" t="str">
        <f>IFERROR(__xludf.DUMMYFUNCTION("""COMPUTED_VALUE"""),"P5 - None")</f>
        <v>P5 - None</v>
      </c>
      <c r="C567" s="5">
        <f>IFERROR(__xludf.DUMMYFUNCTION("""COMPUTED_VALUE"""),43399.47997685185)</f>
        <v>43399.47998</v>
      </c>
      <c r="D567" s="4" t="str">
        <f>IFERROR(__xludf.DUMMYFUNCTION("""COMPUTED_VALUE"""),"RESOLVED")</f>
        <v>RESOLVED</v>
      </c>
      <c r="E567" s="6">
        <f>IFERROR(__xludf.DUMMYFUNCTION("""COMPUTED_VALUE"""),43413.359560185185)</f>
        <v>43413.35956</v>
      </c>
      <c r="F567" s="4" t="str">
        <f>IFERROR(__xludf.DUMMYFUNCTION("""COMPUTED_VALUE""")," ---")</f>
        <v> ---</v>
      </c>
      <c r="G567" s="4" t="str">
        <f>IFERROR(__xludf.DUMMYFUNCTION("""COMPUTED_VALUE"""),"SUSE Linux Enterprise Server 15 SP1")</f>
        <v>SUSE Linux Enterprise Server 15 SP1</v>
      </c>
      <c r="H567" s="7" t="str">
        <f t="shared" si="2"/>
        <v>NO</v>
      </c>
      <c r="I567" s="7" t="str">
        <f t="shared" si="3"/>
        <v>NO</v>
      </c>
    </row>
    <row r="568">
      <c r="A568" s="4">
        <f>IFERROR(__xludf.DUMMYFUNCTION("""COMPUTED_VALUE"""),1113520.0)</f>
        <v>1113520</v>
      </c>
      <c r="B568" s="4" t="str">
        <f>IFERROR(__xludf.DUMMYFUNCTION("""COMPUTED_VALUE"""),"P5 - None")</f>
        <v>P5 - None</v>
      </c>
      <c r="C568" s="5">
        <f>IFERROR(__xludf.DUMMYFUNCTION("""COMPUTED_VALUE"""),43399.507893518516)</f>
        <v>43399.50789</v>
      </c>
      <c r="D568" s="4" t="str">
        <f>IFERROR(__xludf.DUMMYFUNCTION("""COMPUTED_VALUE"""),"RESOLVED")</f>
        <v>RESOLVED</v>
      </c>
      <c r="E568" s="6">
        <f>IFERROR(__xludf.DUMMYFUNCTION("""COMPUTED_VALUE"""),43630.628229166665)</f>
        <v>43630.62823</v>
      </c>
      <c r="F568" s="4" t="str">
        <f>IFERROR(__xludf.DUMMYFUNCTION("""COMPUTED_VALUE""")," ---")</f>
        <v> ---</v>
      </c>
      <c r="G568" s="4" t="str">
        <f>IFERROR(__xludf.DUMMYFUNCTION("""COMPUTED_VALUE"""),"SUSE Linux Enterprise Server 15 SP1")</f>
        <v>SUSE Linux Enterprise Server 15 SP1</v>
      </c>
      <c r="H568" s="7" t="str">
        <f t="shared" si="2"/>
        <v>NO</v>
      </c>
      <c r="I568" s="7" t="str">
        <f t="shared" si="3"/>
        <v>NO</v>
      </c>
    </row>
    <row r="569">
      <c r="A569" s="4">
        <f>IFERROR(__xludf.DUMMYFUNCTION("""COMPUTED_VALUE"""),1115382.0)</f>
        <v>1115382</v>
      </c>
      <c r="B569" s="4" t="str">
        <f>IFERROR(__xludf.DUMMYFUNCTION("""COMPUTED_VALUE"""),"P5 - None")</f>
        <v>P5 - None</v>
      </c>
      <c r="C569" s="5">
        <f>IFERROR(__xludf.DUMMYFUNCTION("""COMPUTED_VALUE"""),43413.465625)</f>
        <v>43413.46563</v>
      </c>
      <c r="D569" s="4" t="str">
        <f>IFERROR(__xludf.DUMMYFUNCTION("""COMPUTED_VALUE"""),"RESOLVED")</f>
        <v>RESOLVED</v>
      </c>
      <c r="E569" s="6">
        <f>IFERROR(__xludf.DUMMYFUNCTION("""COMPUTED_VALUE"""),43630.62883101852)</f>
        <v>43630.62883</v>
      </c>
      <c r="F569" s="4" t="str">
        <f>IFERROR(__xludf.DUMMYFUNCTION("""COMPUTED_VALUE""")," ---")</f>
        <v> ---</v>
      </c>
      <c r="G569" s="4" t="str">
        <f>IFERROR(__xludf.DUMMYFUNCTION("""COMPUTED_VALUE"""),"SUSE Linux Enterprise Server 15 SP1")</f>
        <v>SUSE Linux Enterprise Server 15 SP1</v>
      </c>
      <c r="H569" s="7" t="str">
        <f t="shared" si="2"/>
        <v>NO</v>
      </c>
      <c r="I569" s="7" t="str">
        <f t="shared" si="3"/>
        <v>NO</v>
      </c>
    </row>
    <row r="570">
      <c r="A570" s="4">
        <f>IFERROR(__xludf.DUMMYFUNCTION("""COMPUTED_VALUE"""),1115424.0)</f>
        <v>1115424</v>
      </c>
      <c r="B570" s="4" t="str">
        <f>IFERROR(__xludf.DUMMYFUNCTION("""COMPUTED_VALUE"""),"P5 - None")</f>
        <v>P5 - None</v>
      </c>
      <c r="C570" s="5">
        <f>IFERROR(__xludf.DUMMYFUNCTION("""COMPUTED_VALUE"""),43413.5490625)</f>
        <v>43413.54906</v>
      </c>
      <c r="D570" s="4" t="str">
        <f>IFERROR(__xludf.DUMMYFUNCTION("""COMPUTED_VALUE"""),"RESOLVED")</f>
        <v>RESOLVED</v>
      </c>
      <c r="E570" s="6">
        <f>IFERROR(__xludf.DUMMYFUNCTION("""COMPUTED_VALUE"""),43630.62892361111)</f>
        <v>43630.62892</v>
      </c>
      <c r="F570" s="4" t="str">
        <f>IFERROR(__xludf.DUMMYFUNCTION("""COMPUTED_VALUE""")," ---")</f>
        <v> ---</v>
      </c>
      <c r="G570" s="4" t="str">
        <f>IFERROR(__xludf.DUMMYFUNCTION("""COMPUTED_VALUE"""),"SUSE Linux Enterprise Server 15 SP1")</f>
        <v>SUSE Linux Enterprise Server 15 SP1</v>
      </c>
      <c r="H570" s="7" t="str">
        <f t="shared" si="2"/>
        <v>NO</v>
      </c>
      <c r="I570" s="7" t="str">
        <f t="shared" si="3"/>
        <v>NO</v>
      </c>
    </row>
    <row r="571">
      <c r="A571" s="4">
        <f>IFERROR(__xludf.DUMMYFUNCTION("""COMPUTED_VALUE"""),1129168.0)</f>
        <v>1129168</v>
      </c>
      <c r="B571" s="4" t="str">
        <f>IFERROR(__xludf.DUMMYFUNCTION("""COMPUTED_VALUE"""),"P5 - None")</f>
        <v>P5 - None</v>
      </c>
      <c r="C571" s="5">
        <f>IFERROR(__xludf.DUMMYFUNCTION("""COMPUTED_VALUE"""),43538.33530092592)</f>
        <v>43538.3353</v>
      </c>
      <c r="D571" s="4" t="str">
        <f>IFERROR(__xludf.DUMMYFUNCTION("""COMPUTED_VALUE"""),"RESOLVED")</f>
        <v>RESOLVED</v>
      </c>
      <c r="E571" s="6">
        <f>IFERROR(__xludf.DUMMYFUNCTION("""COMPUTED_VALUE"""),43630.63543981482)</f>
        <v>43630.63544</v>
      </c>
      <c r="F571" s="4" t="str">
        <f>IFERROR(__xludf.DUMMYFUNCTION("""COMPUTED_VALUE""")," ---")</f>
        <v> ---</v>
      </c>
      <c r="G571" s="4" t="str">
        <f>IFERROR(__xludf.DUMMYFUNCTION("""COMPUTED_VALUE"""),"SUSE Linux Enterprise Server 15 SP1")</f>
        <v>SUSE Linux Enterprise Server 15 SP1</v>
      </c>
      <c r="H571" s="7" t="str">
        <f t="shared" si="2"/>
        <v>NO</v>
      </c>
      <c r="I571" s="7" t="str">
        <f t="shared" si="3"/>
        <v>NO</v>
      </c>
    </row>
    <row r="572">
      <c r="A572" s="4">
        <f>IFERROR(__xludf.DUMMYFUNCTION("""COMPUTED_VALUE"""),1138101.0)</f>
        <v>1138101</v>
      </c>
      <c r="B572" s="4" t="str">
        <f>IFERROR(__xludf.DUMMYFUNCTION("""COMPUTED_VALUE"""),"P5 - None")</f>
        <v>P5 - None</v>
      </c>
      <c r="C572" s="5">
        <f>IFERROR(__xludf.DUMMYFUNCTION("""COMPUTED_VALUE"""),43629.27546296296)</f>
        <v>43629.27546</v>
      </c>
      <c r="D572" s="4" t="str">
        <f>IFERROR(__xludf.DUMMYFUNCTION("""COMPUTED_VALUE"""),"RESOLVED")</f>
        <v>RESOLVED</v>
      </c>
      <c r="E572" s="6">
        <f>IFERROR(__xludf.DUMMYFUNCTION("""COMPUTED_VALUE"""),43761.49321759259)</f>
        <v>43761.49322</v>
      </c>
      <c r="F572" s="4" t="str">
        <f>IFERROR(__xludf.DUMMYFUNCTION("""COMPUTED_VALUE""")," ---")</f>
        <v> ---</v>
      </c>
      <c r="G572" s="4" t="str">
        <f>IFERROR(__xludf.DUMMYFUNCTION("""COMPUTED_VALUE"""),"Beta SUSE Linux Enterprise Server 15 SP1")</f>
        <v>Beta SUSE Linux Enterprise Server 15 SP1</v>
      </c>
      <c r="H572" s="7" t="str">
        <f t="shared" si="2"/>
        <v>NO</v>
      </c>
      <c r="I572" s="7" t="str">
        <f t="shared" si="3"/>
        <v>NO</v>
      </c>
    </row>
    <row r="573">
      <c r="A573" s="4">
        <f>IFERROR(__xludf.DUMMYFUNCTION("""COMPUTED_VALUE"""),1138102.0)</f>
        <v>1138102</v>
      </c>
      <c r="B573" s="4" t="str">
        <f>IFERROR(__xludf.DUMMYFUNCTION("""COMPUTED_VALUE"""),"P5 - None")</f>
        <v>P5 - None</v>
      </c>
      <c r="C573" s="5">
        <f>IFERROR(__xludf.DUMMYFUNCTION("""COMPUTED_VALUE"""),43629.276192129626)</f>
        <v>43629.27619</v>
      </c>
      <c r="D573" s="4" t="str">
        <f>IFERROR(__xludf.DUMMYFUNCTION("""COMPUTED_VALUE"""),"RESOLVED")</f>
        <v>RESOLVED</v>
      </c>
      <c r="E573" s="6">
        <f>IFERROR(__xludf.DUMMYFUNCTION("""COMPUTED_VALUE"""),43761.49261574074)</f>
        <v>43761.49262</v>
      </c>
      <c r="F573" s="4" t="str">
        <f>IFERROR(__xludf.DUMMYFUNCTION("""COMPUTED_VALUE""")," ---")</f>
        <v> ---</v>
      </c>
      <c r="G573" s="4" t="str">
        <f>IFERROR(__xludf.DUMMYFUNCTION("""COMPUTED_VALUE"""),"Beta SUSE Linux Enterprise Server 15 SP1")</f>
        <v>Beta SUSE Linux Enterprise Server 15 SP1</v>
      </c>
      <c r="H573" s="7" t="str">
        <f t="shared" si="2"/>
        <v>NO</v>
      </c>
      <c r="I573" s="7" t="str">
        <f t="shared" si="3"/>
        <v>NO</v>
      </c>
    </row>
    <row r="574">
      <c r="A574" s="4">
        <f>IFERROR(__xludf.DUMMYFUNCTION("""COMPUTED_VALUE"""),1138103.0)</f>
        <v>1138103</v>
      </c>
      <c r="B574" s="4" t="str">
        <f>IFERROR(__xludf.DUMMYFUNCTION("""COMPUTED_VALUE"""),"P5 - None")</f>
        <v>P5 - None</v>
      </c>
      <c r="C574" s="5">
        <f>IFERROR(__xludf.DUMMYFUNCTION("""COMPUTED_VALUE"""),43629.27693287037)</f>
        <v>43629.27693</v>
      </c>
      <c r="D574" s="4" t="str">
        <f>IFERROR(__xludf.DUMMYFUNCTION("""COMPUTED_VALUE"""),"RESOLVED")</f>
        <v>RESOLVED</v>
      </c>
      <c r="E574" s="6">
        <f>IFERROR(__xludf.DUMMYFUNCTION("""COMPUTED_VALUE"""),43761.494305555556)</f>
        <v>43761.49431</v>
      </c>
      <c r="F574" s="4" t="str">
        <f>IFERROR(__xludf.DUMMYFUNCTION("""COMPUTED_VALUE""")," ---")</f>
        <v> ---</v>
      </c>
      <c r="G574" s="4" t="str">
        <f>IFERROR(__xludf.DUMMYFUNCTION("""COMPUTED_VALUE"""),"Beta SUSE Linux Enterprise Server 15 SP1")</f>
        <v>Beta SUSE Linux Enterprise Server 15 SP1</v>
      </c>
      <c r="H574" s="7" t="str">
        <f t="shared" si="2"/>
        <v>NO</v>
      </c>
      <c r="I574" s="7" t="str">
        <f t="shared" si="3"/>
        <v>NO</v>
      </c>
    </row>
    <row r="575">
      <c r="A575" s="4">
        <f>IFERROR(__xludf.DUMMYFUNCTION("""COMPUTED_VALUE"""),1138104.0)</f>
        <v>1138104</v>
      </c>
      <c r="B575" s="4" t="str">
        <f>IFERROR(__xludf.DUMMYFUNCTION("""COMPUTED_VALUE"""),"P5 - None")</f>
        <v>P5 - None</v>
      </c>
      <c r="C575" s="5">
        <f>IFERROR(__xludf.DUMMYFUNCTION("""COMPUTED_VALUE"""),43629.277708333335)</f>
        <v>43629.27771</v>
      </c>
      <c r="D575" s="4" t="str">
        <f>IFERROR(__xludf.DUMMYFUNCTION("""COMPUTED_VALUE"""),"RESOLVED")</f>
        <v>RESOLVED</v>
      </c>
      <c r="E575" s="6">
        <f>IFERROR(__xludf.DUMMYFUNCTION("""COMPUTED_VALUE"""),43761.49591435185)</f>
        <v>43761.49591</v>
      </c>
      <c r="F575" s="4" t="str">
        <f>IFERROR(__xludf.DUMMYFUNCTION("""COMPUTED_VALUE""")," ---")</f>
        <v> ---</v>
      </c>
      <c r="G575" s="4" t="str">
        <f>IFERROR(__xludf.DUMMYFUNCTION("""COMPUTED_VALUE"""),"Beta SUSE Linux Enterprise Server 15 SP1")</f>
        <v>Beta SUSE Linux Enterprise Server 15 SP1</v>
      </c>
      <c r="H575" s="7" t="str">
        <f t="shared" si="2"/>
        <v>NO</v>
      </c>
      <c r="I575" s="7" t="str">
        <f t="shared" si="3"/>
        <v>NO</v>
      </c>
    </row>
    <row r="576">
      <c r="A576" s="4">
        <f>IFERROR(__xludf.DUMMYFUNCTION("""COMPUTED_VALUE"""),1138361.0)</f>
        <v>1138361</v>
      </c>
      <c r="B576" s="4" t="str">
        <f>IFERROR(__xludf.DUMMYFUNCTION("""COMPUTED_VALUE"""),"P5 - None")</f>
        <v>P5 - None</v>
      </c>
      <c r="C576" s="5">
        <f>IFERROR(__xludf.DUMMYFUNCTION("""COMPUTED_VALUE"""),43632.04288194444)</f>
        <v>43632.04288</v>
      </c>
      <c r="D576" s="4" t="str">
        <f>IFERROR(__xludf.DUMMYFUNCTION("""COMPUTED_VALUE"""),"RESOLVED")</f>
        <v>RESOLVED</v>
      </c>
      <c r="E576" s="6">
        <f>IFERROR(__xludf.DUMMYFUNCTION("""COMPUTED_VALUE"""),43761.49505787037)</f>
        <v>43761.49506</v>
      </c>
      <c r="F576" s="4" t="str">
        <f>IFERROR(__xludf.DUMMYFUNCTION("""COMPUTED_VALUE""")," ---")</f>
        <v> ---</v>
      </c>
      <c r="G576" s="4" t="str">
        <f>IFERROR(__xludf.DUMMYFUNCTION("""COMPUTED_VALUE"""),"Beta SUSE Linux Enterprise Server 15 SP1")</f>
        <v>Beta SUSE Linux Enterprise Server 15 SP1</v>
      </c>
      <c r="H576" s="7" t="str">
        <f t="shared" si="2"/>
        <v>NO</v>
      </c>
      <c r="I576" s="7" t="str">
        <f t="shared" si="3"/>
        <v>NO</v>
      </c>
    </row>
    <row r="577">
      <c r="A577" s="4">
        <f>IFERROR(__xludf.DUMMYFUNCTION("""COMPUTED_VALUE"""),1138362.0)</f>
        <v>1138362</v>
      </c>
      <c r="B577" s="4" t="str">
        <f>IFERROR(__xludf.DUMMYFUNCTION("""COMPUTED_VALUE"""),"P5 - None")</f>
        <v>P5 - None</v>
      </c>
      <c r="C577" s="5">
        <f>IFERROR(__xludf.DUMMYFUNCTION("""COMPUTED_VALUE"""),43632.043703703705)</f>
        <v>43632.0437</v>
      </c>
      <c r="D577" s="4" t="str">
        <f>IFERROR(__xludf.DUMMYFUNCTION("""COMPUTED_VALUE"""),"RESOLVED")</f>
        <v>RESOLVED</v>
      </c>
      <c r="E577" s="6">
        <f>IFERROR(__xludf.DUMMYFUNCTION("""COMPUTED_VALUE"""),43761.49537037037)</f>
        <v>43761.49537</v>
      </c>
      <c r="F577" s="4" t="str">
        <f>IFERROR(__xludf.DUMMYFUNCTION("""COMPUTED_VALUE""")," ---")</f>
        <v> ---</v>
      </c>
      <c r="G577" s="4" t="str">
        <f>IFERROR(__xludf.DUMMYFUNCTION("""COMPUTED_VALUE"""),"Beta SUSE Linux Enterprise Server 15 SP1")</f>
        <v>Beta SUSE Linux Enterprise Server 15 SP1</v>
      </c>
      <c r="H577" s="7" t="str">
        <f t="shared" si="2"/>
        <v>NO</v>
      </c>
      <c r="I577" s="7" t="str">
        <f t="shared" si="3"/>
        <v>NO</v>
      </c>
    </row>
    <row r="578">
      <c r="A578" s="4">
        <f>IFERROR(__xludf.DUMMYFUNCTION("""COMPUTED_VALUE"""),1138363.0)</f>
        <v>1138363</v>
      </c>
      <c r="B578" s="4" t="str">
        <f>IFERROR(__xludf.DUMMYFUNCTION("""COMPUTED_VALUE"""),"P5 - None")</f>
        <v>P5 - None</v>
      </c>
      <c r="C578" s="5">
        <f>IFERROR(__xludf.DUMMYFUNCTION("""COMPUTED_VALUE"""),43632.04425925926)</f>
        <v>43632.04426</v>
      </c>
      <c r="D578" s="4" t="str">
        <f>IFERROR(__xludf.DUMMYFUNCTION("""COMPUTED_VALUE"""),"RESOLVED")</f>
        <v>RESOLVED</v>
      </c>
      <c r="E578" s="6">
        <f>IFERROR(__xludf.DUMMYFUNCTION("""COMPUTED_VALUE"""),43761.49371527778)</f>
        <v>43761.49372</v>
      </c>
      <c r="F578" s="4" t="str">
        <f>IFERROR(__xludf.DUMMYFUNCTION("""COMPUTED_VALUE""")," ---")</f>
        <v> ---</v>
      </c>
      <c r="G578" s="4" t="str">
        <f>IFERROR(__xludf.DUMMYFUNCTION("""COMPUTED_VALUE"""),"Beta SUSE Linux Enterprise Server 15 SP1")</f>
        <v>Beta SUSE Linux Enterprise Server 15 SP1</v>
      </c>
      <c r="H578" s="7" t="str">
        <f t="shared" si="2"/>
        <v>NO</v>
      </c>
      <c r="I578" s="7" t="str">
        <f t="shared" si="3"/>
        <v>NO</v>
      </c>
    </row>
    <row r="579">
      <c r="A579" s="4">
        <f>IFERROR(__xludf.DUMMYFUNCTION("""COMPUTED_VALUE"""),1138732.0)</f>
        <v>1138732</v>
      </c>
      <c r="B579" s="4" t="str">
        <f>IFERROR(__xludf.DUMMYFUNCTION("""COMPUTED_VALUE"""),"P5 - None")</f>
        <v>P5 - None</v>
      </c>
      <c r="C579" s="5">
        <f>IFERROR(__xludf.DUMMYFUNCTION("""COMPUTED_VALUE"""),43635.57570601852)</f>
        <v>43635.57571</v>
      </c>
      <c r="D579" s="4" t="str">
        <f>IFERROR(__xludf.DUMMYFUNCTION("""COMPUTED_VALUE"""),"RESOLVED")</f>
        <v>RESOLVED</v>
      </c>
      <c r="E579" s="6">
        <f>IFERROR(__xludf.DUMMYFUNCTION("""COMPUTED_VALUE"""),43731.61100694445)</f>
        <v>43731.61101</v>
      </c>
      <c r="F579" s="4" t="str">
        <f>IFERROR(__xludf.DUMMYFUNCTION("""COMPUTED_VALUE""")," ---")</f>
        <v> ---</v>
      </c>
      <c r="G579" s="4" t="str">
        <f>IFERROR(__xludf.DUMMYFUNCTION("""COMPUTED_VALUE"""),"SUSE Linux Enterprise Server 15 SP1")</f>
        <v>SUSE Linux Enterprise Server 15 SP1</v>
      </c>
      <c r="H579" s="7" t="str">
        <f t="shared" si="2"/>
        <v>NO</v>
      </c>
      <c r="I579" s="7" t="str">
        <f t="shared" si="3"/>
        <v>NO</v>
      </c>
    </row>
    <row r="580">
      <c r="A580" s="4">
        <f>IFERROR(__xludf.DUMMYFUNCTION("""COMPUTED_VALUE"""),1126191.0)</f>
        <v>1126191</v>
      </c>
      <c r="B580" s="4" t="str">
        <f>IFERROR(__xludf.DUMMYFUNCTION("""COMPUTED_VALUE"""),"P5 - None")</f>
        <v>P5 - None</v>
      </c>
      <c r="C580" s="5">
        <f>IFERROR(__xludf.DUMMYFUNCTION("""COMPUTED_VALUE"""),43517.259560185186)</f>
        <v>43517.25956</v>
      </c>
      <c r="D580" s="4" t="str">
        <f>IFERROR(__xludf.DUMMYFUNCTION("""COMPUTED_VALUE"""),"RESOLVED")</f>
        <v>RESOLVED</v>
      </c>
      <c r="E580" s="6">
        <f>IFERROR(__xludf.DUMMYFUNCTION("""COMPUTED_VALUE"""),43630.633425925924)</f>
        <v>43630.63343</v>
      </c>
      <c r="F580" s="4" t="str">
        <f>IFERROR(__xludf.DUMMYFUNCTION("""COMPUTED_VALUE""")," ---")</f>
        <v> ---</v>
      </c>
      <c r="G580" s="4" t="str">
        <f>IFERROR(__xludf.DUMMYFUNCTION("""COMPUTED_VALUE"""),"SUSE Linux Enterprise Server 15 SP1")</f>
        <v>SUSE Linux Enterprise Server 15 SP1</v>
      </c>
      <c r="H580" s="7" t="str">
        <f t="shared" si="2"/>
        <v>NO</v>
      </c>
      <c r="I580" s="7" t="str">
        <f t="shared" si="3"/>
        <v>NO</v>
      </c>
    </row>
    <row r="581">
      <c r="A581" s="4">
        <f>IFERROR(__xludf.DUMMYFUNCTION("""COMPUTED_VALUE"""),1129330.0)</f>
        <v>1129330</v>
      </c>
      <c r="B581" s="4" t="str">
        <f>IFERROR(__xludf.DUMMYFUNCTION("""COMPUTED_VALUE"""),"P5 - None")</f>
        <v>P5 - None</v>
      </c>
      <c r="C581" s="5">
        <f>IFERROR(__xludf.DUMMYFUNCTION("""COMPUTED_VALUE"""),43539.1280787037)</f>
        <v>43539.12808</v>
      </c>
      <c r="D581" s="4" t="str">
        <f>IFERROR(__xludf.DUMMYFUNCTION("""COMPUTED_VALUE"""),"RESOLVED")</f>
        <v>RESOLVED</v>
      </c>
      <c r="E581" s="6">
        <f>IFERROR(__xludf.DUMMYFUNCTION("""COMPUTED_VALUE"""),44624.89011574074)</f>
        <v>44624.89012</v>
      </c>
      <c r="F581" s="4" t="str">
        <f>IFERROR(__xludf.DUMMYFUNCTION("""COMPUTED_VALUE""")," ---")</f>
        <v> ---</v>
      </c>
      <c r="G581" s="4" t="str">
        <f>IFERROR(__xludf.DUMMYFUNCTION("""COMPUTED_VALUE"""),"SUSE Linux Enterprise Server 15 SP1")</f>
        <v>SUSE Linux Enterprise Server 15 SP1</v>
      </c>
      <c r="H581" s="7" t="str">
        <f t="shared" si="2"/>
        <v>NO</v>
      </c>
      <c r="I581" s="7" t="str">
        <f t="shared" si="3"/>
        <v>NO</v>
      </c>
    </row>
    <row r="582">
      <c r="A582" s="4">
        <f>IFERROR(__xludf.DUMMYFUNCTION("""COMPUTED_VALUE"""),1128741.0)</f>
        <v>1128741</v>
      </c>
      <c r="B582" s="4" t="str">
        <f>IFERROR(__xludf.DUMMYFUNCTION("""COMPUTED_VALUE"""),"P5 - None")</f>
        <v>P5 - None</v>
      </c>
      <c r="C582" s="5">
        <f>IFERROR(__xludf.DUMMYFUNCTION("""COMPUTED_VALUE"""),43535.60836805555)</f>
        <v>43535.60837</v>
      </c>
      <c r="D582" s="4" t="str">
        <f>IFERROR(__xludf.DUMMYFUNCTION("""COMPUTED_VALUE"""),"RESOLVED")</f>
        <v>RESOLVED</v>
      </c>
      <c r="E582" s="6">
        <f>IFERROR(__xludf.DUMMYFUNCTION("""COMPUTED_VALUE"""),43538.60388888889)</f>
        <v>43538.60389</v>
      </c>
      <c r="F582" s="4" t="str">
        <f>IFERROR(__xludf.DUMMYFUNCTION("""COMPUTED_VALUE""")," ---")</f>
        <v> ---</v>
      </c>
      <c r="G582" s="4" t="str">
        <f>IFERROR(__xludf.DUMMYFUNCTION("""COMPUTED_VALUE"""),"SUSE Linux Enterprise Server 15 SP1")</f>
        <v>SUSE Linux Enterprise Server 15 SP1</v>
      </c>
      <c r="H582" s="7" t="str">
        <f t="shared" si="2"/>
        <v>NO</v>
      </c>
      <c r="I582" s="7" t="str">
        <f t="shared" si="3"/>
        <v>NO</v>
      </c>
    </row>
    <row r="583">
      <c r="A583" s="4">
        <f>IFERROR(__xludf.DUMMYFUNCTION("""COMPUTED_VALUE"""),1116223.0)</f>
        <v>1116223</v>
      </c>
      <c r="B583" s="4" t="str">
        <f>IFERROR(__xludf.DUMMYFUNCTION("""COMPUTED_VALUE"""),"P5 - None")</f>
        <v>P5 - None</v>
      </c>
      <c r="C583" s="5">
        <f>IFERROR(__xludf.DUMMYFUNCTION("""COMPUTED_VALUE"""),43419.652719907404)</f>
        <v>43419.65272</v>
      </c>
      <c r="D583" s="4" t="str">
        <f>IFERROR(__xludf.DUMMYFUNCTION("""COMPUTED_VALUE"""),"VERIFIED")</f>
        <v>VERIFIED</v>
      </c>
      <c r="E583" s="6">
        <f>IFERROR(__xludf.DUMMYFUNCTION("""COMPUTED_VALUE"""),43486.387337962966)</f>
        <v>43486.38734</v>
      </c>
      <c r="F583" s="4" t="str">
        <f>IFERROR(__xludf.DUMMYFUNCTION("""COMPUTED_VALUE""")," ---")</f>
        <v> ---</v>
      </c>
      <c r="G583" s="4" t="str">
        <f>IFERROR(__xludf.DUMMYFUNCTION("""COMPUTED_VALUE"""),"SUSE Linux Enterprise Server 15 SP1")</f>
        <v>SUSE Linux Enterprise Server 15 SP1</v>
      </c>
      <c r="H583" s="7" t="str">
        <f t="shared" si="2"/>
        <v>NO</v>
      </c>
      <c r="I583" s="7" t="str">
        <f t="shared" si="3"/>
        <v>NO</v>
      </c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7.5"/>
    <col customWidth="1" min="4" max="4" width="8.88"/>
    <col customWidth="1" min="5" max="6" width="17.5"/>
    <col customWidth="1" min="7" max="7" width="12.0"/>
    <col customWidth="1" min="8" max="27" width="17.5"/>
  </cols>
  <sheetData>
    <row r="1">
      <c r="A1" s="10" t="s">
        <v>2</v>
      </c>
      <c r="B1" s="11"/>
      <c r="C1" s="11"/>
      <c r="D1" s="12"/>
      <c r="E1" s="12"/>
      <c r="F1" s="12"/>
      <c r="G1" s="1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0"/>
      <c r="B2" s="11"/>
      <c r="C2" s="11"/>
      <c r="D2" s="12"/>
      <c r="E2" s="12"/>
      <c r="F2" s="12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4" t="s">
        <v>3</v>
      </c>
      <c r="B3" s="11"/>
      <c r="C3" s="11"/>
      <c r="D3" s="12"/>
      <c r="E3" s="12"/>
      <c r="F3" s="12"/>
      <c r="G3" s="13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5" t="s">
        <v>4</v>
      </c>
      <c r="B4" s="16" t="s">
        <v>5</v>
      </c>
      <c r="C4" s="16" t="s">
        <v>6</v>
      </c>
      <c r="D4" s="17" t="s">
        <v>7</v>
      </c>
      <c r="E4" s="16" t="s">
        <v>8</v>
      </c>
      <c r="F4" s="17" t="s">
        <v>9</v>
      </c>
      <c r="G4" s="18" t="s">
        <v>10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9" t="s">
        <v>11</v>
      </c>
      <c r="B5" s="20">
        <v>44363.0</v>
      </c>
      <c r="C5" s="21">
        <v>44511.0</v>
      </c>
      <c r="D5" s="22">
        <f t="shared" ref="D5:D8" si="1">C5-B5</f>
        <v>148</v>
      </c>
      <c r="E5" s="22">
        <f>countifs(cdate_sp4, "&gt;" &amp; $B5, cdate_sp4,"&lt;=" &amp; $C5)</f>
        <v>91</v>
      </c>
      <c r="F5" s="22">
        <f>countifs(cdate_sp4, "&gt;" &amp; $B5, cdate_sp4,"&lt;=" &amp; $C5, prd_sp4,"SUSE Linux Enterprise Server 15 SP4")</f>
        <v>89</v>
      </c>
      <c r="G5" s="23">
        <f t="shared" ref="G5:G8" si="2">F5/D5</f>
        <v>0.6013513514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9" t="s">
        <v>12</v>
      </c>
      <c r="B6" s="21">
        <v>44511.0</v>
      </c>
      <c r="C6" s="20">
        <v>44616.0</v>
      </c>
      <c r="D6" s="22">
        <f t="shared" si="1"/>
        <v>105</v>
      </c>
      <c r="E6" s="22">
        <f>countifs(cdate_sp4, "&gt;" &amp; B6, cdate_sp4,"&lt;=" &amp; C6)</f>
        <v>199</v>
      </c>
      <c r="F6" s="22">
        <f>countifs(cdate_sp4, "&gt;" &amp; $B6, cdate_sp4,"&lt;=" &amp; $C6, prd_sp4,"SUSE Linux Enterprise Server 15 SP4")</f>
        <v>175</v>
      </c>
      <c r="G6" s="23">
        <f t="shared" si="2"/>
        <v>1.666666667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9" t="s">
        <v>13</v>
      </c>
      <c r="B7" s="20">
        <v>44616.0</v>
      </c>
      <c r="C7" s="21">
        <v>44679.0</v>
      </c>
      <c r="D7" s="22">
        <f t="shared" si="1"/>
        <v>63</v>
      </c>
      <c r="E7" s="22">
        <f>countifs(cdate_sp4, "&gt;" &amp; B7, cdate_sp4,"&lt;=" &amp; C7)</f>
        <v>118</v>
      </c>
      <c r="F7" s="22">
        <f>countifs(cdate_sp4, "&gt;" &amp; $B7, cdate_sp4,"&lt;=" &amp; $C7, prd_sp4,"SUSE Linux Enterprise Server 15 SP4")</f>
        <v>104</v>
      </c>
      <c r="G7" s="23">
        <f t="shared" si="2"/>
        <v>1.650793651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24" t="s">
        <v>14</v>
      </c>
      <c r="B8" s="21">
        <v>44679.0</v>
      </c>
      <c r="C8" s="20">
        <v>44742.0</v>
      </c>
      <c r="D8" s="22">
        <f t="shared" si="1"/>
        <v>63</v>
      </c>
      <c r="E8" s="22">
        <f>countifs(cdate_sp4, "&gt;" &amp; B8, cdate_sp4,"&lt;=" &amp; C8)</f>
        <v>88</v>
      </c>
      <c r="F8" s="22">
        <f>countifs(cdate_sp4, "&gt;" &amp; $B8, cdate_sp4,"&lt;=" &amp; $C8, prd_sp4,"SUSE Linux Enterprise Server 15 SP4")</f>
        <v>76</v>
      </c>
      <c r="G8" s="23">
        <f t="shared" si="2"/>
        <v>1.206349206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1"/>
      <c r="C9" s="11"/>
      <c r="D9" s="12"/>
      <c r="E9" s="25">
        <f t="shared" ref="E9:F9" si="3">SUM(E5:E8)</f>
        <v>496</v>
      </c>
      <c r="F9" s="25">
        <f t="shared" si="3"/>
        <v>444</v>
      </c>
      <c r="G9" s="23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4" t="s">
        <v>15</v>
      </c>
      <c r="B10" s="11"/>
      <c r="C10" s="11"/>
      <c r="D10" s="12"/>
      <c r="E10" s="12"/>
      <c r="F10" s="12"/>
      <c r="G10" s="23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5" t="s">
        <v>4</v>
      </c>
      <c r="B11" s="16" t="s">
        <v>5</v>
      </c>
      <c r="C11" s="16" t="s">
        <v>6</v>
      </c>
      <c r="D11" s="17" t="s">
        <v>7</v>
      </c>
      <c r="E11" s="16" t="s">
        <v>8</v>
      </c>
      <c r="F11" s="17" t="s">
        <v>9</v>
      </c>
      <c r="G11" s="17" t="s">
        <v>10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9" t="s">
        <v>11</v>
      </c>
      <c r="B12" s="21">
        <v>43998.0</v>
      </c>
      <c r="C12" s="21">
        <v>44127.0</v>
      </c>
      <c r="D12" s="22">
        <f t="shared" ref="D12:D15" si="4">C12-B12</f>
        <v>129</v>
      </c>
      <c r="E12" s="22">
        <f>countifs(cdate_sp3, "&gt;" &amp; $B12, cdate_sp3,"&lt;=" &amp; $C12)</f>
        <v>75</v>
      </c>
      <c r="F12" s="22">
        <f>countifs(cdate_sp3, "&gt;" &amp; $B12, cdate_sp3,"&lt;=" &amp; $C12, prd_sp3, "SUSE Linux Enterprise Server 15 SP3")</f>
        <v>75</v>
      </c>
      <c r="G12" s="26">
        <f t="shared" ref="G12:G15" si="5">F12/D12</f>
        <v>0.5813953488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9" t="s">
        <v>12</v>
      </c>
      <c r="B13" s="21">
        <v>44127.0</v>
      </c>
      <c r="C13" s="21">
        <v>44257.0</v>
      </c>
      <c r="D13" s="22">
        <f t="shared" si="4"/>
        <v>130</v>
      </c>
      <c r="E13" s="22">
        <f>countifs(cdate_sp3, "&gt;" &amp; B13, cdate_sp3,"&lt;=" &amp; C13)</f>
        <v>199</v>
      </c>
      <c r="F13" s="22">
        <f>countifs(cdate_sp3, "&gt;" &amp; $B13, cdate_sp3,"&lt;=" &amp; $C13, prd_sp3, "SUSE Linux Enterprise Server 15 SP3")</f>
        <v>191</v>
      </c>
      <c r="G13" s="26">
        <f t="shared" si="5"/>
        <v>1.469230769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9" t="s">
        <v>13</v>
      </c>
      <c r="B14" s="21">
        <v>44257.0</v>
      </c>
      <c r="C14" s="21">
        <v>44316.0</v>
      </c>
      <c r="D14" s="22">
        <f t="shared" si="4"/>
        <v>59</v>
      </c>
      <c r="E14" s="22">
        <f>countifs(cdate_sp3, "&gt;" &amp; B14, cdate_sp3,"&lt;=" &amp; C14)</f>
        <v>112</v>
      </c>
      <c r="F14" s="22">
        <f>countifs(cdate_sp3, "&gt;" &amp; $B14, cdate_sp3,"&lt;=" &amp; $C14, prd_sp3, "SUSE Linux Enterprise Server 15 SP3")</f>
        <v>107</v>
      </c>
      <c r="G14" s="26">
        <f t="shared" si="5"/>
        <v>1.813559322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27" t="s">
        <v>14</v>
      </c>
      <c r="B15" s="21">
        <v>44316.0</v>
      </c>
      <c r="C15" s="21">
        <v>44377.0</v>
      </c>
      <c r="D15" s="22">
        <f t="shared" si="4"/>
        <v>61</v>
      </c>
      <c r="E15" s="22">
        <f>countifs(cdate_sp3, "&gt;" &amp; B15, cdate_sp3,"&lt;=" &amp; C15)</f>
        <v>86</v>
      </c>
      <c r="F15" s="22">
        <f>countifs(cdate_sp3, "&gt;" &amp; $B15, cdate_sp3,"&lt;=" &amp; $C15, prd_sp3, "SUSE Linux Enterprise Server 15 SP3")</f>
        <v>75</v>
      </c>
      <c r="G15" s="26">
        <f t="shared" si="5"/>
        <v>1.229508197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1"/>
      <c r="C16" s="11"/>
      <c r="D16" s="12"/>
      <c r="E16" s="25">
        <f t="shared" ref="E16:F16" si="6">SUM(E12:E15)</f>
        <v>472</v>
      </c>
      <c r="F16" s="25">
        <f t="shared" si="6"/>
        <v>448</v>
      </c>
      <c r="G16" s="23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4" t="s">
        <v>16</v>
      </c>
      <c r="B17" s="11"/>
      <c r="C17" s="11"/>
      <c r="D17" s="12"/>
      <c r="E17" s="12"/>
      <c r="F17" s="12"/>
      <c r="G17" s="2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5" t="s">
        <v>4</v>
      </c>
      <c r="B18" s="16" t="s">
        <v>5</v>
      </c>
      <c r="C18" s="16" t="s">
        <v>6</v>
      </c>
      <c r="D18" s="17" t="s">
        <v>7</v>
      </c>
      <c r="E18" s="16" t="s">
        <v>8</v>
      </c>
      <c r="F18" s="17" t="s">
        <v>9</v>
      </c>
      <c r="G18" s="17" t="s">
        <v>10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9" t="s">
        <v>11</v>
      </c>
      <c r="B19" s="21">
        <v>43632.0</v>
      </c>
      <c r="C19" s="21">
        <v>43784.0</v>
      </c>
      <c r="D19" s="22">
        <f t="shared" ref="D19:D22" si="7">C19-B19</f>
        <v>152</v>
      </c>
      <c r="E19" s="22">
        <f>countifs(cdate_sp2, "&gt;" &amp; $B19, cdate_sp2,"&lt;=" &amp; $C19)</f>
        <v>93</v>
      </c>
      <c r="F19" s="22">
        <f>countifs(cdate_sp2, "&gt;" &amp; $B19, cdate_sp2,"&lt;=" &amp; $C19, prd_sp2, "SUSE Linux Enterprise Server 15 SP2")</f>
        <v>91</v>
      </c>
      <c r="G19" s="26">
        <f t="shared" ref="G19:G22" si="8">F19/D19</f>
        <v>0.5986842105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9" t="s">
        <v>12</v>
      </c>
      <c r="B20" s="21">
        <v>43784.0</v>
      </c>
      <c r="C20" s="21">
        <v>43896.0</v>
      </c>
      <c r="D20" s="22">
        <f t="shared" si="7"/>
        <v>112</v>
      </c>
      <c r="E20" s="22">
        <f>countifs(cdate_sp2, "&gt;" &amp; B20, cdate_sp2,"&lt;=" &amp; C20)</f>
        <v>430</v>
      </c>
      <c r="F20" s="22">
        <f>countifs(cdate_sp2, "&gt;" &amp; $B20, cdate_sp2,"&lt;=" &amp; $C20, prd_sp2, "SUSE Linux Enterprise Server 15 SP2")</f>
        <v>428</v>
      </c>
      <c r="G20" s="26">
        <f t="shared" si="8"/>
        <v>3.821428571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9" t="s">
        <v>13</v>
      </c>
      <c r="B21" s="21">
        <v>43896.0</v>
      </c>
      <c r="C21" s="21">
        <v>43980.0</v>
      </c>
      <c r="D21" s="22">
        <f t="shared" si="7"/>
        <v>84</v>
      </c>
      <c r="E21" s="22">
        <f>countifs(cdate_sp2, "&gt;" &amp; B21, cdate_sp2,"&lt;=" &amp; C21)</f>
        <v>296</v>
      </c>
      <c r="F21" s="22">
        <f>countifs(cdate_sp2, "&gt;" &amp; $B21, cdate_sp2,"&lt;=" &amp; $C21, prd_sp2, "SUSE Linux Enterprise Server 15 SP2")</f>
        <v>295</v>
      </c>
      <c r="G21" s="26">
        <f t="shared" si="8"/>
        <v>3.511904762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27" t="s">
        <v>14</v>
      </c>
      <c r="B22" s="21">
        <v>43980.0</v>
      </c>
      <c r="C22" s="21">
        <v>44012.0</v>
      </c>
      <c r="D22" s="22">
        <f t="shared" si="7"/>
        <v>32</v>
      </c>
      <c r="E22" s="22">
        <f>countifs(cdate_sp2, "&gt;" &amp; B22, cdate_sp2,"&lt;=" &amp; C22)</f>
        <v>65</v>
      </c>
      <c r="F22" s="22">
        <f>countifs(cdate_sp2, "&gt;" &amp; $B22, cdate_sp2,"&lt;=" &amp; $C22, prd_sp2, "SUSE Linux Enterprise Server 15 SP2")</f>
        <v>63</v>
      </c>
      <c r="G22" s="26">
        <f t="shared" si="8"/>
        <v>1.96875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1"/>
      <c r="C23" s="11"/>
      <c r="D23" s="12"/>
      <c r="E23" s="25">
        <f t="shared" ref="E23:F23" si="9">SUM(E19:E22)</f>
        <v>884</v>
      </c>
      <c r="F23" s="25">
        <f t="shared" si="9"/>
        <v>877</v>
      </c>
      <c r="G23" s="23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4" t="s">
        <v>17</v>
      </c>
      <c r="B24" s="11"/>
      <c r="C24" s="11"/>
      <c r="D24" s="12"/>
      <c r="E24" s="12"/>
      <c r="F24" s="12"/>
      <c r="G24" s="23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5" t="s">
        <v>4</v>
      </c>
      <c r="B25" s="16" t="s">
        <v>5</v>
      </c>
      <c r="C25" s="16" t="s">
        <v>6</v>
      </c>
      <c r="D25" s="17" t="s">
        <v>7</v>
      </c>
      <c r="E25" s="16" t="s">
        <v>8</v>
      </c>
      <c r="F25" s="17" t="s">
        <v>9</v>
      </c>
      <c r="G25" s="17" t="s">
        <v>10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9" t="s">
        <v>11</v>
      </c>
      <c r="B26" s="21">
        <v>43267.0</v>
      </c>
      <c r="C26" s="21">
        <v>43440.0</v>
      </c>
      <c r="D26" s="22">
        <f t="shared" ref="D26:D29" si="10">C26-B26</f>
        <v>173</v>
      </c>
      <c r="E26" s="22">
        <f>countifs(cdate_sp1, "&gt;" &amp; $B26, cdate_sp1,"&lt;=" &amp; $C26)</f>
        <v>138</v>
      </c>
      <c r="F26" s="22">
        <f>countifs(cdate_sp1, "&gt;" &amp; $B26, cdate_sp1,"&lt;=" &amp; $C26,prd_sp1, "SUSE Linux Enterprise Server 15 SP1")</f>
        <v>137</v>
      </c>
      <c r="G26" s="26">
        <f t="shared" ref="G26:G29" si="11">F26/D26</f>
        <v>0.7919075145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9" t="s">
        <v>12</v>
      </c>
      <c r="B27" s="21">
        <v>43440.0</v>
      </c>
      <c r="C27" s="21">
        <v>43517.0</v>
      </c>
      <c r="D27" s="22">
        <f t="shared" si="10"/>
        <v>77</v>
      </c>
      <c r="E27" s="22">
        <f>countifs(cdate_sp1, "&gt;" &amp; B27, cdate_sp1,"&lt;=" &amp; C27)</f>
        <v>141</v>
      </c>
      <c r="F27" s="22">
        <f>countifs(cdate_sp1, "&gt;" &amp; $B27, cdate_sp1,"&lt;=" &amp; $C27,prd_sp1, "SUSE Linux Enterprise Server 15 SP1")</f>
        <v>123</v>
      </c>
      <c r="G27" s="26">
        <f t="shared" si="11"/>
        <v>1.597402597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9" t="s">
        <v>13</v>
      </c>
      <c r="B28" s="21">
        <v>43517.0</v>
      </c>
      <c r="C28" s="21">
        <v>43566.0</v>
      </c>
      <c r="D28" s="22">
        <f t="shared" si="10"/>
        <v>49</v>
      </c>
      <c r="E28" s="22">
        <f>countifs(cdate_sp1, "&gt;" &amp; B28, cdate_sp1,"&lt;=" &amp; C28)</f>
        <v>157</v>
      </c>
      <c r="F28" s="22">
        <f>countifs(cdate_sp1, "&gt;" &amp; $B28, cdate_sp1,"&lt;=" &amp; $C28,prd_sp1, "SUSE Linux Enterprise Server 15 SP1")</f>
        <v>140</v>
      </c>
      <c r="G28" s="26">
        <f t="shared" si="11"/>
        <v>2.857142857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27" t="s">
        <v>14</v>
      </c>
      <c r="B29" s="21">
        <v>43566.0</v>
      </c>
      <c r="C29" s="21">
        <v>43646.0</v>
      </c>
      <c r="D29" s="22">
        <f t="shared" si="10"/>
        <v>80</v>
      </c>
      <c r="E29" s="22">
        <f>countifs(cdate_sp1, "&gt;" &amp; B29, cdate_sp1,"&lt;=" &amp; C29)</f>
        <v>146</v>
      </c>
      <c r="F29" s="22">
        <f>countifs(cdate_sp1, "&gt;" &amp; $B29, cdate_sp1,"&lt;=" &amp; $C29,prd_sp1, "SUSE Linux Enterprise Server 15 SP1")</f>
        <v>68</v>
      </c>
      <c r="G29" s="26">
        <f t="shared" si="11"/>
        <v>0.85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1"/>
      <c r="C30" s="11"/>
      <c r="D30" s="28"/>
      <c r="E30" s="25">
        <f t="shared" ref="E30:F30" si="12">SUM(E26:E29)</f>
        <v>582</v>
      </c>
      <c r="F30" s="25">
        <f t="shared" si="12"/>
        <v>468</v>
      </c>
      <c r="G30" s="23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1"/>
      <c r="C31" s="11"/>
      <c r="D31" s="12"/>
      <c r="E31" s="12"/>
      <c r="F31" s="12"/>
      <c r="G31" s="13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1"/>
      <c r="C32" s="11"/>
      <c r="D32" s="12"/>
      <c r="E32" s="12"/>
      <c r="F32" s="12"/>
      <c r="G32" s="13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1"/>
      <c r="C33" s="11"/>
      <c r="D33" s="12"/>
      <c r="E33" s="12"/>
      <c r="F33" s="12"/>
      <c r="G33" s="13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1"/>
      <c r="C34" s="11"/>
      <c r="D34" s="12"/>
      <c r="E34" s="12"/>
      <c r="F34" s="12"/>
      <c r="G34" s="13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1"/>
      <c r="C35" s="11"/>
      <c r="D35" s="12"/>
      <c r="E35" s="12"/>
      <c r="F35" s="12"/>
      <c r="G35" s="13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1"/>
      <c r="C36" s="11"/>
      <c r="D36" s="12"/>
      <c r="E36" s="12"/>
      <c r="F36" s="12"/>
      <c r="G36" s="13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1"/>
      <c r="C37" s="11"/>
      <c r="D37" s="12"/>
      <c r="E37" s="12"/>
      <c r="F37" s="12"/>
      <c r="G37" s="13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1"/>
      <c r="C38" s="11"/>
      <c r="D38" s="12"/>
      <c r="E38" s="12"/>
      <c r="F38" s="12"/>
      <c r="G38" s="13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1"/>
      <c r="C39" s="11"/>
      <c r="D39" s="12"/>
      <c r="E39" s="12"/>
      <c r="F39" s="12"/>
      <c r="G39" s="13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1"/>
      <c r="C40" s="11"/>
      <c r="D40" s="12"/>
      <c r="E40" s="12"/>
      <c r="F40" s="12"/>
      <c r="G40" s="13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1"/>
      <c r="C41" s="11"/>
      <c r="D41" s="12"/>
      <c r="E41" s="12"/>
      <c r="F41" s="12"/>
      <c r="G41" s="13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1"/>
      <c r="C42" s="11"/>
      <c r="D42" s="12"/>
      <c r="E42" s="12"/>
      <c r="F42" s="12"/>
      <c r="G42" s="13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1"/>
      <c r="C43" s="11"/>
      <c r="D43" s="12"/>
      <c r="E43" s="12"/>
      <c r="F43" s="12"/>
      <c r="G43" s="13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1"/>
      <c r="C44" s="11"/>
      <c r="D44" s="12"/>
      <c r="E44" s="12"/>
      <c r="F44" s="12"/>
      <c r="G44" s="13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1"/>
      <c r="C45" s="11"/>
      <c r="D45" s="12"/>
      <c r="E45" s="12"/>
      <c r="F45" s="12"/>
      <c r="G45" s="13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1"/>
      <c r="C46" s="11"/>
      <c r="D46" s="12"/>
      <c r="E46" s="12"/>
      <c r="F46" s="12"/>
      <c r="G46" s="13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1"/>
      <c r="C47" s="11"/>
      <c r="D47" s="12"/>
      <c r="E47" s="12"/>
      <c r="F47" s="12"/>
      <c r="G47" s="13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1"/>
      <c r="C48" s="11"/>
      <c r="D48" s="12"/>
      <c r="E48" s="12"/>
      <c r="F48" s="12"/>
      <c r="G48" s="13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1"/>
      <c r="C49" s="11"/>
      <c r="D49" s="12"/>
      <c r="E49" s="12"/>
      <c r="F49" s="12"/>
      <c r="G49" s="13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1"/>
      <c r="C50" s="11"/>
      <c r="D50" s="12"/>
      <c r="E50" s="12"/>
      <c r="F50" s="12"/>
      <c r="G50" s="13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1"/>
      <c r="C51" s="11"/>
      <c r="D51" s="12"/>
      <c r="E51" s="12"/>
      <c r="F51" s="12"/>
      <c r="G51" s="13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1"/>
      <c r="C52" s="11"/>
      <c r="D52" s="12"/>
      <c r="E52" s="12"/>
      <c r="F52" s="12"/>
      <c r="G52" s="13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1"/>
      <c r="C53" s="11"/>
      <c r="D53" s="12"/>
      <c r="E53" s="12"/>
      <c r="F53" s="12"/>
      <c r="G53" s="13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1"/>
      <c r="C54" s="11"/>
      <c r="D54" s="12"/>
      <c r="E54" s="12"/>
      <c r="F54" s="12"/>
      <c r="G54" s="13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1"/>
      <c r="C55" s="11"/>
      <c r="D55" s="12"/>
      <c r="E55" s="12"/>
      <c r="F55" s="12"/>
      <c r="G55" s="13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1"/>
      <c r="C56" s="11"/>
      <c r="D56" s="12"/>
      <c r="E56" s="12"/>
      <c r="F56" s="12"/>
      <c r="G56" s="13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1"/>
      <c r="C57" s="11"/>
      <c r="D57" s="12"/>
      <c r="E57" s="12"/>
      <c r="F57" s="12"/>
      <c r="G57" s="13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1"/>
      <c r="C58" s="11"/>
      <c r="D58" s="12"/>
      <c r="E58" s="12"/>
      <c r="F58" s="12"/>
      <c r="G58" s="13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1"/>
      <c r="C59" s="11"/>
      <c r="D59" s="12"/>
      <c r="E59" s="12"/>
      <c r="F59" s="12"/>
      <c r="G59" s="13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1"/>
      <c r="C60" s="11"/>
      <c r="D60" s="12"/>
      <c r="E60" s="12"/>
      <c r="F60" s="12"/>
      <c r="G60" s="13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1"/>
      <c r="C61" s="11"/>
      <c r="D61" s="12"/>
      <c r="E61" s="12"/>
      <c r="F61" s="12"/>
      <c r="G61" s="13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1"/>
      <c r="C62" s="11"/>
      <c r="D62" s="12"/>
      <c r="E62" s="12"/>
      <c r="F62" s="12"/>
      <c r="G62" s="13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1"/>
      <c r="C63" s="11"/>
      <c r="D63" s="12"/>
      <c r="E63" s="12"/>
      <c r="F63" s="12"/>
      <c r="G63" s="13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1"/>
      <c r="C64" s="11"/>
      <c r="D64" s="12"/>
      <c r="E64" s="12"/>
      <c r="F64" s="12"/>
      <c r="G64" s="13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1"/>
      <c r="C65" s="11"/>
      <c r="D65" s="12"/>
      <c r="E65" s="12"/>
      <c r="F65" s="12"/>
      <c r="G65" s="13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1"/>
      <c r="C66" s="11"/>
      <c r="D66" s="12"/>
      <c r="E66" s="12"/>
      <c r="F66" s="12"/>
      <c r="G66" s="13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1"/>
      <c r="C67" s="11"/>
      <c r="D67" s="12"/>
      <c r="E67" s="12"/>
      <c r="F67" s="12"/>
      <c r="G67" s="13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1"/>
      <c r="C68" s="11"/>
      <c r="D68" s="12"/>
      <c r="E68" s="12"/>
      <c r="F68" s="12"/>
      <c r="G68" s="13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1"/>
      <c r="C69" s="11"/>
      <c r="D69" s="12"/>
      <c r="E69" s="12"/>
      <c r="F69" s="12"/>
      <c r="G69" s="13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1"/>
      <c r="C70" s="11"/>
      <c r="D70" s="12"/>
      <c r="E70" s="12"/>
      <c r="F70" s="12"/>
      <c r="G70" s="13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1"/>
      <c r="C71" s="11"/>
      <c r="D71" s="12"/>
      <c r="E71" s="12"/>
      <c r="F71" s="12"/>
      <c r="G71" s="13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1"/>
      <c r="C72" s="11"/>
      <c r="D72" s="12"/>
      <c r="E72" s="12"/>
      <c r="F72" s="12"/>
      <c r="G72" s="13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1"/>
      <c r="C73" s="11"/>
      <c r="D73" s="12"/>
      <c r="E73" s="12"/>
      <c r="F73" s="12"/>
      <c r="G73" s="13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1"/>
      <c r="C74" s="11"/>
      <c r="D74" s="12"/>
      <c r="E74" s="12"/>
      <c r="F74" s="12"/>
      <c r="G74" s="13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1"/>
      <c r="C75" s="11"/>
      <c r="D75" s="12"/>
      <c r="E75" s="12"/>
      <c r="F75" s="12"/>
      <c r="G75" s="13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1"/>
      <c r="C76" s="11"/>
      <c r="D76" s="12"/>
      <c r="E76" s="12"/>
      <c r="F76" s="12"/>
      <c r="G76" s="13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1"/>
      <c r="C77" s="11"/>
      <c r="D77" s="12"/>
      <c r="E77" s="12"/>
      <c r="F77" s="12"/>
      <c r="G77" s="13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1"/>
      <c r="C78" s="11"/>
      <c r="D78" s="12"/>
      <c r="E78" s="12"/>
      <c r="F78" s="12"/>
      <c r="G78" s="13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1"/>
      <c r="C79" s="11"/>
      <c r="D79" s="12"/>
      <c r="E79" s="12"/>
      <c r="F79" s="12"/>
      <c r="G79" s="13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1"/>
      <c r="C80" s="11"/>
      <c r="D80" s="12"/>
      <c r="E80" s="12"/>
      <c r="F80" s="12"/>
      <c r="G80" s="13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1"/>
      <c r="C81" s="11"/>
      <c r="D81" s="12"/>
      <c r="E81" s="12"/>
      <c r="F81" s="12"/>
      <c r="G81" s="13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1"/>
      <c r="C82" s="11"/>
      <c r="D82" s="12"/>
      <c r="E82" s="12"/>
      <c r="F82" s="12"/>
      <c r="G82" s="13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1"/>
      <c r="C83" s="11"/>
      <c r="D83" s="12"/>
      <c r="E83" s="12"/>
      <c r="F83" s="12"/>
      <c r="G83" s="13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1"/>
      <c r="C84" s="11"/>
      <c r="D84" s="12"/>
      <c r="E84" s="12"/>
      <c r="F84" s="12"/>
      <c r="G84" s="13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1"/>
      <c r="C85" s="11"/>
      <c r="D85" s="12"/>
      <c r="E85" s="12"/>
      <c r="F85" s="12"/>
      <c r="G85" s="13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1"/>
      <c r="C86" s="11"/>
      <c r="D86" s="12"/>
      <c r="E86" s="12"/>
      <c r="F86" s="12"/>
      <c r="G86" s="13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1"/>
      <c r="C87" s="11"/>
      <c r="D87" s="12"/>
      <c r="E87" s="12"/>
      <c r="F87" s="12"/>
      <c r="G87" s="13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1"/>
      <c r="C88" s="11"/>
      <c r="D88" s="12"/>
      <c r="E88" s="12"/>
      <c r="F88" s="12"/>
      <c r="G88" s="13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1"/>
      <c r="C89" s="11"/>
      <c r="D89" s="12"/>
      <c r="E89" s="12"/>
      <c r="F89" s="12"/>
      <c r="G89" s="13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1"/>
      <c r="C90" s="11"/>
      <c r="D90" s="12"/>
      <c r="E90" s="12"/>
      <c r="F90" s="12"/>
      <c r="G90" s="13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1"/>
      <c r="C91" s="11"/>
      <c r="D91" s="12"/>
      <c r="E91" s="12"/>
      <c r="F91" s="12"/>
      <c r="G91" s="13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1"/>
      <c r="C92" s="11"/>
      <c r="D92" s="12"/>
      <c r="E92" s="12"/>
      <c r="F92" s="12"/>
      <c r="G92" s="13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1"/>
      <c r="C93" s="11"/>
      <c r="D93" s="12"/>
      <c r="E93" s="12"/>
      <c r="F93" s="12"/>
      <c r="G93" s="13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1"/>
      <c r="C94" s="11"/>
      <c r="D94" s="12"/>
      <c r="E94" s="12"/>
      <c r="F94" s="12"/>
      <c r="G94" s="13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1"/>
      <c r="C95" s="11"/>
      <c r="D95" s="12"/>
      <c r="E95" s="12"/>
      <c r="F95" s="12"/>
      <c r="G95" s="13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1"/>
      <c r="C96" s="11"/>
      <c r="D96" s="12"/>
      <c r="E96" s="12"/>
      <c r="F96" s="12"/>
      <c r="G96" s="13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1"/>
      <c r="C97" s="11"/>
      <c r="D97" s="12"/>
      <c r="E97" s="12"/>
      <c r="F97" s="12"/>
      <c r="G97" s="13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1"/>
      <c r="C98" s="11"/>
      <c r="D98" s="12"/>
      <c r="E98" s="12"/>
      <c r="F98" s="12"/>
      <c r="G98" s="13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1"/>
      <c r="C99" s="11"/>
      <c r="D99" s="12"/>
      <c r="E99" s="12"/>
      <c r="F99" s="12"/>
      <c r="G99" s="13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1"/>
      <c r="C100" s="11"/>
      <c r="D100" s="12"/>
      <c r="E100" s="12"/>
      <c r="F100" s="12"/>
      <c r="G100" s="13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1"/>
      <c r="C101" s="11"/>
      <c r="D101" s="12"/>
      <c r="E101" s="12"/>
      <c r="F101" s="12"/>
      <c r="G101" s="13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1"/>
      <c r="C102" s="11"/>
      <c r="D102" s="12"/>
      <c r="E102" s="12"/>
      <c r="F102" s="12"/>
      <c r="G102" s="13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1"/>
      <c r="C103" s="11"/>
      <c r="D103" s="12"/>
      <c r="E103" s="12"/>
      <c r="F103" s="12"/>
      <c r="G103" s="13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1"/>
      <c r="C104" s="11"/>
      <c r="D104" s="12"/>
      <c r="E104" s="12"/>
      <c r="F104" s="12"/>
      <c r="G104" s="13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1"/>
      <c r="C105" s="11"/>
      <c r="D105" s="12"/>
      <c r="E105" s="12"/>
      <c r="F105" s="12"/>
      <c r="G105" s="13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1"/>
      <c r="C106" s="11"/>
      <c r="D106" s="12"/>
      <c r="E106" s="12"/>
      <c r="F106" s="12"/>
      <c r="G106" s="13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1"/>
      <c r="C107" s="11"/>
      <c r="D107" s="12"/>
      <c r="E107" s="12"/>
      <c r="F107" s="12"/>
      <c r="G107" s="13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1"/>
      <c r="C108" s="11"/>
      <c r="D108" s="12"/>
      <c r="E108" s="12"/>
      <c r="F108" s="12"/>
      <c r="G108" s="13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1"/>
      <c r="C109" s="11"/>
      <c r="D109" s="12"/>
      <c r="E109" s="12"/>
      <c r="F109" s="12"/>
      <c r="G109" s="13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1"/>
      <c r="C110" s="11"/>
      <c r="D110" s="12"/>
      <c r="E110" s="12"/>
      <c r="F110" s="12"/>
      <c r="G110" s="13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1"/>
      <c r="C111" s="11"/>
      <c r="D111" s="12"/>
      <c r="E111" s="12"/>
      <c r="F111" s="12"/>
      <c r="G111" s="13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1"/>
      <c r="C112" s="11"/>
      <c r="D112" s="12"/>
      <c r="E112" s="12"/>
      <c r="F112" s="12"/>
      <c r="G112" s="13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1"/>
      <c r="C113" s="11"/>
      <c r="D113" s="12"/>
      <c r="E113" s="12"/>
      <c r="F113" s="12"/>
      <c r="G113" s="13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1"/>
      <c r="C114" s="11"/>
      <c r="D114" s="12"/>
      <c r="E114" s="12"/>
      <c r="F114" s="12"/>
      <c r="G114" s="1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1"/>
      <c r="C115" s="11"/>
      <c r="D115" s="12"/>
      <c r="E115" s="12"/>
      <c r="F115" s="12"/>
      <c r="G115" s="13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1"/>
      <c r="C116" s="11"/>
      <c r="D116" s="12"/>
      <c r="E116" s="12"/>
      <c r="F116" s="12"/>
      <c r="G116" s="13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1"/>
      <c r="C117" s="11"/>
      <c r="D117" s="12"/>
      <c r="E117" s="12"/>
      <c r="F117" s="12"/>
      <c r="G117" s="13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1"/>
      <c r="C118" s="11"/>
      <c r="D118" s="12"/>
      <c r="E118" s="12"/>
      <c r="F118" s="12"/>
      <c r="G118" s="13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1"/>
      <c r="C119" s="11"/>
      <c r="D119" s="12"/>
      <c r="E119" s="12"/>
      <c r="F119" s="12"/>
      <c r="G119" s="13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1"/>
      <c r="C120" s="11"/>
      <c r="D120" s="12"/>
      <c r="E120" s="12"/>
      <c r="F120" s="12"/>
      <c r="G120" s="13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1"/>
      <c r="C121" s="11"/>
      <c r="D121" s="12"/>
      <c r="E121" s="12"/>
      <c r="F121" s="12"/>
      <c r="G121" s="13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1"/>
      <c r="C122" s="11"/>
      <c r="D122" s="12"/>
      <c r="E122" s="12"/>
      <c r="F122" s="12"/>
      <c r="G122" s="13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1"/>
      <c r="C123" s="11"/>
      <c r="D123" s="12"/>
      <c r="E123" s="12"/>
      <c r="F123" s="12"/>
      <c r="G123" s="13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1"/>
      <c r="C124" s="11"/>
      <c r="D124" s="12"/>
      <c r="E124" s="12"/>
      <c r="F124" s="12"/>
      <c r="G124" s="13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1"/>
      <c r="C125" s="11"/>
      <c r="D125" s="12"/>
      <c r="E125" s="12"/>
      <c r="F125" s="12"/>
      <c r="G125" s="13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1"/>
      <c r="C126" s="11"/>
      <c r="D126" s="12"/>
      <c r="E126" s="12"/>
      <c r="F126" s="12"/>
      <c r="G126" s="13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1"/>
      <c r="C127" s="11"/>
      <c r="D127" s="12"/>
      <c r="E127" s="12"/>
      <c r="F127" s="12"/>
      <c r="G127" s="13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1"/>
      <c r="C128" s="11"/>
      <c r="D128" s="12"/>
      <c r="E128" s="12"/>
      <c r="F128" s="12"/>
      <c r="G128" s="1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1"/>
      <c r="C129" s="11"/>
      <c r="D129" s="12"/>
      <c r="E129" s="12"/>
      <c r="F129" s="12"/>
      <c r="G129" s="13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1"/>
      <c r="C130" s="11"/>
      <c r="D130" s="12"/>
      <c r="E130" s="12"/>
      <c r="F130" s="12"/>
      <c r="G130" s="1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1"/>
      <c r="C131" s="11"/>
      <c r="D131" s="12"/>
      <c r="E131" s="12"/>
      <c r="F131" s="12"/>
      <c r="G131" s="1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1"/>
      <c r="C132" s="11"/>
      <c r="D132" s="12"/>
      <c r="E132" s="12"/>
      <c r="F132" s="12"/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1"/>
      <c r="C133" s="11"/>
      <c r="D133" s="12"/>
      <c r="E133" s="12"/>
      <c r="F133" s="12"/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1"/>
      <c r="C134" s="11"/>
      <c r="D134" s="12"/>
      <c r="E134" s="12"/>
      <c r="F134" s="12"/>
      <c r="G134" s="1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1"/>
      <c r="C135" s="11"/>
      <c r="D135" s="12"/>
      <c r="E135" s="12"/>
      <c r="F135" s="12"/>
      <c r="G135" s="1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1"/>
      <c r="C136" s="11"/>
      <c r="D136" s="12"/>
      <c r="E136" s="12"/>
      <c r="F136" s="12"/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1"/>
      <c r="C137" s="11"/>
      <c r="D137" s="12"/>
      <c r="E137" s="12"/>
      <c r="F137" s="12"/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1"/>
      <c r="C138" s="11"/>
      <c r="D138" s="12"/>
      <c r="E138" s="12"/>
      <c r="F138" s="12"/>
      <c r="G138" s="1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1"/>
      <c r="C139" s="11"/>
      <c r="D139" s="12"/>
      <c r="E139" s="12"/>
      <c r="F139" s="12"/>
      <c r="G139" s="1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1"/>
      <c r="C140" s="11"/>
      <c r="D140" s="12"/>
      <c r="E140" s="12"/>
      <c r="F140" s="12"/>
      <c r="G140" s="1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1"/>
      <c r="C141" s="11"/>
      <c r="D141" s="12"/>
      <c r="E141" s="12"/>
      <c r="F141" s="12"/>
      <c r="G141" s="1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1"/>
      <c r="C142" s="11"/>
      <c r="D142" s="12"/>
      <c r="E142" s="12"/>
      <c r="F142" s="12"/>
      <c r="G142" s="1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1"/>
      <c r="C143" s="11"/>
      <c r="D143" s="12"/>
      <c r="E143" s="12"/>
      <c r="F143" s="12"/>
      <c r="G143" s="1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1"/>
      <c r="C144" s="11"/>
      <c r="D144" s="12"/>
      <c r="E144" s="12"/>
      <c r="F144" s="12"/>
      <c r="G144" s="1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1"/>
      <c r="C145" s="11"/>
      <c r="D145" s="12"/>
      <c r="E145" s="12"/>
      <c r="F145" s="12"/>
      <c r="G145" s="1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1"/>
      <c r="C146" s="11"/>
      <c r="D146" s="12"/>
      <c r="E146" s="12"/>
      <c r="F146" s="12"/>
      <c r="G146" s="1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1"/>
      <c r="C147" s="11"/>
      <c r="D147" s="12"/>
      <c r="E147" s="12"/>
      <c r="F147" s="12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1"/>
      <c r="C148" s="11"/>
      <c r="D148" s="12"/>
      <c r="E148" s="12"/>
      <c r="F148" s="12"/>
      <c r="G148" s="1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1"/>
      <c r="C149" s="11"/>
      <c r="D149" s="12"/>
      <c r="E149" s="12"/>
      <c r="F149" s="12"/>
      <c r="G149" s="1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1"/>
      <c r="C150" s="11"/>
      <c r="D150" s="12"/>
      <c r="E150" s="12"/>
      <c r="F150" s="12"/>
      <c r="G150" s="1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1"/>
      <c r="C151" s="11"/>
      <c r="D151" s="12"/>
      <c r="E151" s="12"/>
      <c r="F151" s="12"/>
      <c r="G151" s="1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1"/>
      <c r="C152" s="11"/>
      <c r="D152" s="12"/>
      <c r="E152" s="12"/>
      <c r="F152" s="12"/>
      <c r="G152" s="1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1"/>
      <c r="C153" s="11"/>
      <c r="D153" s="12"/>
      <c r="E153" s="12"/>
      <c r="F153" s="12"/>
      <c r="G153" s="1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1"/>
      <c r="C154" s="11"/>
      <c r="D154" s="12"/>
      <c r="E154" s="12"/>
      <c r="F154" s="12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1"/>
      <c r="C155" s="11"/>
      <c r="D155" s="12"/>
      <c r="E155" s="12"/>
      <c r="F155" s="12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1"/>
      <c r="C156" s="11"/>
      <c r="D156" s="12"/>
      <c r="E156" s="12"/>
      <c r="F156" s="12"/>
      <c r="G156" s="1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1"/>
      <c r="C157" s="11"/>
      <c r="D157" s="12"/>
      <c r="E157" s="12"/>
      <c r="F157" s="12"/>
      <c r="G157" s="1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1"/>
      <c r="C158" s="11"/>
      <c r="D158" s="12"/>
      <c r="E158" s="12"/>
      <c r="F158" s="12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1"/>
      <c r="C159" s="11"/>
      <c r="D159" s="12"/>
      <c r="E159" s="12"/>
      <c r="F159" s="12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1"/>
      <c r="C160" s="11"/>
      <c r="D160" s="12"/>
      <c r="E160" s="12"/>
      <c r="F160" s="12"/>
      <c r="G160" s="1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1"/>
      <c r="C161" s="11"/>
      <c r="D161" s="12"/>
      <c r="E161" s="12"/>
      <c r="F161" s="12"/>
      <c r="G161" s="1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1"/>
      <c r="C162" s="11"/>
      <c r="D162" s="12"/>
      <c r="E162" s="12"/>
      <c r="F162" s="12"/>
      <c r="G162" s="1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1"/>
      <c r="C163" s="11"/>
      <c r="D163" s="12"/>
      <c r="E163" s="12"/>
      <c r="F163" s="12"/>
      <c r="G163" s="1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1"/>
      <c r="C164" s="11"/>
      <c r="D164" s="12"/>
      <c r="E164" s="12"/>
      <c r="F164" s="12"/>
      <c r="G164" s="1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1"/>
      <c r="C165" s="11"/>
      <c r="D165" s="12"/>
      <c r="E165" s="12"/>
      <c r="F165" s="12"/>
      <c r="G165" s="1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1"/>
      <c r="C166" s="11"/>
      <c r="D166" s="12"/>
      <c r="E166" s="12"/>
      <c r="F166" s="12"/>
      <c r="G166" s="1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1"/>
      <c r="C167" s="11"/>
      <c r="D167" s="12"/>
      <c r="E167" s="12"/>
      <c r="F167" s="12"/>
      <c r="G167" s="1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1"/>
      <c r="C168" s="11"/>
      <c r="D168" s="12"/>
      <c r="E168" s="12"/>
      <c r="F168" s="12"/>
      <c r="G168" s="1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1"/>
      <c r="C169" s="11"/>
      <c r="D169" s="12"/>
      <c r="E169" s="12"/>
      <c r="F169" s="12"/>
      <c r="G169" s="1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1"/>
      <c r="C170" s="11"/>
      <c r="D170" s="12"/>
      <c r="E170" s="12"/>
      <c r="F170" s="12"/>
      <c r="G170" s="1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1"/>
      <c r="C171" s="11"/>
      <c r="D171" s="12"/>
      <c r="E171" s="12"/>
      <c r="F171" s="12"/>
      <c r="G171" s="1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1"/>
      <c r="C172" s="11"/>
      <c r="D172" s="12"/>
      <c r="E172" s="12"/>
      <c r="F172" s="12"/>
      <c r="G172" s="1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1"/>
      <c r="C173" s="11"/>
      <c r="D173" s="12"/>
      <c r="E173" s="12"/>
      <c r="F173" s="12"/>
      <c r="G173" s="1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1"/>
      <c r="C174" s="11"/>
      <c r="D174" s="12"/>
      <c r="E174" s="12"/>
      <c r="F174" s="12"/>
      <c r="G174" s="1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1"/>
      <c r="C175" s="11"/>
      <c r="D175" s="12"/>
      <c r="E175" s="12"/>
      <c r="F175" s="12"/>
      <c r="G175" s="1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1"/>
      <c r="C176" s="11"/>
      <c r="D176" s="12"/>
      <c r="E176" s="12"/>
      <c r="F176" s="12"/>
      <c r="G176" s="1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1"/>
      <c r="C177" s="11"/>
      <c r="D177" s="12"/>
      <c r="E177" s="12"/>
      <c r="F177" s="12"/>
      <c r="G177" s="1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1"/>
      <c r="C178" s="11"/>
      <c r="D178" s="12"/>
      <c r="E178" s="12"/>
      <c r="F178" s="12"/>
      <c r="G178" s="1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1"/>
      <c r="C179" s="11"/>
      <c r="D179" s="12"/>
      <c r="E179" s="12"/>
      <c r="F179" s="12"/>
      <c r="G179" s="1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1"/>
      <c r="C180" s="11"/>
      <c r="D180" s="12"/>
      <c r="E180" s="12"/>
      <c r="F180" s="12"/>
      <c r="G180" s="1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1"/>
      <c r="C181" s="11"/>
      <c r="D181" s="12"/>
      <c r="E181" s="12"/>
      <c r="F181" s="12"/>
      <c r="G181" s="1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1"/>
      <c r="C182" s="11"/>
      <c r="D182" s="12"/>
      <c r="E182" s="12"/>
      <c r="F182" s="12"/>
      <c r="G182" s="1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1"/>
      <c r="C183" s="11"/>
      <c r="D183" s="12"/>
      <c r="E183" s="12"/>
      <c r="F183" s="12"/>
      <c r="G183" s="1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1"/>
      <c r="C184" s="11"/>
      <c r="D184" s="12"/>
      <c r="E184" s="12"/>
      <c r="F184" s="12"/>
      <c r="G184" s="1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1"/>
      <c r="C185" s="11"/>
      <c r="D185" s="12"/>
      <c r="E185" s="12"/>
      <c r="F185" s="12"/>
      <c r="G185" s="1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1"/>
      <c r="C186" s="11"/>
      <c r="D186" s="12"/>
      <c r="E186" s="12"/>
      <c r="F186" s="12"/>
      <c r="G186" s="1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1"/>
      <c r="C187" s="11"/>
      <c r="D187" s="12"/>
      <c r="E187" s="12"/>
      <c r="F187" s="12"/>
      <c r="G187" s="1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1"/>
      <c r="C188" s="11"/>
      <c r="D188" s="12"/>
      <c r="E188" s="12"/>
      <c r="F188" s="12"/>
      <c r="G188" s="1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1"/>
      <c r="C189" s="11"/>
      <c r="D189" s="12"/>
      <c r="E189" s="12"/>
      <c r="F189" s="12"/>
      <c r="G189" s="1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1"/>
      <c r="C190" s="11"/>
      <c r="D190" s="12"/>
      <c r="E190" s="12"/>
      <c r="F190" s="12"/>
      <c r="G190" s="1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1"/>
      <c r="C191" s="11"/>
      <c r="D191" s="12"/>
      <c r="E191" s="12"/>
      <c r="F191" s="12"/>
      <c r="G191" s="1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1"/>
      <c r="C192" s="11"/>
      <c r="D192" s="12"/>
      <c r="E192" s="12"/>
      <c r="F192" s="12"/>
      <c r="G192" s="1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1"/>
      <c r="C193" s="11"/>
      <c r="D193" s="12"/>
      <c r="E193" s="12"/>
      <c r="F193" s="12"/>
      <c r="G193" s="1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1"/>
      <c r="C194" s="11"/>
      <c r="D194" s="12"/>
      <c r="E194" s="12"/>
      <c r="F194" s="12"/>
      <c r="G194" s="1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1"/>
      <c r="C195" s="11"/>
      <c r="D195" s="12"/>
      <c r="E195" s="12"/>
      <c r="F195" s="12"/>
      <c r="G195" s="1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1"/>
      <c r="C196" s="11"/>
      <c r="D196" s="12"/>
      <c r="E196" s="12"/>
      <c r="F196" s="12"/>
      <c r="G196" s="1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1"/>
      <c r="C197" s="11"/>
      <c r="D197" s="12"/>
      <c r="E197" s="12"/>
      <c r="F197" s="12"/>
      <c r="G197" s="1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1"/>
      <c r="C198" s="11"/>
      <c r="D198" s="12"/>
      <c r="E198" s="12"/>
      <c r="F198" s="12"/>
      <c r="G198" s="1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1"/>
      <c r="C199" s="11"/>
      <c r="D199" s="12"/>
      <c r="E199" s="12"/>
      <c r="F199" s="12"/>
      <c r="G199" s="1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1"/>
      <c r="C200" s="11"/>
      <c r="D200" s="12"/>
      <c r="E200" s="12"/>
      <c r="F200" s="12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1"/>
      <c r="C201" s="11"/>
      <c r="D201" s="12"/>
      <c r="E201" s="12"/>
      <c r="F201" s="12"/>
      <c r="G201" s="1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1"/>
      <c r="C202" s="11"/>
      <c r="D202" s="12"/>
      <c r="E202" s="12"/>
      <c r="F202" s="12"/>
      <c r="G202" s="1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1"/>
      <c r="C203" s="11"/>
      <c r="D203" s="12"/>
      <c r="E203" s="12"/>
      <c r="F203" s="12"/>
      <c r="G203" s="1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1"/>
      <c r="C204" s="11"/>
      <c r="D204" s="12"/>
      <c r="E204" s="12"/>
      <c r="F204" s="12"/>
      <c r="G204" s="1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1"/>
      <c r="C205" s="11"/>
      <c r="D205" s="12"/>
      <c r="E205" s="12"/>
      <c r="F205" s="12"/>
      <c r="G205" s="1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1"/>
      <c r="C206" s="11"/>
      <c r="D206" s="12"/>
      <c r="E206" s="12"/>
      <c r="F206" s="12"/>
      <c r="G206" s="1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1"/>
      <c r="C207" s="11"/>
      <c r="D207" s="12"/>
      <c r="E207" s="12"/>
      <c r="F207" s="12"/>
      <c r="G207" s="1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1"/>
      <c r="C208" s="11"/>
      <c r="D208" s="12"/>
      <c r="E208" s="12"/>
      <c r="F208" s="12"/>
      <c r="G208" s="1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1"/>
      <c r="C209" s="11"/>
      <c r="D209" s="12"/>
      <c r="E209" s="12"/>
      <c r="F209" s="12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1"/>
      <c r="C210" s="11"/>
      <c r="D210" s="12"/>
      <c r="E210" s="12"/>
      <c r="F210" s="12"/>
      <c r="G210" s="1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1"/>
      <c r="C211" s="11"/>
      <c r="D211" s="12"/>
      <c r="E211" s="12"/>
      <c r="F211" s="12"/>
      <c r="G211" s="1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1"/>
      <c r="C212" s="11"/>
      <c r="D212" s="12"/>
      <c r="E212" s="12"/>
      <c r="F212" s="12"/>
      <c r="G212" s="1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1"/>
      <c r="C213" s="11"/>
      <c r="D213" s="12"/>
      <c r="E213" s="12"/>
      <c r="F213" s="12"/>
      <c r="G213" s="1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1"/>
      <c r="C214" s="11"/>
      <c r="D214" s="12"/>
      <c r="E214" s="12"/>
      <c r="F214" s="12"/>
      <c r="G214" s="1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1"/>
      <c r="C215" s="11"/>
      <c r="D215" s="12"/>
      <c r="E215" s="12"/>
      <c r="F215" s="12"/>
      <c r="G215" s="1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1"/>
      <c r="C216" s="11"/>
      <c r="D216" s="12"/>
      <c r="E216" s="12"/>
      <c r="F216" s="12"/>
      <c r="G216" s="1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1"/>
      <c r="C217" s="11"/>
      <c r="D217" s="12"/>
      <c r="E217" s="12"/>
      <c r="F217" s="12"/>
      <c r="G217" s="1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1"/>
      <c r="C218" s="11"/>
      <c r="D218" s="12"/>
      <c r="E218" s="12"/>
      <c r="F218" s="12"/>
      <c r="G218" s="1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1"/>
      <c r="C219" s="11"/>
      <c r="D219" s="12"/>
      <c r="E219" s="12"/>
      <c r="F219" s="12"/>
      <c r="G219" s="1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1"/>
      <c r="C220" s="11"/>
      <c r="D220" s="12"/>
      <c r="E220" s="12"/>
      <c r="F220" s="12"/>
      <c r="G220" s="1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1"/>
      <c r="C221" s="11"/>
      <c r="D221" s="12"/>
      <c r="E221" s="12"/>
      <c r="F221" s="12"/>
      <c r="G221" s="1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1"/>
      <c r="C222" s="11"/>
      <c r="D222" s="12"/>
      <c r="E222" s="12"/>
      <c r="F222" s="12"/>
      <c r="G222" s="1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1"/>
      <c r="C223" s="11"/>
      <c r="D223" s="12"/>
      <c r="E223" s="12"/>
      <c r="F223" s="12"/>
      <c r="G223" s="1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1"/>
      <c r="C224" s="11"/>
      <c r="D224" s="12"/>
      <c r="E224" s="12"/>
      <c r="F224" s="12"/>
      <c r="G224" s="1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1"/>
      <c r="C225" s="11"/>
      <c r="D225" s="12"/>
      <c r="E225" s="12"/>
      <c r="F225" s="12"/>
      <c r="G225" s="1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1"/>
      <c r="C226" s="11"/>
      <c r="D226" s="12"/>
      <c r="E226" s="12"/>
      <c r="F226" s="12"/>
      <c r="G226" s="1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1"/>
      <c r="C227" s="11"/>
      <c r="D227" s="12"/>
      <c r="E227" s="12"/>
      <c r="F227" s="12"/>
      <c r="G227" s="1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1"/>
      <c r="C228" s="11"/>
      <c r="D228" s="12"/>
      <c r="E228" s="12"/>
      <c r="F228" s="12"/>
      <c r="G228" s="1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1"/>
      <c r="C229" s="11"/>
      <c r="D229" s="12"/>
      <c r="E229" s="12"/>
      <c r="F229" s="12"/>
      <c r="G229" s="1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1"/>
      <c r="C230" s="11"/>
      <c r="D230" s="12"/>
      <c r="E230" s="12"/>
      <c r="F230" s="12"/>
      <c r="G230" s="1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1"/>
      <c r="C231" s="11"/>
      <c r="D231" s="12"/>
      <c r="E231" s="12"/>
      <c r="F231" s="12"/>
      <c r="G231" s="1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1"/>
      <c r="C232" s="11"/>
      <c r="D232" s="12"/>
      <c r="E232" s="12"/>
      <c r="F232" s="12"/>
      <c r="G232" s="1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1"/>
      <c r="C233" s="11"/>
      <c r="D233" s="12"/>
      <c r="E233" s="12"/>
      <c r="F233" s="12"/>
      <c r="G233" s="1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1"/>
      <c r="C234" s="11"/>
      <c r="D234" s="12"/>
      <c r="E234" s="12"/>
      <c r="F234" s="12"/>
      <c r="G234" s="1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1"/>
      <c r="C235" s="11"/>
      <c r="D235" s="12"/>
      <c r="E235" s="12"/>
      <c r="F235" s="12"/>
      <c r="G235" s="1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1"/>
      <c r="C236" s="11"/>
      <c r="D236" s="12"/>
      <c r="E236" s="12"/>
      <c r="F236" s="12"/>
      <c r="G236" s="1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1"/>
      <c r="C237" s="11"/>
      <c r="D237" s="12"/>
      <c r="E237" s="12"/>
      <c r="F237" s="12"/>
      <c r="G237" s="1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1"/>
      <c r="C238" s="11"/>
      <c r="D238" s="12"/>
      <c r="E238" s="12"/>
      <c r="F238" s="12"/>
      <c r="G238" s="1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1"/>
      <c r="C239" s="11"/>
      <c r="D239" s="12"/>
      <c r="E239" s="12"/>
      <c r="F239" s="12"/>
      <c r="G239" s="1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1"/>
      <c r="C240" s="11"/>
      <c r="D240" s="12"/>
      <c r="E240" s="12"/>
      <c r="F240" s="12"/>
      <c r="G240" s="1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1"/>
      <c r="C241" s="11"/>
      <c r="D241" s="12"/>
      <c r="E241" s="12"/>
      <c r="F241" s="12"/>
      <c r="G241" s="1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1"/>
      <c r="C242" s="11"/>
      <c r="D242" s="12"/>
      <c r="E242" s="12"/>
      <c r="F242" s="12"/>
      <c r="G242" s="1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1"/>
      <c r="C243" s="11"/>
      <c r="D243" s="12"/>
      <c r="E243" s="12"/>
      <c r="F243" s="12"/>
      <c r="G243" s="1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1"/>
      <c r="C244" s="11"/>
      <c r="D244" s="12"/>
      <c r="E244" s="12"/>
      <c r="F244" s="12"/>
      <c r="G244" s="1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1"/>
      <c r="C245" s="11"/>
      <c r="D245" s="12"/>
      <c r="E245" s="12"/>
      <c r="F245" s="12"/>
      <c r="G245" s="1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1"/>
      <c r="C246" s="11"/>
      <c r="D246" s="12"/>
      <c r="E246" s="12"/>
      <c r="F246" s="12"/>
      <c r="G246" s="1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1"/>
      <c r="C247" s="11"/>
      <c r="D247" s="12"/>
      <c r="E247" s="12"/>
      <c r="F247" s="12"/>
      <c r="G247" s="1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1"/>
      <c r="C248" s="11"/>
      <c r="D248" s="12"/>
      <c r="E248" s="12"/>
      <c r="F248" s="12"/>
      <c r="G248" s="1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1"/>
      <c r="C249" s="11"/>
      <c r="D249" s="12"/>
      <c r="E249" s="12"/>
      <c r="F249" s="12"/>
      <c r="G249" s="1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1"/>
      <c r="C250" s="11"/>
      <c r="D250" s="12"/>
      <c r="E250" s="12"/>
      <c r="F250" s="12"/>
      <c r="G250" s="1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1"/>
      <c r="C251" s="11"/>
      <c r="D251" s="12"/>
      <c r="E251" s="12"/>
      <c r="F251" s="12"/>
      <c r="G251" s="1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1"/>
      <c r="C252" s="11"/>
      <c r="D252" s="12"/>
      <c r="E252" s="12"/>
      <c r="F252" s="12"/>
      <c r="G252" s="1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1"/>
      <c r="C253" s="11"/>
      <c r="D253" s="12"/>
      <c r="E253" s="12"/>
      <c r="F253" s="12"/>
      <c r="G253" s="1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1"/>
      <c r="C254" s="11"/>
      <c r="D254" s="12"/>
      <c r="E254" s="12"/>
      <c r="F254" s="12"/>
      <c r="G254" s="1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1"/>
      <c r="C255" s="11"/>
      <c r="D255" s="12"/>
      <c r="E255" s="12"/>
      <c r="F255" s="12"/>
      <c r="G255" s="1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1"/>
      <c r="C256" s="11"/>
      <c r="D256" s="12"/>
      <c r="E256" s="12"/>
      <c r="F256" s="12"/>
      <c r="G256" s="1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1"/>
      <c r="C257" s="11"/>
      <c r="D257" s="12"/>
      <c r="E257" s="12"/>
      <c r="F257" s="12"/>
      <c r="G257" s="1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1"/>
      <c r="C258" s="11"/>
      <c r="D258" s="12"/>
      <c r="E258" s="12"/>
      <c r="F258" s="12"/>
      <c r="G258" s="1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1"/>
      <c r="C259" s="11"/>
      <c r="D259" s="12"/>
      <c r="E259" s="12"/>
      <c r="F259" s="12"/>
      <c r="G259" s="1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1"/>
      <c r="C260" s="11"/>
      <c r="D260" s="12"/>
      <c r="E260" s="12"/>
      <c r="F260" s="12"/>
      <c r="G260" s="1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1"/>
      <c r="C261" s="11"/>
      <c r="D261" s="12"/>
      <c r="E261" s="12"/>
      <c r="F261" s="12"/>
      <c r="G261" s="1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1"/>
      <c r="C262" s="11"/>
      <c r="D262" s="12"/>
      <c r="E262" s="12"/>
      <c r="F262" s="12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1"/>
      <c r="C263" s="11"/>
      <c r="D263" s="12"/>
      <c r="E263" s="12"/>
      <c r="F263" s="12"/>
      <c r="G263" s="1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1"/>
      <c r="C264" s="11"/>
      <c r="D264" s="12"/>
      <c r="E264" s="12"/>
      <c r="F264" s="12"/>
      <c r="G264" s="1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1"/>
      <c r="C265" s="11"/>
      <c r="D265" s="12"/>
      <c r="E265" s="12"/>
      <c r="F265" s="12"/>
      <c r="G265" s="1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1"/>
      <c r="C266" s="11"/>
      <c r="D266" s="12"/>
      <c r="E266" s="12"/>
      <c r="F266" s="12"/>
      <c r="G266" s="1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1"/>
      <c r="C267" s="11"/>
      <c r="D267" s="12"/>
      <c r="E267" s="12"/>
      <c r="F267" s="12"/>
      <c r="G267" s="1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1"/>
      <c r="C268" s="11"/>
      <c r="D268" s="12"/>
      <c r="E268" s="12"/>
      <c r="F268" s="12"/>
      <c r="G268" s="1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1"/>
      <c r="C269" s="11"/>
      <c r="D269" s="12"/>
      <c r="E269" s="12"/>
      <c r="F269" s="12"/>
      <c r="G269" s="1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1"/>
      <c r="C270" s="11"/>
      <c r="D270" s="12"/>
      <c r="E270" s="12"/>
      <c r="F270" s="12"/>
      <c r="G270" s="1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1"/>
      <c r="C271" s="11"/>
      <c r="D271" s="12"/>
      <c r="E271" s="12"/>
      <c r="F271" s="12"/>
      <c r="G271" s="1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1"/>
      <c r="C272" s="11"/>
      <c r="D272" s="12"/>
      <c r="E272" s="12"/>
      <c r="F272" s="12"/>
      <c r="G272" s="1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1"/>
      <c r="C273" s="11"/>
      <c r="D273" s="12"/>
      <c r="E273" s="12"/>
      <c r="F273" s="12"/>
      <c r="G273" s="1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1"/>
      <c r="C274" s="11"/>
      <c r="D274" s="12"/>
      <c r="E274" s="12"/>
      <c r="F274" s="12"/>
      <c r="G274" s="1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1"/>
      <c r="C275" s="11"/>
      <c r="D275" s="12"/>
      <c r="E275" s="12"/>
      <c r="F275" s="12"/>
      <c r="G275" s="1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1"/>
      <c r="C276" s="11"/>
      <c r="D276" s="12"/>
      <c r="E276" s="12"/>
      <c r="F276" s="12"/>
      <c r="G276" s="1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1"/>
      <c r="C277" s="11"/>
      <c r="D277" s="12"/>
      <c r="E277" s="12"/>
      <c r="F277" s="12"/>
      <c r="G277" s="1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1"/>
      <c r="C278" s="11"/>
      <c r="D278" s="12"/>
      <c r="E278" s="12"/>
      <c r="F278" s="12"/>
      <c r="G278" s="1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1"/>
      <c r="C279" s="11"/>
      <c r="D279" s="12"/>
      <c r="E279" s="12"/>
      <c r="F279" s="12"/>
      <c r="G279" s="1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1"/>
      <c r="C280" s="11"/>
      <c r="D280" s="12"/>
      <c r="E280" s="12"/>
      <c r="F280" s="12"/>
      <c r="G280" s="1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1"/>
      <c r="C281" s="11"/>
      <c r="D281" s="12"/>
      <c r="E281" s="12"/>
      <c r="F281" s="12"/>
      <c r="G281" s="1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1"/>
      <c r="C282" s="11"/>
      <c r="D282" s="12"/>
      <c r="E282" s="12"/>
      <c r="F282" s="12"/>
      <c r="G282" s="1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1"/>
      <c r="C283" s="11"/>
      <c r="D283" s="12"/>
      <c r="E283" s="12"/>
      <c r="F283" s="12"/>
      <c r="G283" s="1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1"/>
      <c r="C284" s="11"/>
      <c r="D284" s="12"/>
      <c r="E284" s="12"/>
      <c r="F284" s="12"/>
      <c r="G284" s="1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1"/>
      <c r="C285" s="11"/>
      <c r="D285" s="12"/>
      <c r="E285" s="12"/>
      <c r="F285" s="12"/>
      <c r="G285" s="1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1"/>
      <c r="C286" s="11"/>
      <c r="D286" s="12"/>
      <c r="E286" s="12"/>
      <c r="F286" s="12"/>
      <c r="G286" s="1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1"/>
      <c r="C287" s="11"/>
      <c r="D287" s="12"/>
      <c r="E287" s="12"/>
      <c r="F287" s="12"/>
      <c r="G287" s="1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1"/>
      <c r="C288" s="11"/>
      <c r="D288" s="12"/>
      <c r="E288" s="12"/>
      <c r="F288" s="12"/>
      <c r="G288" s="1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1"/>
      <c r="C289" s="11"/>
      <c r="D289" s="12"/>
      <c r="E289" s="12"/>
      <c r="F289" s="12"/>
      <c r="G289" s="1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1"/>
      <c r="C290" s="11"/>
      <c r="D290" s="12"/>
      <c r="E290" s="12"/>
      <c r="F290" s="12"/>
      <c r="G290" s="1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1"/>
      <c r="C291" s="11"/>
      <c r="D291" s="12"/>
      <c r="E291" s="12"/>
      <c r="F291" s="12"/>
      <c r="G291" s="1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1"/>
      <c r="C292" s="11"/>
      <c r="D292" s="12"/>
      <c r="E292" s="12"/>
      <c r="F292" s="12"/>
      <c r="G292" s="1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1"/>
      <c r="C293" s="11"/>
      <c r="D293" s="12"/>
      <c r="E293" s="12"/>
      <c r="F293" s="12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1"/>
      <c r="C294" s="11"/>
      <c r="D294" s="12"/>
      <c r="E294" s="12"/>
      <c r="F294" s="12"/>
      <c r="G294" s="1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1"/>
      <c r="C295" s="11"/>
      <c r="D295" s="12"/>
      <c r="E295" s="12"/>
      <c r="F295" s="12"/>
      <c r="G295" s="1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1"/>
      <c r="C296" s="11"/>
      <c r="D296" s="12"/>
      <c r="E296" s="12"/>
      <c r="F296" s="12"/>
      <c r="G296" s="1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1"/>
      <c r="C297" s="11"/>
      <c r="D297" s="12"/>
      <c r="E297" s="12"/>
      <c r="F297" s="12"/>
      <c r="G297" s="1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1"/>
      <c r="C298" s="11"/>
      <c r="D298" s="12"/>
      <c r="E298" s="12"/>
      <c r="F298" s="12"/>
      <c r="G298" s="1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1"/>
      <c r="C299" s="11"/>
      <c r="D299" s="12"/>
      <c r="E299" s="12"/>
      <c r="F299" s="12"/>
      <c r="G299" s="1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1"/>
      <c r="C300" s="11"/>
      <c r="D300" s="12"/>
      <c r="E300" s="12"/>
      <c r="F300" s="12"/>
      <c r="G300" s="1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1"/>
      <c r="C301" s="11"/>
      <c r="D301" s="12"/>
      <c r="E301" s="12"/>
      <c r="F301" s="12"/>
      <c r="G301" s="1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1"/>
      <c r="C302" s="11"/>
      <c r="D302" s="12"/>
      <c r="E302" s="12"/>
      <c r="F302" s="12"/>
      <c r="G302" s="1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1"/>
      <c r="C303" s="11"/>
      <c r="D303" s="12"/>
      <c r="E303" s="12"/>
      <c r="F303" s="12"/>
      <c r="G303" s="1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1"/>
      <c r="C304" s="11"/>
      <c r="D304" s="12"/>
      <c r="E304" s="12"/>
      <c r="F304" s="12"/>
      <c r="G304" s="1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1"/>
      <c r="C305" s="11"/>
      <c r="D305" s="12"/>
      <c r="E305" s="12"/>
      <c r="F305" s="12"/>
      <c r="G305" s="1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1"/>
      <c r="C306" s="11"/>
      <c r="D306" s="12"/>
      <c r="E306" s="12"/>
      <c r="F306" s="12"/>
      <c r="G306" s="1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1"/>
      <c r="C307" s="11"/>
      <c r="D307" s="12"/>
      <c r="E307" s="12"/>
      <c r="F307" s="12"/>
      <c r="G307" s="1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1"/>
      <c r="C308" s="11"/>
      <c r="D308" s="12"/>
      <c r="E308" s="12"/>
      <c r="F308" s="12"/>
      <c r="G308" s="1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1"/>
      <c r="C309" s="11"/>
      <c r="D309" s="12"/>
      <c r="E309" s="12"/>
      <c r="F309" s="12"/>
      <c r="G309" s="1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1"/>
      <c r="C310" s="11"/>
      <c r="D310" s="12"/>
      <c r="E310" s="12"/>
      <c r="F310" s="12"/>
      <c r="G310" s="1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1"/>
      <c r="C311" s="11"/>
      <c r="D311" s="12"/>
      <c r="E311" s="12"/>
      <c r="F311" s="12"/>
      <c r="G311" s="1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1"/>
      <c r="C312" s="11"/>
      <c r="D312" s="12"/>
      <c r="E312" s="12"/>
      <c r="F312" s="12"/>
      <c r="G312" s="1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1"/>
      <c r="C313" s="11"/>
      <c r="D313" s="12"/>
      <c r="E313" s="12"/>
      <c r="F313" s="12"/>
      <c r="G313" s="1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1"/>
      <c r="C314" s="11"/>
      <c r="D314" s="12"/>
      <c r="E314" s="12"/>
      <c r="F314" s="12"/>
      <c r="G314" s="1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1"/>
      <c r="C315" s="11"/>
      <c r="D315" s="12"/>
      <c r="E315" s="12"/>
      <c r="F315" s="12"/>
      <c r="G315" s="1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1"/>
      <c r="C316" s="11"/>
      <c r="D316" s="12"/>
      <c r="E316" s="12"/>
      <c r="F316" s="12"/>
      <c r="G316" s="1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1"/>
      <c r="C317" s="11"/>
      <c r="D317" s="12"/>
      <c r="E317" s="12"/>
      <c r="F317" s="12"/>
      <c r="G317" s="1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1"/>
      <c r="C318" s="11"/>
      <c r="D318" s="12"/>
      <c r="E318" s="12"/>
      <c r="F318" s="12"/>
      <c r="G318" s="1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1"/>
      <c r="C319" s="11"/>
      <c r="D319" s="12"/>
      <c r="E319" s="12"/>
      <c r="F319" s="12"/>
      <c r="G319" s="1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1"/>
      <c r="C320" s="11"/>
      <c r="D320" s="12"/>
      <c r="E320" s="12"/>
      <c r="F320" s="12"/>
      <c r="G320" s="1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1"/>
      <c r="C321" s="11"/>
      <c r="D321" s="12"/>
      <c r="E321" s="12"/>
      <c r="F321" s="12"/>
      <c r="G321" s="1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1"/>
      <c r="C322" s="11"/>
      <c r="D322" s="12"/>
      <c r="E322" s="12"/>
      <c r="F322" s="12"/>
      <c r="G322" s="1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1"/>
      <c r="C323" s="11"/>
      <c r="D323" s="12"/>
      <c r="E323" s="12"/>
      <c r="F323" s="12"/>
      <c r="G323" s="1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1"/>
      <c r="C324" s="11"/>
      <c r="D324" s="12"/>
      <c r="E324" s="12"/>
      <c r="F324" s="12"/>
      <c r="G324" s="1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1"/>
      <c r="C325" s="11"/>
      <c r="D325" s="12"/>
      <c r="E325" s="12"/>
      <c r="F325" s="12"/>
      <c r="G325" s="1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1"/>
      <c r="C326" s="11"/>
      <c r="D326" s="12"/>
      <c r="E326" s="12"/>
      <c r="F326" s="12"/>
      <c r="G326" s="1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1"/>
      <c r="C327" s="11"/>
      <c r="D327" s="12"/>
      <c r="E327" s="12"/>
      <c r="F327" s="12"/>
      <c r="G327" s="1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1"/>
      <c r="C328" s="11"/>
      <c r="D328" s="12"/>
      <c r="E328" s="12"/>
      <c r="F328" s="12"/>
      <c r="G328" s="1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1"/>
      <c r="C329" s="11"/>
      <c r="D329" s="12"/>
      <c r="E329" s="12"/>
      <c r="F329" s="12"/>
      <c r="G329" s="1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1"/>
      <c r="C330" s="11"/>
      <c r="D330" s="12"/>
      <c r="E330" s="12"/>
      <c r="F330" s="12"/>
      <c r="G330" s="1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1"/>
      <c r="C331" s="11"/>
      <c r="D331" s="12"/>
      <c r="E331" s="12"/>
      <c r="F331" s="12"/>
      <c r="G331" s="1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1"/>
      <c r="C332" s="11"/>
      <c r="D332" s="12"/>
      <c r="E332" s="12"/>
      <c r="F332" s="12"/>
      <c r="G332" s="1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1"/>
      <c r="C333" s="11"/>
      <c r="D333" s="12"/>
      <c r="E333" s="12"/>
      <c r="F333" s="12"/>
      <c r="G333" s="1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1"/>
      <c r="C334" s="11"/>
      <c r="D334" s="12"/>
      <c r="E334" s="12"/>
      <c r="F334" s="12"/>
      <c r="G334" s="1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1"/>
      <c r="C335" s="11"/>
      <c r="D335" s="12"/>
      <c r="E335" s="12"/>
      <c r="F335" s="12"/>
      <c r="G335" s="1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1"/>
      <c r="C336" s="11"/>
      <c r="D336" s="12"/>
      <c r="E336" s="12"/>
      <c r="F336" s="12"/>
      <c r="G336" s="1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1"/>
      <c r="C337" s="11"/>
      <c r="D337" s="12"/>
      <c r="E337" s="12"/>
      <c r="F337" s="12"/>
      <c r="G337" s="1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1"/>
      <c r="C338" s="11"/>
      <c r="D338" s="12"/>
      <c r="E338" s="12"/>
      <c r="F338" s="12"/>
      <c r="G338" s="1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1"/>
      <c r="C339" s="11"/>
      <c r="D339" s="12"/>
      <c r="E339" s="12"/>
      <c r="F339" s="12"/>
      <c r="G339" s="1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1"/>
      <c r="C340" s="11"/>
      <c r="D340" s="12"/>
      <c r="E340" s="12"/>
      <c r="F340" s="12"/>
      <c r="G340" s="1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1"/>
      <c r="C341" s="11"/>
      <c r="D341" s="12"/>
      <c r="E341" s="12"/>
      <c r="F341" s="12"/>
      <c r="G341" s="1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1"/>
      <c r="C342" s="11"/>
      <c r="D342" s="12"/>
      <c r="E342" s="12"/>
      <c r="F342" s="12"/>
      <c r="G342" s="1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1"/>
      <c r="C343" s="11"/>
      <c r="D343" s="12"/>
      <c r="E343" s="12"/>
      <c r="F343" s="12"/>
      <c r="G343" s="1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1"/>
      <c r="C344" s="11"/>
      <c r="D344" s="12"/>
      <c r="E344" s="12"/>
      <c r="F344" s="12"/>
      <c r="G344" s="1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1"/>
      <c r="C345" s="11"/>
      <c r="D345" s="12"/>
      <c r="E345" s="12"/>
      <c r="F345" s="12"/>
      <c r="G345" s="1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1"/>
      <c r="C346" s="11"/>
      <c r="D346" s="12"/>
      <c r="E346" s="12"/>
      <c r="F346" s="12"/>
      <c r="G346" s="1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1"/>
      <c r="C347" s="11"/>
      <c r="D347" s="12"/>
      <c r="E347" s="12"/>
      <c r="F347" s="12"/>
      <c r="G347" s="1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1"/>
      <c r="C348" s="11"/>
      <c r="D348" s="12"/>
      <c r="E348" s="12"/>
      <c r="F348" s="12"/>
      <c r="G348" s="1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1"/>
      <c r="C349" s="11"/>
      <c r="D349" s="12"/>
      <c r="E349" s="12"/>
      <c r="F349" s="12"/>
      <c r="G349" s="1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1"/>
      <c r="C350" s="11"/>
      <c r="D350" s="12"/>
      <c r="E350" s="12"/>
      <c r="F350" s="12"/>
      <c r="G350" s="1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1"/>
      <c r="C351" s="11"/>
      <c r="D351" s="12"/>
      <c r="E351" s="12"/>
      <c r="F351" s="12"/>
      <c r="G351" s="1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1"/>
      <c r="C352" s="11"/>
      <c r="D352" s="12"/>
      <c r="E352" s="12"/>
      <c r="F352" s="12"/>
      <c r="G352" s="1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1"/>
      <c r="C353" s="11"/>
      <c r="D353" s="12"/>
      <c r="E353" s="12"/>
      <c r="F353" s="12"/>
      <c r="G353" s="1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1"/>
      <c r="C354" s="11"/>
      <c r="D354" s="12"/>
      <c r="E354" s="12"/>
      <c r="F354" s="12"/>
      <c r="G354" s="1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1"/>
      <c r="C355" s="11"/>
      <c r="D355" s="12"/>
      <c r="E355" s="12"/>
      <c r="F355" s="12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1"/>
      <c r="C356" s="11"/>
      <c r="D356" s="12"/>
      <c r="E356" s="12"/>
      <c r="F356" s="12"/>
      <c r="G356" s="1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1"/>
      <c r="C357" s="11"/>
      <c r="D357" s="12"/>
      <c r="E357" s="12"/>
      <c r="F357" s="12"/>
      <c r="G357" s="1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1"/>
      <c r="C358" s="11"/>
      <c r="D358" s="12"/>
      <c r="E358" s="12"/>
      <c r="F358" s="12"/>
      <c r="G358" s="1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1"/>
      <c r="C359" s="11"/>
      <c r="D359" s="12"/>
      <c r="E359" s="12"/>
      <c r="F359" s="12"/>
      <c r="G359" s="1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1"/>
      <c r="C360" s="11"/>
      <c r="D360" s="12"/>
      <c r="E360" s="12"/>
      <c r="F360" s="12"/>
      <c r="G360" s="1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1"/>
      <c r="C361" s="11"/>
      <c r="D361" s="12"/>
      <c r="E361" s="12"/>
      <c r="F361" s="12"/>
      <c r="G361" s="1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1"/>
      <c r="C362" s="11"/>
      <c r="D362" s="12"/>
      <c r="E362" s="12"/>
      <c r="F362" s="12"/>
      <c r="G362" s="1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1"/>
      <c r="C363" s="11"/>
      <c r="D363" s="12"/>
      <c r="E363" s="12"/>
      <c r="F363" s="12"/>
      <c r="G363" s="1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1"/>
      <c r="C364" s="11"/>
      <c r="D364" s="12"/>
      <c r="E364" s="12"/>
      <c r="F364" s="12"/>
      <c r="G364" s="1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1"/>
      <c r="C365" s="11"/>
      <c r="D365" s="12"/>
      <c r="E365" s="12"/>
      <c r="F365" s="12"/>
      <c r="G365" s="1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1"/>
      <c r="C366" s="11"/>
      <c r="D366" s="12"/>
      <c r="E366" s="12"/>
      <c r="F366" s="12"/>
      <c r="G366" s="1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1"/>
      <c r="C367" s="11"/>
      <c r="D367" s="12"/>
      <c r="E367" s="12"/>
      <c r="F367" s="12"/>
      <c r="G367" s="1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1"/>
      <c r="C368" s="11"/>
      <c r="D368" s="12"/>
      <c r="E368" s="12"/>
      <c r="F368" s="12"/>
      <c r="G368" s="1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1"/>
      <c r="C369" s="11"/>
      <c r="D369" s="12"/>
      <c r="E369" s="12"/>
      <c r="F369" s="12"/>
      <c r="G369" s="1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1"/>
      <c r="C370" s="11"/>
      <c r="D370" s="12"/>
      <c r="E370" s="12"/>
      <c r="F370" s="12"/>
      <c r="G370" s="1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1"/>
      <c r="C371" s="11"/>
      <c r="D371" s="12"/>
      <c r="E371" s="12"/>
      <c r="F371" s="12"/>
      <c r="G371" s="1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1"/>
      <c r="C372" s="11"/>
      <c r="D372" s="12"/>
      <c r="E372" s="12"/>
      <c r="F372" s="12"/>
      <c r="G372" s="1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1"/>
      <c r="C373" s="11"/>
      <c r="D373" s="12"/>
      <c r="E373" s="12"/>
      <c r="F373" s="12"/>
      <c r="G373" s="1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1"/>
      <c r="C374" s="11"/>
      <c r="D374" s="12"/>
      <c r="E374" s="12"/>
      <c r="F374" s="12"/>
      <c r="G374" s="1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1"/>
      <c r="C375" s="11"/>
      <c r="D375" s="12"/>
      <c r="E375" s="12"/>
      <c r="F375" s="12"/>
      <c r="G375" s="1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1"/>
      <c r="C376" s="11"/>
      <c r="D376" s="12"/>
      <c r="E376" s="12"/>
      <c r="F376" s="12"/>
      <c r="G376" s="1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1"/>
      <c r="C377" s="11"/>
      <c r="D377" s="12"/>
      <c r="E377" s="12"/>
      <c r="F377" s="12"/>
      <c r="G377" s="1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1"/>
      <c r="C378" s="11"/>
      <c r="D378" s="12"/>
      <c r="E378" s="12"/>
      <c r="F378" s="12"/>
      <c r="G378" s="1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1"/>
      <c r="C379" s="11"/>
      <c r="D379" s="12"/>
      <c r="E379" s="12"/>
      <c r="F379" s="12"/>
      <c r="G379" s="1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1"/>
      <c r="C380" s="11"/>
      <c r="D380" s="12"/>
      <c r="E380" s="12"/>
      <c r="F380" s="12"/>
      <c r="G380" s="1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1"/>
      <c r="C381" s="11"/>
      <c r="D381" s="12"/>
      <c r="E381" s="12"/>
      <c r="F381" s="12"/>
      <c r="G381" s="1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1"/>
      <c r="C382" s="11"/>
      <c r="D382" s="12"/>
      <c r="E382" s="12"/>
      <c r="F382" s="12"/>
      <c r="G382" s="1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1"/>
      <c r="C383" s="11"/>
      <c r="D383" s="12"/>
      <c r="E383" s="12"/>
      <c r="F383" s="12"/>
      <c r="G383" s="1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1"/>
      <c r="C384" s="11"/>
      <c r="D384" s="12"/>
      <c r="E384" s="12"/>
      <c r="F384" s="12"/>
      <c r="G384" s="1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1"/>
      <c r="C385" s="11"/>
      <c r="D385" s="12"/>
      <c r="E385" s="12"/>
      <c r="F385" s="12"/>
      <c r="G385" s="1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1"/>
      <c r="C386" s="11"/>
      <c r="D386" s="12"/>
      <c r="E386" s="12"/>
      <c r="F386" s="12"/>
      <c r="G386" s="1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1"/>
      <c r="C387" s="11"/>
      <c r="D387" s="12"/>
      <c r="E387" s="12"/>
      <c r="F387" s="12"/>
      <c r="G387" s="1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1"/>
      <c r="C388" s="11"/>
      <c r="D388" s="12"/>
      <c r="E388" s="12"/>
      <c r="F388" s="12"/>
      <c r="G388" s="1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1"/>
      <c r="C389" s="11"/>
      <c r="D389" s="12"/>
      <c r="E389" s="12"/>
      <c r="F389" s="12"/>
      <c r="G389" s="1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1"/>
      <c r="C390" s="11"/>
      <c r="D390" s="12"/>
      <c r="E390" s="12"/>
      <c r="F390" s="12"/>
      <c r="G390" s="1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1"/>
      <c r="C391" s="11"/>
      <c r="D391" s="12"/>
      <c r="E391" s="12"/>
      <c r="F391" s="12"/>
      <c r="G391" s="1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1"/>
      <c r="C392" s="11"/>
      <c r="D392" s="12"/>
      <c r="E392" s="12"/>
      <c r="F392" s="12"/>
      <c r="G392" s="1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1"/>
      <c r="C393" s="11"/>
      <c r="D393" s="12"/>
      <c r="E393" s="12"/>
      <c r="F393" s="12"/>
      <c r="G393" s="1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1"/>
      <c r="C394" s="11"/>
      <c r="D394" s="12"/>
      <c r="E394" s="12"/>
      <c r="F394" s="12"/>
      <c r="G394" s="1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1"/>
      <c r="C395" s="11"/>
      <c r="D395" s="12"/>
      <c r="E395" s="12"/>
      <c r="F395" s="12"/>
      <c r="G395" s="1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1"/>
      <c r="C396" s="11"/>
      <c r="D396" s="12"/>
      <c r="E396" s="12"/>
      <c r="F396" s="12"/>
      <c r="G396" s="1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1"/>
      <c r="C397" s="11"/>
      <c r="D397" s="12"/>
      <c r="E397" s="12"/>
      <c r="F397" s="12"/>
      <c r="G397" s="1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1"/>
      <c r="C398" s="11"/>
      <c r="D398" s="12"/>
      <c r="E398" s="12"/>
      <c r="F398" s="12"/>
      <c r="G398" s="1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1"/>
      <c r="C399" s="11"/>
      <c r="D399" s="12"/>
      <c r="E399" s="12"/>
      <c r="F399" s="12"/>
      <c r="G399" s="1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1"/>
      <c r="C400" s="11"/>
      <c r="D400" s="12"/>
      <c r="E400" s="12"/>
      <c r="F400" s="12"/>
      <c r="G400" s="1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1"/>
      <c r="C401" s="11"/>
      <c r="D401" s="12"/>
      <c r="E401" s="12"/>
      <c r="F401" s="12"/>
      <c r="G401" s="1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1"/>
      <c r="C402" s="11"/>
      <c r="D402" s="12"/>
      <c r="E402" s="12"/>
      <c r="F402" s="12"/>
      <c r="G402" s="1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1"/>
      <c r="C403" s="11"/>
      <c r="D403" s="12"/>
      <c r="E403" s="12"/>
      <c r="F403" s="12"/>
      <c r="G403" s="1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1"/>
      <c r="C404" s="11"/>
      <c r="D404" s="12"/>
      <c r="E404" s="12"/>
      <c r="F404" s="12"/>
      <c r="G404" s="1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1"/>
      <c r="C405" s="11"/>
      <c r="D405" s="12"/>
      <c r="E405" s="12"/>
      <c r="F405" s="12"/>
      <c r="G405" s="1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1"/>
      <c r="C406" s="11"/>
      <c r="D406" s="12"/>
      <c r="E406" s="12"/>
      <c r="F406" s="12"/>
      <c r="G406" s="1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1"/>
      <c r="C407" s="11"/>
      <c r="D407" s="12"/>
      <c r="E407" s="12"/>
      <c r="F407" s="12"/>
      <c r="G407" s="1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1"/>
      <c r="C408" s="11"/>
      <c r="D408" s="12"/>
      <c r="E408" s="12"/>
      <c r="F408" s="12"/>
      <c r="G408" s="1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1"/>
      <c r="C409" s="11"/>
      <c r="D409" s="12"/>
      <c r="E409" s="12"/>
      <c r="F409" s="12"/>
      <c r="G409" s="1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1"/>
      <c r="C410" s="11"/>
      <c r="D410" s="12"/>
      <c r="E410" s="12"/>
      <c r="F410" s="12"/>
      <c r="G410" s="1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1"/>
      <c r="C411" s="11"/>
      <c r="D411" s="12"/>
      <c r="E411" s="12"/>
      <c r="F411" s="12"/>
      <c r="G411" s="1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1"/>
      <c r="C412" s="11"/>
      <c r="D412" s="12"/>
      <c r="E412" s="12"/>
      <c r="F412" s="12"/>
      <c r="G412" s="1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1"/>
      <c r="C413" s="11"/>
      <c r="D413" s="12"/>
      <c r="E413" s="12"/>
      <c r="F413" s="12"/>
      <c r="G413" s="1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1"/>
      <c r="C414" s="11"/>
      <c r="D414" s="12"/>
      <c r="E414" s="12"/>
      <c r="F414" s="12"/>
      <c r="G414" s="1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1"/>
      <c r="C415" s="11"/>
      <c r="D415" s="12"/>
      <c r="E415" s="12"/>
      <c r="F415" s="12"/>
      <c r="G415" s="1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1"/>
      <c r="C416" s="11"/>
      <c r="D416" s="12"/>
      <c r="E416" s="12"/>
      <c r="F416" s="12"/>
      <c r="G416" s="1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1"/>
      <c r="C417" s="11"/>
      <c r="D417" s="12"/>
      <c r="E417" s="12"/>
      <c r="F417" s="12"/>
      <c r="G417" s="1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1"/>
      <c r="C418" s="11"/>
      <c r="D418" s="12"/>
      <c r="E418" s="12"/>
      <c r="F418" s="12"/>
      <c r="G418" s="1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1"/>
      <c r="C419" s="11"/>
      <c r="D419" s="12"/>
      <c r="E419" s="12"/>
      <c r="F419" s="12"/>
      <c r="G419" s="1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1"/>
      <c r="C420" s="11"/>
      <c r="D420" s="12"/>
      <c r="E420" s="12"/>
      <c r="F420" s="12"/>
      <c r="G420" s="1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1"/>
      <c r="C421" s="11"/>
      <c r="D421" s="12"/>
      <c r="E421" s="12"/>
      <c r="F421" s="12"/>
      <c r="G421" s="1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1"/>
      <c r="C422" s="11"/>
      <c r="D422" s="12"/>
      <c r="E422" s="12"/>
      <c r="F422" s="12"/>
      <c r="G422" s="1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1"/>
      <c r="C423" s="11"/>
      <c r="D423" s="12"/>
      <c r="E423" s="12"/>
      <c r="F423" s="12"/>
      <c r="G423" s="1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1"/>
      <c r="C424" s="11"/>
      <c r="D424" s="12"/>
      <c r="E424" s="12"/>
      <c r="F424" s="12"/>
      <c r="G424" s="1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1"/>
      <c r="C425" s="11"/>
      <c r="D425" s="12"/>
      <c r="E425" s="12"/>
      <c r="F425" s="12"/>
      <c r="G425" s="1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1"/>
      <c r="C426" s="11"/>
      <c r="D426" s="12"/>
      <c r="E426" s="12"/>
      <c r="F426" s="12"/>
      <c r="G426" s="1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1"/>
      <c r="C427" s="11"/>
      <c r="D427" s="12"/>
      <c r="E427" s="12"/>
      <c r="F427" s="12"/>
      <c r="G427" s="1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1"/>
      <c r="C428" s="11"/>
      <c r="D428" s="12"/>
      <c r="E428" s="12"/>
      <c r="F428" s="12"/>
      <c r="G428" s="1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1"/>
      <c r="C429" s="11"/>
      <c r="D429" s="12"/>
      <c r="E429" s="12"/>
      <c r="F429" s="12"/>
      <c r="G429" s="1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1"/>
      <c r="C430" s="11"/>
      <c r="D430" s="12"/>
      <c r="E430" s="12"/>
      <c r="F430" s="12"/>
      <c r="G430" s="1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1"/>
      <c r="C431" s="11"/>
      <c r="D431" s="12"/>
      <c r="E431" s="12"/>
      <c r="F431" s="12"/>
      <c r="G431" s="1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1"/>
      <c r="C432" s="11"/>
      <c r="D432" s="12"/>
      <c r="E432" s="12"/>
      <c r="F432" s="12"/>
      <c r="G432" s="1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1"/>
      <c r="C433" s="11"/>
      <c r="D433" s="12"/>
      <c r="E433" s="12"/>
      <c r="F433" s="12"/>
      <c r="G433" s="1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1"/>
      <c r="C434" s="11"/>
      <c r="D434" s="12"/>
      <c r="E434" s="12"/>
      <c r="F434" s="12"/>
      <c r="G434" s="1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1"/>
      <c r="C435" s="11"/>
      <c r="D435" s="12"/>
      <c r="E435" s="12"/>
      <c r="F435" s="12"/>
      <c r="G435" s="1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1"/>
      <c r="C436" s="11"/>
      <c r="D436" s="12"/>
      <c r="E436" s="12"/>
      <c r="F436" s="12"/>
      <c r="G436" s="1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1"/>
      <c r="C437" s="11"/>
      <c r="D437" s="12"/>
      <c r="E437" s="12"/>
      <c r="F437" s="12"/>
      <c r="G437" s="1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1"/>
      <c r="C438" s="11"/>
      <c r="D438" s="12"/>
      <c r="E438" s="12"/>
      <c r="F438" s="12"/>
      <c r="G438" s="1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1"/>
      <c r="C439" s="11"/>
      <c r="D439" s="12"/>
      <c r="E439" s="12"/>
      <c r="F439" s="12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1"/>
      <c r="C440" s="11"/>
      <c r="D440" s="12"/>
      <c r="E440" s="12"/>
      <c r="F440" s="12"/>
      <c r="G440" s="1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1"/>
      <c r="C441" s="11"/>
      <c r="D441" s="12"/>
      <c r="E441" s="12"/>
      <c r="F441" s="12"/>
      <c r="G441" s="1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1"/>
      <c r="C442" s="11"/>
      <c r="D442" s="12"/>
      <c r="E442" s="12"/>
      <c r="F442" s="12"/>
      <c r="G442" s="1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1"/>
      <c r="C443" s="11"/>
      <c r="D443" s="12"/>
      <c r="E443" s="12"/>
      <c r="F443" s="12"/>
      <c r="G443" s="1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1"/>
      <c r="C444" s="11"/>
      <c r="D444" s="12"/>
      <c r="E444" s="12"/>
      <c r="F444" s="12"/>
      <c r="G444" s="1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1"/>
      <c r="C445" s="11"/>
      <c r="D445" s="12"/>
      <c r="E445" s="12"/>
      <c r="F445" s="12"/>
      <c r="G445" s="1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1"/>
      <c r="C446" s="11"/>
      <c r="D446" s="12"/>
      <c r="E446" s="12"/>
      <c r="F446" s="12"/>
      <c r="G446" s="1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1"/>
      <c r="C447" s="11"/>
      <c r="D447" s="12"/>
      <c r="E447" s="12"/>
      <c r="F447" s="12"/>
      <c r="G447" s="1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1"/>
      <c r="C448" s="11"/>
      <c r="D448" s="12"/>
      <c r="E448" s="12"/>
      <c r="F448" s="12"/>
      <c r="G448" s="1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1"/>
      <c r="C449" s="11"/>
      <c r="D449" s="12"/>
      <c r="E449" s="12"/>
      <c r="F449" s="12"/>
      <c r="G449" s="1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1"/>
      <c r="C450" s="11"/>
      <c r="D450" s="12"/>
      <c r="E450" s="12"/>
      <c r="F450" s="12"/>
      <c r="G450" s="1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1"/>
      <c r="C451" s="11"/>
      <c r="D451" s="12"/>
      <c r="E451" s="12"/>
      <c r="F451" s="12"/>
      <c r="G451" s="1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1"/>
      <c r="C452" s="11"/>
      <c r="D452" s="12"/>
      <c r="E452" s="12"/>
      <c r="F452" s="12"/>
      <c r="G452" s="1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1"/>
      <c r="C453" s="11"/>
      <c r="D453" s="12"/>
      <c r="E453" s="12"/>
      <c r="F453" s="12"/>
      <c r="G453" s="1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1"/>
      <c r="C454" s="11"/>
      <c r="D454" s="12"/>
      <c r="E454" s="12"/>
      <c r="F454" s="12"/>
      <c r="G454" s="1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1"/>
      <c r="C455" s="11"/>
      <c r="D455" s="12"/>
      <c r="E455" s="12"/>
      <c r="F455" s="12"/>
      <c r="G455" s="1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1"/>
      <c r="C456" s="11"/>
      <c r="D456" s="12"/>
      <c r="E456" s="12"/>
      <c r="F456" s="12"/>
      <c r="G456" s="1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1"/>
      <c r="C457" s="11"/>
      <c r="D457" s="12"/>
      <c r="E457" s="12"/>
      <c r="F457" s="12"/>
      <c r="G457" s="1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1"/>
      <c r="C458" s="11"/>
      <c r="D458" s="12"/>
      <c r="E458" s="12"/>
      <c r="F458" s="12"/>
      <c r="G458" s="1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1"/>
      <c r="C459" s="11"/>
      <c r="D459" s="12"/>
      <c r="E459" s="12"/>
      <c r="F459" s="12"/>
      <c r="G459" s="1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1"/>
      <c r="C460" s="11"/>
      <c r="D460" s="12"/>
      <c r="E460" s="12"/>
      <c r="F460" s="12"/>
      <c r="G460" s="1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1"/>
      <c r="C461" s="11"/>
      <c r="D461" s="12"/>
      <c r="E461" s="12"/>
      <c r="F461" s="12"/>
      <c r="G461" s="1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1"/>
      <c r="C462" s="11"/>
      <c r="D462" s="12"/>
      <c r="E462" s="12"/>
      <c r="F462" s="12"/>
      <c r="G462" s="1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1"/>
      <c r="C463" s="11"/>
      <c r="D463" s="12"/>
      <c r="E463" s="12"/>
      <c r="F463" s="12"/>
      <c r="G463" s="1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1"/>
      <c r="C464" s="11"/>
      <c r="D464" s="12"/>
      <c r="E464" s="12"/>
      <c r="F464" s="12"/>
      <c r="G464" s="1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1"/>
      <c r="C465" s="11"/>
      <c r="D465" s="12"/>
      <c r="E465" s="12"/>
      <c r="F465" s="12"/>
      <c r="G465" s="1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1"/>
      <c r="C466" s="11"/>
      <c r="D466" s="12"/>
      <c r="E466" s="12"/>
      <c r="F466" s="12"/>
      <c r="G466" s="1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1"/>
      <c r="C467" s="11"/>
      <c r="D467" s="12"/>
      <c r="E467" s="12"/>
      <c r="F467" s="12"/>
      <c r="G467" s="1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1"/>
      <c r="C468" s="11"/>
      <c r="D468" s="12"/>
      <c r="E468" s="12"/>
      <c r="F468" s="12"/>
      <c r="G468" s="1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1"/>
      <c r="C469" s="11"/>
      <c r="D469" s="12"/>
      <c r="E469" s="12"/>
      <c r="F469" s="12"/>
      <c r="G469" s="1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1"/>
      <c r="C470" s="11"/>
      <c r="D470" s="12"/>
      <c r="E470" s="12"/>
      <c r="F470" s="12"/>
      <c r="G470" s="1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1"/>
      <c r="C471" s="11"/>
      <c r="D471" s="12"/>
      <c r="E471" s="12"/>
      <c r="F471" s="12"/>
      <c r="G471" s="1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1"/>
      <c r="C472" s="11"/>
      <c r="D472" s="12"/>
      <c r="E472" s="12"/>
      <c r="F472" s="12"/>
      <c r="G472" s="1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1"/>
      <c r="C473" s="11"/>
      <c r="D473" s="12"/>
      <c r="E473" s="12"/>
      <c r="F473" s="12"/>
      <c r="G473" s="1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1"/>
      <c r="C474" s="11"/>
      <c r="D474" s="12"/>
      <c r="E474" s="12"/>
      <c r="F474" s="12"/>
      <c r="G474" s="1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1"/>
      <c r="C475" s="11"/>
      <c r="D475" s="12"/>
      <c r="E475" s="12"/>
      <c r="F475" s="12"/>
      <c r="G475" s="1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1"/>
      <c r="C476" s="11"/>
      <c r="D476" s="12"/>
      <c r="E476" s="12"/>
      <c r="F476" s="12"/>
      <c r="G476" s="1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1"/>
      <c r="C477" s="11"/>
      <c r="D477" s="12"/>
      <c r="E477" s="12"/>
      <c r="F477" s="12"/>
      <c r="G477" s="1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1"/>
      <c r="C478" s="11"/>
      <c r="D478" s="12"/>
      <c r="E478" s="12"/>
      <c r="F478" s="12"/>
      <c r="G478" s="1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1"/>
      <c r="C479" s="11"/>
      <c r="D479" s="12"/>
      <c r="E479" s="12"/>
      <c r="F479" s="12"/>
      <c r="G479" s="1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1"/>
      <c r="C480" s="11"/>
      <c r="D480" s="12"/>
      <c r="E480" s="12"/>
      <c r="F480" s="12"/>
      <c r="G480" s="1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1"/>
      <c r="C481" s="11"/>
      <c r="D481" s="12"/>
      <c r="E481" s="12"/>
      <c r="F481" s="12"/>
      <c r="G481" s="1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1"/>
      <c r="C482" s="11"/>
      <c r="D482" s="12"/>
      <c r="E482" s="12"/>
      <c r="F482" s="12"/>
      <c r="G482" s="1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1"/>
      <c r="C483" s="11"/>
      <c r="D483" s="12"/>
      <c r="E483" s="12"/>
      <c r="F483" s="12"/>
      <c r="G483" s="1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1"/>
      <c r="C484" s="11"/>
      <c r="D484" s="12"/>
      <c r="E484" s="12"/>
      <c r="F484" s="12"/>
      <c r="G484" s="1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1"/>
      <c r="C485" s="11"/>
      <c r="D485" s="12"/>
      <c r="E485" s="12"/>
      <c r="F485" s="12"/>
      <c r="G485" s="1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1"/>
      <c r="C486" s="11"/>
      <c r="D486" s="12"/>
      <c r="E486" s="12"/>
      <c r="F486" s="12"/>
      <c r="G486" s="1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1"/>
      <c r="C487" s="11"/>
      <c r="D487" s="12"/>
      <c r="E487" s="12"/>
      <c r="F487" s="12"/>
      <c r="G487" s="1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1"/>
      <c r="C488" s="11"/>
      <c r="D488" s="12"/>
      <c r="E488" s="12"/>
      <c r="F488" s="12"/>
      <c r="G488" s="1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1"/>
      <c r="C489" s="11"/>
      <c r="D489" s="12"/>
      <c r="E489" s="12"/>
      <c r="F489" s="12"/>
      <c r="G489" s="1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1"/>
      <c r="C490" s="11"/>
      <c r="D490" s="12"/>
      <c r="E490" s="12"/>
      <c r="F490" s="12"/>
      <c r="G490" s="1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1"/>
      <c r="C491" s="11"/>
      <c r="D491" s="12"/>
      <c r="E491" s="12"/>
      <c r="F491" s="12"/>
      <c r="G491" s="1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1"/>
      <c r="C492" s="11"/>
      <c r="D492" s="12"/>
      <c r="E492" s="12"/>
      <c r="F492" s="12"/>
      <c r="G492" s="1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1"/>
      <c r="C493" s="11"/>
      <c r="D493" s="12"/>
      <c r="E493" s="12"/>
      <c r="F493" s="12"/>
      <c r="G493" s="1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1"/>
      <c r="C494" s="11"/>
      <c r="D494" s="12"/>
      <c r="E494" s="12"/>
      <c r="F494" s="12"/>
      <c r="G494" s="1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1"/>
      <c r="C495" s="11"/>
      <c r="D495" s="12"/>
      <c r="E495" s="12"/>
      <c r="F495" s="12"/>
      <c r="G495" s="1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1"/>
      <c r="C496" s="11"/>
      <c r="D496" s="12"/>
      <c r="E496" s="12"/>
      <c r="F496" s="12"/>
      <c r="G496" s="1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1"/>
      <c r="C497" s="11"/>
      <c r="D497" s="12"/>
      <c r="E497" s="12"/>
      <c r="F497" s="12"/>
      <c r="G497" s="1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1"/>
      <c r="C498" s="11"/>
      <c r="D498" s="12"/>
      <c r="E498" s="12"/>
      <c r="F498" s="12"/>
      <c r="G498" s="13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1"/>
      <c r="C499" s="11"/>
      <c r="D499" s="12"/>
      <c r="E499" s="12"/>
      <c r="F499" s="12"/>
      <c r="G499" s="13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1"/>
      <c r="C500" s="11"/>
      <c r="D500" s="12"/>
      <c r="E500" s="12"/>
      <c r="F500" s="12"/>
      <c r="G500" s="13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1"/>
      <c r="C501" s="11"/>
      <c r="D501" s="12"/>
      <c r="E501" s="12"/>
      <c r="F501" s="12"/>
      <c r="G501" s="13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1"/>
      <c r="C502" s="11"/>
      <c r="D502" s="12"/>
      <c r="E502" s="12"/>
      <c r="F502" s="12"/>
      <c r="G502" s="13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1"/>
      <c r="C503" s="11"/>
      <c r="D503" s="12"/>
      <c r="E503" s="12"/>
      <c r="F503" s="12"/>
      <c r="G503" s="13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1"/>
      <c r="C504" s="11"/>
      <c r="D504" s="12"/>
      <c r="E504" s="12"/>
      <c r="F504" s="12"/>
      <c r="G504" s="13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1"/>
      <c r="C505" s="11"/>
      <c r="D505" s="12"/>
      <c r="E505" s="12"/>
      <c r="F505" s="12"/>
      <c r="G505" s="13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1"/>
      <c r="C506" s="11"/>
      <c r="D506" s="12"/>
      <c r="E506" s="12"/>
      <c r="F506" s="12"/>
      <c r="G506" s="13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1"/>
      <c r="C507" s="11"/>
      <c r="D507" s="12"/>
      <c r="E507" s="12"/>
      <c r="F507" s="12"/>
      <c r="G507" s="13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1"/>
      <c r="C508" s="11"/>
      <c r="D508" s="12"/>
      <c r="E508" s="12"/>
      <c r="F508" s="12"/>
      <c r="G508" s="13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1"/>
      <c r="C509" s="11"/>
      <c r="D509" s="12"/>
      <c r="E509" s="12"/>
      <c r="F509" s="12"/>
      <c r="G509" s="13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1"/>
      <c r="C510" s="11"/>
      <c r="D510" s="12"/>
      <c r="E510" s="12"/>
      <c r="F510" s="12"/>
      <c r="G510" s="13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1"/>
      <c r="C511" s="11"/>
      <c r="D511" s="12"/>
      <c r="E511" s="12"/>
      <c r="F511" s="12"/>
      <c r="G511" s="13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1"/>
      <c r="C512" s="11"/>
      <c r="D512" s="12"/>
      <c r="E512" s="12"/>
      <c r="F512" s="12"/>
      <c r="G512" s="13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1"/>
      <c r="C513" s="11"/>
      <c r="D513" s="12"/>
      <c r="E513" s="12"/>
      <c r="F513" s="12"/>
      <c r="G513" s="13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1"/>
      <c r="C514" s="11"/>
      <c r="D514" s="12"/>
      <c r="E514" s="12"/>
      <c r="F514" s="12"/>
      <c r="G514" s="13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1"/>
      <c r="C515" s="11"/>
      <c r="D515" s="12"/>
      <c r="E515" s="12"/>
      <c r="F515" s="12"/>
      <c r="G515" s="13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1"/>
      <c r="C516" s="11"/>
      <c r="D516" s="12"/>
      <c r="E516" s="12"/>
      <c r="F516" s="12"/>
      <c r="G516" s="13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1"/>
      <c r="C517" s="11"/>
      <c r="D517" s="12"/>
      <c r="E517" s="12"/>
      <c r="F517" s="12"/>
      <c r="G517" s="13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1"/>
      <c r="C518" s="11"/>
      <c r="D518" s="12"/>
      <c r="E518" s="12"/>
      <c r="F518" s="12"/>
      <c r="G518" s="13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1"/>
      <c r="C519" s="11"/>
      <c r="D519" s="12"/>
      <c r="E519" s="12"/>
      <c r="F519" s="12"/>
      <c r="G519" s="13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1"/>
      <c r="C520" s="11"/>
      <c r="D520" s="12"/>
      <c r="E520" s="12"/>
      <c r="F520" s="12"/>
      <c r="G520" s="13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1"/>
      <c r="C521" s="11"/>
      <c r="D521" s="12"/>
      <c r="E521" s="12"/>
      <c r="F521" s="12"/>
      <c r="G521" s="13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1"/>
      <c r="C522" s="11"/>
      <c r="D522" s="12"/>
      <c r="E522" s="12"/>
      <c r="F522" s="12"/>
      <c r="G522" s="13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1"/>
      <c r="C523" s="11"/>
      <c r="D523" s="12"/>
      <c r="E523" s="12"/>
      <c r="F523" s="12"/>
      <c r="G523" s="13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1"/>
      <c r="C524" s="11"/>
      <c r="D524" s="12"/>
      <c r="E524" s="12"/>
      <c r="F524" s="12"/>
      <c r="G524" s="13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1"/>
      <c r="C525" s="11"/>
      <c r="D525" s="12"/>
      <c r="E525" s="12"/>
      <c r="F525" s="12"/>
      <c r="G525" s="13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1"/>
      <c r="C526" s="11"/>
      <c r="D526" s="12"/>
      <c r="E526" s="12"/>
      <c r="F526" s="12"/>
      <c r="G526" s="13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1"/>
      <c r="C527" s="11"/>
      <c r="D527" s="12"/>
      <c r="E527" s="12"/>
      <c r="F527" s="12"/>
      <c r="G527" s="13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1"/>
      <c r="C528" s="11"/>
      <c r="D528" s="12"/>
      <c r="E528" s="12"/>
      <c r="F528" s="12"/>
      <c r="G528" s="13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1"/>
      <c r="C529" s="11"/>
      <c r="D529" s="12"/>
      <c r="E529" s="12"/>
      <c r="F529" s="12"/>
      <c r="G529" s="13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1"/>
      <c r="C530" s="11"/>
      <c r="D530" s="12"/>
      <c r="E530" s="12"/>
      <c r="F530" s="12"/>
      <c r="G530" s="13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1"/>
      <c r="C531" s="11"/>
      <c r="D531" s="12"/>
      <c r="E531" s="12"/>
      <c r="F531" s="12"/>
      <c r="G531" s="13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1"/>
      <c r="C532" s="11"/>
      <c r="D532" s="12"/>
      <c r="E532" s="12"/>
      <c r="F532" s="12"/>
      <c r="G532" s="13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1"/>
      <c r="C533" s="11"/>
      <c r="D533" s="12"/>
      <c r="E533" s="12"/>
      <c r="F533" s="12"/>
      <c r="G533" s="13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1"/>
      <c r="C534" s="11"/>
      <c r="D534" s="12"/>
      <c r="E534" s="12"/>
      <c r="F534" s="12"/>
      <c r="G534" s="13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1"/>
      <c r="C535" s="11"/>
      <c r="D535" s="12"/>
      <c r="E535" s="12"/>
      <c r="F535" s="12"/>
      <c r="G535" s="13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1"/>
      <c r="C536" s="11"/>
      <c r="D536" s="12"/>
      <c r="E536" s="12"/>
      <c r="F536" s="12"/>
      <c r="G536" s="13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1"/>
      <c r="C537" s="11"/>
      <c r="D537" s="12"/>
      <c r="E537" s="12"/>
      <c r="F537" s="12"/>
      <c r="G537" s="13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1"/>
      <c r="C538" s="11"/>
      <c r="D538" s="12"/>
      <c r="E538" s="12"/>
      <c r="F538" s="12"/>
      <c r="G538" s="13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1"/>
      <c r="C539" s="11"/>
      <c r="D539" s="12"/>
      <c r="E539" s="12"/>
      <c r="F539" s="12"/>
      <c r="G539" s="13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1"/>
      <c r="C540" s="11"/>
      <c r="D540" s="12"/>
      <c r="E540" s="12"/>
      <c r="F540" s="12"/>
      <c r="G540" s="13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1"/>
      <c r="C541" s="11"/>
      <c r="D541" s="12"/>
      <c r="E541" s="12"/>
      <c r="F541" s="12"/>
      <c r="G541" s="13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1"/>
      <c r="C542" s="11"/>
      <c r="D542" s="12"/>
      <c r="E542" s="12"/>
      <c r="F542" s="12"/>
      <c r="G542" s="13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1"/>
      <c r="C543" s="11"/>
      <c r="D543" s="12"/>
      <c r="E543" s="12"/>
      <c r="F543" s="12"/>
      <c r="G543" s="13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1"/>
      <c r="C544" s="11"/>
      <c r="D544" s="12"/>
      <c r="E544" s="12"/>
      <c r="F544" s="12"/>
      <c r="G544" s="13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1"/>
      <c r="C545" s="11"/>
      <c r="D545" s="12"/>
      <c r="E545" s="12"/>
      <c r="F545" s="12"/>
      <c r="G545" s="13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1"/>
      <c r="C546" s="11"/>
      <c r="D546" s="12"/>
      <c r="E546" s="12"/>
      <c r="F546" s="12"/>
      <c r="G546" s="13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1"/>
      <c r="C547" s="11"/>
      <c r="D547" s="12"/>
      <c r="E547" s="12"/>
      <c r="F547" s="12"/>
      <c r="G547" s="13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1"/>
      <c r="C548" s="11"/>
      <c r="D548" s="12"/>
      <c r="E548" s="12"/>
      <c r="F548" s="12"/>
      <c r="G548" s="13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1"/>
      <c r="C549" s="11"/>
      <c r="D549" s="12"/>
      <c r="E549" s="12"/>
      <c r="F549" s="12"/>
      <c r="G549" s="13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1"/>
      <c r="C550" s="11"/>
      <c r="D550" s="12"/>
      <c r="E550" s="12"/>
      <c r="F550" s="12"/>
      <c r="G550" s="13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1"/>
      <c r="C551" s="11"/>
      <c r="D551" s="12"/>
      <c r="E551" s="12"/>
      <c r="F551" s="12"/>
      <c r="G551" s="13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1"/>
      <c r="C552" s="11"/>
      <c r="D552" s="12"/>
      <c r="E552" s="12"/>
      <c r="F552" s="12"/>
      <c r="G552" s="13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1"/>
      <c r="C553" s="11"/>
      <c r="D553" s="12"/>
      <c r="E553" s="12"/>
      <c r="F553" s="12"/>
      <c r="G553" s="13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1"/>
      <c r="C554" s="11"/>
      <c r="D554" s="12"/>
      <c r="E554" s="12"/>
      <c r="F554" s="12"/>
      <c r="G554" s="13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1"/>
      <c r="C555" s="11"/>
      <c r="D555" s="12"/>
      <c r="E555" s="12"/>
      <c r="F555" s="12"/>
      <c r="G555" s="13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1"/>
      <c r="C556" s="11"/>
      <c r="D556" s="12"/>
      <c r="E556" s="12"/>
      <c r="F556" s="12"/>
      <c r="G556" s="13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1"/>
      <c r="C557" s="11"/>
      <c r="D557" s="12"/>
      <c r="E557" s="12"/>
      <c r="F557" s="12"/>
      <c r="G557" s="13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1"/>
      <c r="C558" s="11"/>
      <c r="D558" s="12"/>
      <c r="E558" s="12"/>
      <c r="F558" s="12"/>
      <c r="G558" s="13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1"/>
      <c r="C559" s="11"/>
      <c r="D559" s="12"/>
      <c r="E559" s="12"/>
      <c r="F559" s="12"/>
      <c r="G559" s="13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1"/>
      <c r="C560" s="11"/>
      <c r="D560" s="12"/>
      <c r="E560" s="12"/>
      <c r="F560" s="12"/>
      <c r="G560" s="13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1"/>
      <c r="C561" s="11"/>
      <c r="D561" s="12"/>
      <c r="E561" s="12"/>
      <c r="F561" s="12"/>
      <c r="G561" s="13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1"/>
      <c r="C562" s="11"/>
      <c r="D562" s="12"/>
      <c r="E562" s="12"/>
      <c r="F562" s="12"/>
      <c r="G562" s="13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1"/>
      <c r="C563" s="11"/>
      <c r="D563" s="12"/>
      <c r="E563" s="12"/>
      <c r="F563" s="12"/>
      <c r="G563" s="13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1"/>
      <c r="C564" s="11"/>
      <c r="D564" s="12"/>
      <c r="E564" s="12"/>
      <c r="F564" s="12"/>
      <c r="G564" s="13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1"/>
      <c r="C565" s="11"/>
      <c r="D565" s="12"/>
      <c r="E565" s="12"/>
      <c r="F565" s="12"/>
      <c r="G565" s="13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1"/>
      <c r="C566" s="11"/>
      <c r="D566" s="12"/>
      <c r="E566" s="12"/>
      <c r="F566" s="12"/>
      <c r="G566" s="13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1"/>
      <c r="C567" s="11"/>
      <c r="D567" s="12"/>
      <c r="E567" s="12"/>
      <c r="F567" s="12"/>
      <c r="G567" s="13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1"/>
      <c r="C568" s="11"/>
      <c r="D568" s="12"/>
      <c r="E568" s="12"/>
      <c r="F568" s="12"/>
      <c r="G568" s="13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1"/>
      <c r="C569" s="11"/>
      <c r="D569" s="12"/>
      <c r="E569" s="12"/>
      <c r="F569" s="12"/>
      <c r="G569" s="13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1"/>
      <c r="C570" s="11"/>
      <c r="D570" s="12"/>
      <c r="E570" s="12"/>
      <c r="F570" s="12"/>
      <c r="G570" s="13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1"/>
      <c r="C571" s="11"/>
      <c r="D571" s="12"/>
      <c r="E571" s="12"/>
      <c r="F571" s="12"/>
      <c r="G571" s="13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1"/>
      <c r="C572" s="11"/>
      <c r="D572" s="12"/>
      <c r="E572" s="12"/>
      <c r="F572" s="12"/>
      <c r="G572" s="13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1"/>
      <c r="C573" s="11"/>
      <c r="D573" s="12"/>
      <c r="E573" s="12"/>
      <c r="F573" s="12"/>
      <c r="G573" s="13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1"/>
      <c r="C574" s="11"/>
      <c r="D574" s="12"/>
      <c r="E574" s="12"/>
      <c r="F574" s="12"/>
      <c r="G574" s="13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1"/>
      <c r="C575" s="11"/>
      <c r="D575" s="12"/>
      <c r="E575" s="12"/>
      <c r="F575" s="12"/>
      <c r="G575" s="13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1"/>
      <c r="C576" s="11"/>
      <c r="D576" s="12"/>
      <c r="E576" s="12"/>
      <c r="F576" s="12"/>
      <c r="G576" s="13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1"/>
      <c r="C577" s="11"/>
      <c r="D577" s="12"/>
      <c r="E577" s="12"/>
      <c r="F577" s="12"/>
      <c r="G577" s="13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1"/>
      <c r="C578" s="11"/>
      <c r="D578" s="12"/>
      <c r="E578" s="12"/>
      <c r="F578" s="12"/>
      <c r="G578" s="13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1"/>
      <c r="C579" s="11"/>
      <c r="D579" s="12"/>
      <c r="E579" s="12"/>
      <c r="F579" s="12"/>
      <c r="G579" s="13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1"/>
      <c r="C580" s="11"/>
      <c r="D580" s="12"/>
      <c r="E580" s="12"/>
      <c r="F580" s="12"/>
      <c r="G580" s="13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1"/>
      <c r="C581" s="11"/>
      <c r="D581" s="12"/>
      <c r="E581" s="12"/>
      <c r="F581" s="12"/>
      <c r="G581" s="13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1"/>
      <c r="C582" s="11"/>
      <c r="D582" s="12"/>
      <c r="E582" s="12"/>
      <c r="F582" s="12"/>
      <c r="G582" s="13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1"/>
      <c r="C583" s="11"/>
      <c r="D583" s="12"/>
      <c r="E583" s="12"/>
      <c r="F583" s="12"/>
      <c r="G583" s="13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1"/>
      <c r="C584" s="11"/>
      <c r="D584" s="12"/>
      <c r="E584" s="12"/>
      <c r="F584" s="12"/>
      <c r="G584" s="13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1"/>
      <c r="C585" s="11"/>
      <c r="D585" s="12"/>
      <c r="E585" s="12"/>
      <c r="F585" s="12"/>
      <c r="G585" s="13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1"/>
      <c r="C586" s="11"/>
      <c r="D586" s="12"/>
      <c r="E586" s="12"/>
      <c r="F586" s="12"/>
      <c r="G586" s="13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1"/>
      <c r="C587" s="11"/>
      <c r="D587" s="12"/>
      <c r="E587" s="12"/>
      <c r="F587" s="12"/>
      <c r="G587" s="13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1"/>
      <c r="C588" s="11"/>
      <c r="D588" s="12"/>
      <c r="E588" s="12"/>
      <c r="F588" s="12"/>
      <c r="G588" s="13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1"/>
      <c r="C589" s="11"/>
      <c r="D589" s="12"/>
      <c r="E589" s="12"/>
      <c r="F589" s="12"/>
      <c r="G589" s="13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1"/>
      <c r="C590" s="11"/>
      <c r="D590" s="12"/>
      <c r="E590" s="12"/>
      <c r="F590" s="12"/>
      <c r="G590" s="13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1"/>
      <c r="C591" s="11"/>
      <c r="D591" s="12"/>
      <c r="E591" s="12"/>
      <c r="F591" s="12"/>
      <c r="G591" s="13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1"/>
      <c r="C592" s="11"/>
      <c r="D592" s="12"/>
      <c r="E592" s="12"/>
      <c r="F592" s="12"/>
      <c r="G592" s="13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1"/>
      <c r="C593" s="11"/>
      <c r="D593" s="12"/>
      <c r="E593" s="12"/>
      <c r="F593" s="12"/>
      <c r="G593" s="13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1"/>
      <c r="C594" s="11"/>
      <c r="D594" s="12"/>
      <c r="E594" s="12"/>
      <c r="F594" s="12"/>
      <c r="G594" s="13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1"/>
      <c r="C595" s="11"/>
      <c r="D595" s="12"/>
      <c r="E595" s="12"/>
      <c r="F595" s="12"/>
      <c r="G595" s="13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1"/>
      <c r="C596" s="11"/>
      <c r="D596" s="12"/>
      <c r="E596" s="12"/>
      <c r="F596" s="12"/>
      <c r="G596" s="13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1"/>
      <c r="C597" s="11"/>
      <c r="D597" s="12"/>
      <c r="E597" s="12"/>
      <c r="F597" s="12"/>
      <c r="G597" s="13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1"/>
      <c r="C598" s="11"/>
      <c r="D598" s="12"/>
      <c r="E598" s="12"/>
      <c r="F598" s="12"/>
      <c r="G598" s="13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1"/>
      <c r="C599" s="11"/>
      <c r="D599" s="12"/>
      <c r="E599" s="12"/>
      <c r="F599" s="12"/>
      <c r="G599" s="13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1"/>
      <c r="C600" s="11"/>
      <c r="D600" s="12"/>
      <c r="E600" s="12"/>
      <c r="F600" s="12"/>
      <c r="G600" s="13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1"/>
      <c r="C601" s="11"/>
      <c r="D601" s="12"/>
      <c r="E601" s="12"/>
      <c r="F601" s="12"/>
      <c r="G601" s="13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1"/>
      <c r="C602" s="11"/>
      <c r="D602" s="12"/>
      <c r="E602" s="12"/>
      <c r="F602" s="12"/>
      <c r="G602" s="13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1"/>
      <c r="C603" s="11"/>
      <c r="D603" s="12"/>
      <c r="E603" s="12"/>
      <c r="F603" s="12"/>
      <c r="G603" s="13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1"/>
      <c r="C604" s="11"/>
      <c r="D604" s="12"/>
      <c r="E604" s="12"/>
      <c r="F604" s="12"/>
      <c r="G604" s="13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1"/>
      <c r="C605" s="11"/>
      <c r="D605" s="12"/>
      <c r="E605" s="12"/>
      <c r="F605" s="12"/>
      <c r="G605" s="13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1"/>
      <c r="C606" s="11"/>
      <c r="D606" s="12"/>
      <c r="E606" s="12"/>
      <c r="F606" s="12"/>
      <c r="G606" s="13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1"/>
      <c r="C607" s="11"/>
      <c r="D607" s="12"/>
      <c r="E607" s="12"/>
      <c r="F607" s="12"/>
      <c r="G607" s="13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1"/>
      <c r="C608" s="11"/>
      <c r="D608" s="12"/>
      <c r="E608" s="12"/>
      <c r="F608" s="12"/>
      <c r="G608" s="13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1"/>
      <c r="C609" s="11"/>
      <c r="D609" s="12"/>
      <c r="E609" s="12"/>
      <c r="F609" s="12"/>
      <c r="G609" s="13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1"/>
      <c r="C610" s="11"/>
      <c r="D610" s="12"/>
      <c r="E610" s="12"/>
      <c r="F610" s="12"/>
      <c r="G610" s="13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1"/>
      <c r="C611" s="11"/>
      <c r="D611" s="12"/>
      <c r="E611" s="12"/>
      <c r="F611" s="12"/>
      <c r="G611" s="13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1"/>
      <c r="C612" s="11"/>
      <c r="D612" s="12"/>
      <c r="E612" s="12"/>
      <c r="F612" s="12"/>
      <c r="G612" s="13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1"/>
      <c r="C613" s="11"/>
      <c r="D613" s="12"/>
      <c r="E613" s="12"/>
      <c r="F613" s="12"/>
      <c r="G613" s="13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1"/>
      <c r="C614" s="11"/>
      <c r="D614" s="12"/>
      <c r="E614" s="12"/>
      <c r="F614" s="12"/>
      <c r="G614" s="13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1"/>
      <c r="C615" s="11"/>
      <c r="D615" s="12"/>
      <c r="E615" s="12"/>
      <c r="F615" s="12"/>
      <c r="G615" s="13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1"/>
      <c r="C616" s="11"/>
      <c r="D616" s="12"/>
      <c r="E616" s="12"/>
      <c r="F616" s="12"/>
      <c r="G616" s="13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1"/>
      <c r="C617" s="11"/>
      <c r="D617" s="12"/>
      <c r="E617" s="12"/>
      <c r="F617" s="12"/>
      <c r="G617" s="13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1"/>
      <c r="C618" s="11"/>
      <c r="D618" s="12"/>
      <c r="E618" s="12"/>
      <c r="F618" s="12"/>
      <c r="G618" s="13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1"/>
      <c r="C619" s="11"/>
      <c r="D619" s="12"/>
      <c r="E619" s="12"/>
      <c r="F619" s="12"/>
      <c r="G619" s="13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1"/>
      <c r="C620" s="11"/>
      <c r="D620" s="12"/>
      <c r="E620" s="12"/>
      <c r="F620" s="12"/>
      <c r="G620" s="13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1"/>
      <c r="C621" s="11"/>
      <c r="D621" s="12"/>
      <c r="E621" s="12"/>
      <c r="F621" s="12"/>
      <c r="G621" s="13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1"/>
      <c r="C622" s="11"/>
      <c r="D622" s="12"/>
      <c r="E622" s="12"/>
      <c r="F622" s="12"/>
      <c r="G622" s="13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1"/>
      <c r="C623" s="11"/>
      <c r="D623" s="12"/>
      <c r="E623" s="12"/>
      <c r="F623" s="12"/>
      <c r="G623" s="13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1"/>
      <c r="C624" s="11"/>
      <c r="D624" s="12"/>
      <c r="E624" s="12"/>
      <c r="F624" s="12"/>
      <c r="G624" s="13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1"/>
      <c r="C625" s="11"/>
      <c r="D625" s="12"/>
      <c r="E625" s="12"/>
      <c r="F625" s="12"/>
      <c r="G625" s="13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1"/>
      <c r="C626" s="11"/>
      <c r="D626" s="12"/>
      <c r="E626" s="12"/>
      <c r="F626" s="12"/>
      <c r="G626" s="13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1"/>
      <c r="C627" s="11"/>
      <c r="D627" s="12"/>
      <c r="E627" s="12"/>
      <c r="F627" s="12"/>
      <c r="G627" s="13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1"/>
      <c r="C628" s="11"/>
      <c r="D628" s="12"/>
      <c r="E628" s="12"/>
      <c r="F628" s="12"/>
      <c r="G628" s="13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1"/>
      <c r="C629" s="11"/>
      <c r="D629" s="12"/>
      <c r="E629" s="12"/>
      <c r="F629" s="12"/>
      <c r="G629" s="13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1"/>
      <c r="C630" s="11"/>
      <c r="D630" s="12"/>
      <c r="E630" s="12"/>
      <c r="F630" s="12"/>
      <c r="G630" s="13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1"/>
      <c r="C631" s="11"/>
      <c r="D631" s="12"/>
      <c r="E631" s="12"/>
      <c r="F631" s="12"/>
      <c r="G631" s="13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1"/>
      <c r="C632" s="11"/>
      <c r="D632" s="12"/>
      <c r="E632" s="12"/>
      <c r="F632" s="12"/>
      <c r="G632" s="13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1"/>
      <c r="C633" s="11"/>
      <c r="D633" s="12"/>
      <c r="E633" s="12"/>
      <c r="F633" s="12"/>
      <c r="G633" s="13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1"/>
      <c r="C634" s="11"/>
      <c r="D634" s="12"/>
      <c r="E634" s="12"/>
      <c r="F634" s="12"/>
      <c r="G634" s="13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1"/>
      <c r="C635" s="11"/>
      <c r="D635" s="12"/>
      <c r="E635" s="12"/>
      <c r="F635" s="12"/>
      <c r="G635" s="13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1"/>
      <c r="C636" s="11"/>
      <c r="D636" s="12"/>
      <c r="E636" s="12"/>
      <c r="F636" s="12"/>
      <c r="G636" s="13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1"/>
      <c r="C637" s="11"/>
      <c r="D637" s="12"/>
      <c r="E637" s="12"/>
      <c r="F637" s="12"/>
      <c r="G637" s="13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1"/>
      <c r="C638" s="11"/>
      <c r="D638" s="12"/>
      <c r="E638" s="12"/>
      <c r="F638" s="12"/>
      <c r="G638" s="13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1"/>
      <c r="C639" s="11"/>
      <c r="D639" s="12"/>
      <c r="E639" s="12"/>
      <c r="F639" s="12"/>
      <c r="G639" s="13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1"/>
      <c r="C640" s="11"/>
      <c r="D640" s="12"/>
      <c r="E640" s="12"/>
      <c r="F640" s="12"/>
      <c r="G640" s="13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1"/>
      <c r="C641" s="11"/>
      <c r="D641" s="12"/>
      <c r="E641" s="12"/>
      <c r="F641" s="12"/>
      <c r="G641" s="13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1"/>
      <c r="C642" s="11"/>
      <c r="D642" s="12"/>
      <c r="E642" s="12"/>
      <c r="F642" s="12"/>
      <c r="G642" s="13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1"/>
      <c r="C643" s="11"/>
      <c r="D643" s="12"/>
      <c r="E643" s="12"/>
      <c r="F643" s="12"/>
      <c r="G643" s="13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1"/>
      <c r="C644" s="11"/>
      <c r="D644" s="12"/>
      <c r="E644" s="12"/>
      <c r="F644" s="12"/>
      <c r="G644" s="13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1"/>
      <c r="C645" s="11"/>
      <c r="D645" s="12"/>
      <c r="E645" s="12"/>
      <c r="F645" s="12"/>
      <c r="G645" s="13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1"/>
      <c r="C646" s="11"/>
      <c r="D646" s="12"/>
      <c r="E646" s="12"/>
      <c r="F646" s="12"/>
      <c r="G646" s="13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1"/>
      <c r="C647" s="11"/>
      <c r="D647" s="12"/>
      <c r="E647" s="12"/>
      <c r="F647" s="12"/>
      <c r="G647" s="13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1"/>
      <c r="C648" s="11"/>
      <c r="D648" s="12"/>
      <c r="E648" s="12"/>
      <c r="F648" s="12"/>
      <c r="G648" s="13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1"/>
      <c r="C649" s="11"/>
      <c r="D649" s="12"/>
      <c r="E649" s="12"/>
      <c r="F649" s="12"/>
      <c r="G649" s="13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1"/>
      <c r="C650" s="11"/>
      <c r="D650" s="12"/>
      <c r="E650" s="12"/>
      <c r="F650" s="12"/>
      <c r="G650" s="13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1"/>
      <c r="C651" s="11"/>
      <c r="D651" s="12"/>
      <c r="E651" s="12"/>
      <c r="F651" s="12"/>
      <c r="G651" s="13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1"/>
      <c r="C652" s="11"/>
      <c r="D652" s="12"/>
      <c r="E652" s="12"/>
      <c r="F652" s="12"/>
      <c r="G652" s="13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1"/>
      <c r="C653" s="11"/>
      <c r="D653" s="12"/>
      <c r="E653" s="12"/>
      <c r="F653" s="12"/>
      <c r="G653" s="13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1"/>
      <c r="C654" s="11"/>
      <c r="D654" s="12"/>
      <c r="E654" s="12"/>
      <c r="F654" s="12"/>
      <c r="G654" s="13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1"/>
      <c r="C655" s="11"/>
      <c r="D655" s="12"/>
      <c r="E655" s="12"/>
      <c r="F655" s="12"/>
      <c r="G655" s="13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1"/>
      <c r="C656" s="11"/>
      <c r="D656" s="12"/>
      <c r="E656" s="12"/>
      <c r="F656" s="12"/>
      <c r="G656" s="13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1"/>
      <c r="C657" s="11"/>
      <c r="D657" s="12"/>
      <c r="E657" s="12"/>
      <c r="F657" s="12"/>
      <c r="G657" s="13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1"/>
      <c r="C658" s="11"/>
      <c r="D658" s="12"/>
      <c r="E658" s="12"/>
      <c r="F658" s="12"/>
      <c r="G658" s="13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1"/>
      <c r="C659" s="11"/>
      <c r="D659" s="12"/>
      <c r="E659" s="12"/>
      <c r="F659" s="12"/>
      <c r="G659" s="13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1"/>
      <c r="C660" s="11"/>
      <c r="D660" s="12"/>
      <c r="E660" s="12"/>
      <c r="F660" s="12"/>
      <c r="G660" s="13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1"/>
      <c r="C661" s="11"/>
      <c r="D661" s="12"/>
      <c r="E661" s="12"/>
      <c r="F661" s="12"/>
      <c r="G661" s="13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1"/>
      <c r="C662" s="11"/>
      <c r="D662" s="12"/>
      <c r="E662" s="12"/>
      <c r="F662" s="12"/>
      <c r="G662" s="13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1"/>
      <c r="C663" s="11"/>
      <c r="D663" s="12"/>
      <c r="E663" s="12"/>
      <c r="F663" s="12"/>
      <c r="G663" s="13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1"/>
      <c r="C664" s="11"/>
      <c r="D664" s="12"/>
      <c r="E664" s="12"/>
      <c r="F664" s="12"/>
      <c r="G664" s="13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1"/>
      <c r="C665" s="11"/>
      <c r="D665" s="12"/>
      <c r="E665" s="12"/>
      <c r="F665" s="12"/>
      <c r="G665" s="13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1"/>
      <c r="C666" s="11"/>
      <c r="D666" s="12"/>
      <c r="E666" s="12"/>
      <c r="F666" s="12"/>
      <c r="G666" s="13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1"/>
      <c r="C667" s="11"/>
      <c r="D667" s="12"/>
      <c r="E667" s="12"/>
      <c r="F667" s="12"/>
      <c r="G667" s="13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1"/>
      <c r="C668" s="11"/>
      <c r="D668" s="12"/>
      <c r="E668" s="12"/>
      <c r="F668" s="12"/>
      <c r="G668" s="13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1"/>
      <c r="C669" s="11"/>
      <c r="D669" s="12"/>
      <c r="E669" s="12"/>
      <c r="F669" s="12"/>
      <c r="G669" s="13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1"/>
      <c r="C670" s="11"/>
      <c r="D670" s="12"/>
      <c r="E670" s="12"/>
      <c r="F670" s="12"/>
      <c r="G670" s="13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1"/>
      <c r="C671" s="11"/>
      <c r="D671" s="12"/>
      <c r="E671" s="12"/>
      <c r="F671" s="12"/>
      <c r="G671" s="13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1"/>
      <c r="C672" s="11"/>
      <c r="D672" s="12"/>
      <c r="E672" s="12"/>
      <c r="F672" s="12"/>
      <c r="G672" s="13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1"/>
      <c r="C673" s="11"/>
      <c r="D673" s="12"/>
      <c r="E673" s="12"/>
      <c r="F673" s="12"/>
      <c r="G673" s="13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1"/>
      <c r="C674" s="11"/>
      <c r="D674" s="12"/>
      <c r="E674" s="12"/>
      <c r="F674" s="12"/>
      <c r="G674" s="13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1"/>
      <c r="C675" s="11"/>
      <c r="D675" s="12"/>
      <c r="E675" s="12"/>
      <c r="F675" s="12"/>
      <c r="G675" s="13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1"/>
      <c r="C676" s="11"/>
      <c r="D676" s="12"/>
      <c r="E676" s="12"/>
      <c r="F676" s="12"/>
      <c r="G676" s="13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1"/>
      <c r="C677" s="11"/>
      <c r="D677" s="12"/>
      <c r="E677" s="12"/>
      <c r="F677" s="12"/>
      <c r="G677" s="13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1"/>
      <c r="C678" s="11"/>
      <c r="D678" s="12"/>
      <c r="E678" s="12"/>
      <c r="F678" s="12"/>
      <c r="G678" s="13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1"/>
      <c r="C679" s="11"/>
      <c r="D679" s="12"/>
      <c r="E679" s="12"/>
      <c r="F679" s="12"/>
      <c r="G679" s="13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1"/>
      <c r="C680" s="11"/>
      <c r="D680" s="12"/>
      <c r="E680" s="12"/>
      <c r="F680" s="12"/>
      <c r="G680" s="13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1"/>
      <c r="C681" s="11"/>
      <c r="D681" s="12"/>
      <c r="E681" s="12"/>
      <c r="F681" s="12"/>
      <c r="G681" s="13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1"/>
      <c r="C682" s="11"/>
      <c r="D682" s="12"/>
      <c r="E682" s="12"/>
      <c r="F682" s="12"/>
      <c r="G682" s="13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1"/>
      <c r="C683" s="11"/>
      <c r="D683" s="12"/>
      <c r="E683" s="12"/>
      <c r="F683" s="12"/>
      <c r="G683" s="13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1"/>
      <c r="C684" s="11"/>
      <c r="D684" s="12"/>
      <c r="E684" s="12"/>
      <c r="F684" s="12"/>
      <c r="G684" s="13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1"/>
      <c r="C685" s="11"/>
      <c r="D685" s="12"/>
      <c r="E685" s="12"/>
      <c r="F685" s="12"/>
      <c r="G685" s="13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1"/>
      <c r="C686" s="11"/>
      <c r="D686" s="12"/>
      <c r="E686" s="12"/>
      <c r="F686" s="12"/>
      <c r="G686" s="13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1"/>
      <c r="C687" s="11"/>
      <c r="D687" s="12"/>
      <c r="E687" s="12"/>
      <c r="F687" s="12"/>
      <c r="G687" s="13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1"/>
      <c r="C688" s="11"/>
      <c r="D688" s="12"/>
      <c r="E688" s="12"/>
      <c r="F688" s="12"/>
      <c r="G688" s="13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1"/>
      <c r="C689" s="11"/>
      <c r="D689" s="12"/>
      <c r="E689" s="12"/>
      <c r="F689" s="12"/>
      <c r="G689" s="13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1"/>
      <c r="C690" s="11"/>
      <c r="D690" s="12"/>
      <c r="E690" s="12"/>
      <c r="F690" s="12"/>
      <c r="G690" s="13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1"/>
      <c r="C691" s="11"/>
      <c r="D691" s="12"/>
      <c r="E691" s="12"/>
      <c r="F691" s="12"/>
      <c r="G691" s="13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1"/>
      <c r="C692" s="11"/>
      <c r="D692" s="12"/>
      <c r="E692" s="12"/>
      <c r="F692" s="12"/>
      <c r="G692" s="13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1"/>
      <c r="C693" s="11"/>
      <c r="D693" s="12"/>
      <c r="E693" s="12"/>
      <c r="F693" s="12"/>
      <c r="G693" s="13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1"/>
      <c r="C694" s="11"/>
      <c r="D694" s="12"/>
      <c r="E694" s="12"/>
      <c r="F694" s="12"/>
      <c r="G694" s="13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1"/>
      <c r="C695" s="11"/>
      <c r="D695" s="12"/>
      <c r="E695" s="12"/>
      <c r="F695" s="12"/>
      <c r="G695" s="13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1"/>
      <c r="C696" s="11"/>
      <c r="D696" s="12"/>
      <c r="E696" s="12"/>
      <c r="F696" s="12"/>
      <c r="G696" s="13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1"/>
      <c r="C697" s="11"/>
      <c r="D697" s="12"/>
      <c r="E697" s="12"/>
      <c r="F697" s="12"/>
      <c r="G697" s="13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1"/>
      <c r="C698" s="11"/>
      <c r="D698" s="12"/>
      <c r="E698" s="12"/>
      <c r="F698" s="12"/>
      <c r="G698" s="13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1"/>
      <c r="C699" s="11"/>
      <c r="D699" s="12"/>
      <c r="E699" s="12"/>
      <c r="F699" s="12"/>
      <c r="G699" s="13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1"/>
      <c r="C700" s="11"/>
      <c r="D700" s="12"/>
      <c r="E700" s="12"/>
      <c r="F700" s="12"/>
      <c r="G700" s="13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1"/>
      <c r="C701" s="11"/>
      <c r="D701" s="12"/>
      <c r="E701" s="12"/>
      <c r="F701" s="12"/>
      <c r="G701" s="13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1"/>
      <c r="C702" s="11"/>
      <c r="D702" s="12"/>
      <c r="E702" s="12"/>
      <c r="F702" s="12"/>
      <c r="G702" s="13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1"/>
      <c r="C703" s="11"/>
      <c r="D703" s="12"/>
      <c r="E703" s="12"/>
      <c r="F703" s="12"/>
      <c r="G703" s="13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1"/>
      <c r="C704" s="11"/>
      <c r="D704" s="12"/>
      <c r="E704" s="12"/>
      <c r="F704" s="12"/>
      <c r="G704" s="13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1"/>
      <c r="C705" s="11"/>
      <c r="D705" s="12"/>
      <c r="E705" s="12"/>
      <c r="F705" s="12"/>
      <c r="G705" s="13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1"/>
      <c r="C706" s="11"/>
      <c r="D706" s="12"/>
      <c r="E706" s="12"/>
      <c r="F706" s="12"/>
      <c r="G706" s="13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1"/>
      <c r="C707" s="11"/>
      <c r="D707" s="12"/>
      <c r="E707" s="12"/>
      <c r="F707" s="12"/>
      <c r="G707" s="13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1"/>
      <c r="C708" s="11"/>
      <c r="D708" s="12"/>
      <c r="E708" s="12"/>
      <c r="F708" s="12"/>
      <c r="G708" s="13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1"/>
      <c r="C709" s="11"/>
      <c r="D709" s="12"/>
      <c r="E709" s="12"/>
      <c r="F709" s="12"/>
      <c r="G709" s="13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1"/>
      <c r="C710" s="11"/>
      <c r="D710" s="12"/>
      <c r="E710" s="12"/>
      <c r="F710" s="12"/>
      <c r="G710" s="13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1"/>
      <c r="C711" s="11"/>
      <c r="D711" s="12"/>
      <c r="E711" s="12"/>
      <c r="F711" s="12"/>
      <c r="G711" s="13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1"/>
      <c r="C712" s="11"/>
      <c r="D712" s="12"/>
      <c r="E712" s="12"/>
      <c r="F712" s="12"/>
      <c r="G712" s="13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1"/>
      <c r="C713" s="11"/>
      <c r="D713" s="12"/>
      <c r="E713" s="12"/>
      <c r="F713" s="12"/>
      <c r="G713" s="13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1"/>
      <c r="C714" s="11"/>
      <c r="D714" s="12"/>
      <c r="E714" s="12"/>
      <c r="F714" s="12"/>
      <c r="G714" s="13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1"/>
      <c r="C715" s="11"/>
      <c r="D715" s="12"/>
      <c r="E715" s="12"/>
      <c r="F715" s="12"/>
      <c r="G715" s="13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1"/>
      <c r="C716" s="11"/>
      <c r="D716" s="12"/>
      <c r="E716" s="12"/>
      <c r="F716" s="12"/>
      <c r="G716" s="13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1"/>
      <c r="C717" s="11"/>
      <c r="D717" s="12"/>
      <c r="E717" s="12"/>
      <c r="F717" s="12"/>
      <c r="G717" s="13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1"/>
      <c r="C718" s="11"/>
      <c r="D718" s="12"/>
      <c r="E718" s="12"/>
      <c r="F718" s="12"/>
      <c r="G718" s="13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1"/>
      <c r="C719" s="11"/>
      <c r="D719" s="12"/>
      <c r="E719" s="12"/>
      <c r="F719" s="12"/>
      <c r="G719" s="13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1"/>
      <c r="C720" s="11"/>
      <c r="D720" s="12"/>
      <c r="E720" s="12"/>
      <c r="F720" s="12"/>
      <c r="G720" s="13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1"/>
      <c r="C721" s="11"/>
      <c r="D721" s="12"/>
      <c r="E721" s="12"/>
      <c r="F721" s="12"/>
      <c r="G721" s="13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1"/>
      <c r="C722" s="11"/>
      <c r="D722" s="12"/>
      <c r="E722" s="12"/>
      <c r="F722" s="12"/>
      <c r="G722" s="13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1"/>
      <c r="C723" s="11"/>
      <c r="D723" s="12"/>
      <c r="E723" s="12"/>
      <c r="F723" s="12"/>
      <c r="G723" s="13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1"/>
      <c r="C724" s="11"/>
      <c r="D724" s="12"/>
      <c r="E724" s="12"/>
      <c r="F724" s="12"/>
      <c r="G724" s="13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1"/>
      <c r="C725" s="11"/>
      <c r="D725" s="12"/>
      <c r="E725" s="12"/>
      <c r="F725" s="12"/>
      <c r="G725" s="13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1"/>
      <c r="C726" s="11"/>
      <c r="D726" s="12"/>
      <c r="E726" s="12"/>
      <c r="F726" s="12"/>
      <c r="G726" s="13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1"/>
      <c r="C727" s="11"/>
      <c r="D727" s="12"/>
      <c r="E727" s="12"/>
      <c r="F727" s="12"/>
      <c r="G727" s="13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1"/>
      <c r="C728" s="11"/>
      <c r="D728" s="12"/>
      <c r="E728" s="12"/>
      <c r="F728" s="12"/>
      <c r="G728" s="13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1"/>
      <c r="C729" s="11"/>
      <c r="D729" s="12"/>
      <c r="E729" s="12"/>
      <c r="F729" s="12"/>
      <c r="G729" s="13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1"/>
      <c r="C730" s="11"/>
      <c r="D730" s="12"/>
      <c r="E730" s="12"/>
      <c r="F730" s="12"/>
      <c r="G730" s="13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1"/>
      <c r="C731" s="11"/>
      <c r="D731" s="12"/>
      <c r="E731" s="12"/>
      <c r="F731" s="12"/>
      <c r="G731" s="13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1"/>
      <c r="C732" s="11"/>
      <c r="D732" s="12"/>
      <c r="E732" s="12"/>
      <c r="F732" s="12"/>
      <c r="G732" s="13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1"/>
      <c r="C733" s="11"/>
      <c r="D733" s="12"/>
      <c r="E733" s="12"/>
      <c r="F733" s="12"/>
      <c r="G733" s="13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1"/>
      <c r="C734" s="11"/>
      <c r="D734" s="12"/>
      <c r="E734" s="12"/>
      <c r="F734" s="12"/>
      <c r="G734" s="13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1"/>
      <c r="C735" s="11"/>
      <c r="D735" s="12"/>
      <c r="E735" s="12"/>
      <c r="F735" s="12"/>
      <c r="G735" s="13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1"/>
      <c r="C736" s="11"/>
      <c r="D736" s="12"/>
      <c r="E736" s="12"/>
      <c r="F736" s="12"/>
      <c r="G736" s="13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1"/>
      <c r="C737" s="11"/>
      <c r="D737" s="12"/>
      <c r="E737" s="12"/>
      <c r="F737" s="12"/>
      <c r="G737" s="13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1"/>
      <c r="C738" s="11"/>
      <c r="D738" s="12"/>
      <c r="E738" s="12"/>
      <c r="F738" s="12"/>
      <c r="G738" s="13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1"/>
      <c r="C739" s="11"/>
      <c r="D739" s="12"/>
      <c r="E739" s="12"/>
      <c r="F739" s="12"/>
      <c r="G739" s="13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1"/>
      <c r="C740" s="11"/>
      <c r="D740" s="12"/>
      <c r="E740" s="12"/>
      <c r="F740" s="12"/>
      <c r="G740" s="13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1"/>
      <c r="C741" s="11"/>
      <c r="D741" s="12"/>
      <c r="E741" s="12"/>
      <c r="F741" s="12"/>
      <c r="G741" s="13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1"/>
      <c r="C742" s="11"/>
      <c r="D742" s="12"/>
      <c r="E742" s="12"/>
      <c r="F742" s="12"/>
      <c r="G742" s="13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1"/>
      <c r="C743" s="11"/>
      <c r="D743" s="12"/>
      <c r="E743" s="12"/>
      <c r="F743" s="12"/>
      <c r="G743" s="13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1"/>
      <c r="C744" s="11"/>
      <c r="D744" s="12"/>
      <c r="E744" s="12"/>
      <c r="F744" s="12"/>
      <c r="G744" s="13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1"/>
      <c r="C745" s="11"/>
      <c r="D745" s="12"/>
      <c r="E745" s="12"/>
      <c r="F745" s="12"/>
      <c r="G745" s="13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1"/>
      <c r="C746" s="11"/>
      <c r="D746" s="12"/>
      <c r="E746" s="12"/>
      <c r="F746" s="12"/>
      <c r="G746" s="13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1"/>
      <c r="C747" s="11"/>
      <c r="D747" s="12"/>
      <c r="E747" s="12"/>
      <c r="F747" s="12"/>
      <c r="G747" s="13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1"/>
      <c r="C748" s="11"/>
      <c r="D748" s="12"/>
      <c r="E748" s="12"/>
      <c r="F748" s="12"/>
      <c r="G748" s="13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1"/>
      <c r="C749" s="11"/>
      <c r="D749" s="12"/>
      <c r="E749" s="12"/>
      <c r="F749" s="12"/>
      <c r="G749" s="13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1"/>
      <c r="C750" s="11"/>
      <c r="D750" s="12"/>
      <c r="E750" s="12"/>
      <c r="F750" s="12"/>
      <c r="G750" s="13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1"/>
      <c r="C751" s="11"/>
      <c r="D751" s="12"/>
      <c r="E751" s="12"/>
      <c r="F751" s="12"/>
      <c r="G751" s="13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1"/>
      <c r="C752" s="11"/>
      <c r="D752" s="12"/>
      <c r="E752" s="12"/>
      <c r="F752" s="12"/>
      <c r="G752" s="13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1"/>
      <c r="C753" s="11"/>
      <c r="D753" s="12"/>
      <c r="E753" s="12"/>
      <c r="F753" s="12"/>
      <c r="G753" s="13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1"/>
      <c r="C754" s="11"/>
      <c r="D754" s="12"/>
      <c r="E754" s="12"/>
      <c r="F754" s="12"/>
      <c r="G754" s="13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1"/>
      <c r="C755" s="11"/>
      <c r="D755" s="12"/>
      <c r="E755" s="12"/>
      <c r="F755" s="12"/>
      <c r="G755" s="13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1"/>
      <c r="C756" s="11"/>
      <c r="D756" s="12"/>
      <c r="E756" s="12"/>
      <c r="F756" s="12"/>
      <c r="G756" s="13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1"/>
      <c r="C757" s="11"/>
      <c r="D757" s="12"/>
      <c r="E757" s="12"/>
      <c r="F757" s="12"/>
      <c r="G757" s="13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1"/>
      <c r="C758" s="11"/>
      <c r="D758" s="12"/>
      <c r="E758" s="12"/>
      <c r="F758" s="12"/>
      <c r="G758" s="13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1"/>
      <c r="C759" s="11"/>
      <c r="D759" s="12"/>
      <c r="E759" s="12"/>
      <c r="F759" s="12"/>
      <c r="G759" s="13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1"/>
      <c r="C760" s="11"/>
      <c r="D760" s="12"/>
      <c r="E760" s="12"/>
      <c r="F760" s="12"/>
      <c r="G760" s="13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1"/>
      <c r="C761" s="11"/>
      <c r="D761" s="12"/>
      <c r="E761" s="12"/>
      <c r="F761" s="12"/>
      <c r="G761" s="13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1"/>
      <c r="C762" s="11"/>
      <c r="D762" s="12"/>
      <c r="E762" s="12"/>
      <c r="F762" s="12"/>
      <c r="G762" s="13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1"/>
      <c r="C763" s="11"/>
      <c r="D763" s="12"/>
      <c r="E763" s="12"/>
      <c r="F763" s="12"/>
      <c r="G763" s="13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1"/>
      <c r="C764" s="11"/>
      <c r="D764" s="12"/>
      <c r="E764" s="12"/>
      <c r="F764" s="12"/>
      <c r="G764" s="13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1"/>
      <c r="C765" s="11"/>
      <c r="D765" s="12"/>
      <c r="E765" s="12"/>
      <c r="F765" s="12"/>
      <c r="G765" s="13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1"/>
      <c r="C766" s="11"/>
      <c r="D766" s="12"/>
      <c r="E766" s="12"/>
      <c r="F766" s="12"/>
      <c r="G766" s="13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1"/>
      <c r="C767" s="11"/>
      <c r="D767" s="12"/>
      <c r="E767" s="12"/>
      <c r="F767" s="12"/>
      <c r="G767" s="13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1"/>
      <c r="C768" s="11"/>
      <c r="D768" s="12"/>
      <c r="E768" s="12"/>
      <c r="F768" s="12"/>
      <c r="G768" s="13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1"/>
      <c r="C769" s="11"/>
      <c r="D769" s="12"/>
      <c r="E769" s="12"/>
      <c r="F769" s="12"/>
      <c r="G769" s="13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1"/>
      <c r="C770" s="11"/>
      <c r="D770" s="12"/>
      <c r="E770" s="12"/>
      <c r="F770" s="12"/>
      <c r="G770" s="13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1"/>
      <c r="C771" s="11"/>
      <c r="D771" s="12"/>
      <c r="E771" s="12"/>
      <c r="F771" s="12"/>
      <c r="G771" s="13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1"/>
      <c r="C772" s="11"/>
      <c r="D772" s="12"/>
      <c r="E772" s="12"/>
      <c r="F772" s="12"/>
      <c r="G772" s="13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1"/>
      <c r="C773" s="11"/>
      <c r="D773" s="12"/>
      <c r="E773" s="12"/>
      <c r="F773" s="12"/>
      <c r="G773" s="13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1"/>
      <c r="C774" s="11"/>
      <c r="D774" s="12"/>
      <c r="E774" s="12"/>
      <c r="F774" s="12"/>
      <c r="G774" s="13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1"/>
      <c r="C775" s="11"/>
      <c r="D775" s="12"/>
      <c r="E775" s="12"/>
      <c r="F775" s="12"/>
      <c r="G775" s="13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1"/>
      <c r="C776" s="11"/>
      <c r="D776" s="12"/>
      <c r="E776" s="12"/>
      <c r="F776" s="12"/>
      <c r="G776" s="13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1"/>
      <c r="C777" s="11"/>
      <c r="D777" s="12"/>
      <c r="E777" s="12"/>
      <c r="F777" s="12"/>
      <c r="G777" s="13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1"/>
      <c r="C778" s="11"/>
      <c r="D778" s="12"/>
      <c r="E778" s="12"/>
      <c r="F778" s="12"/>
      <c r="G778" s="13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1"/>
      <c r="C779" s="11"/>
      <c r="D779" s="12"/>
      <c r="E779" s="12"/>
      <c r="F779" s="12"/>
      <c r="G779" s="13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1"/>
      <c r="C780" s="11"/>
      <c r="D780" s="12"/>
      <c r="E780" s="12"/>
      <c r="F780" s="12"/>
      <c r="G780" s="13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1"/>
      <c r="C781" s="11"/>
      <c r="D781" s="12"/>
      <c r="E781" s="12"/>
      <c r="F781" s="12"/>
      <c r="G781" s="13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1"/>
      <c r="C782" s="11"/>
      <c r="D782" s="12"/>
      <c r="E782" s="12"/>
      <c r="F782" s="12"/>
      <c r="G782" s="13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1"/>
      <c r="C783" s="11"/>
      <c r="D783" s="12"/>
      <c r="E783" s="12"/>
      <c r="F783" s="12"/>
      <c r="G783" s="13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1"/>
      <c r="C784" s="11"/>
      <c r="D784" s="12"/>
      <c r="E784" s="12"/>
      <c r="F784" s="12"/>
      <c r="G784" s="13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1"/>
      <c r="C785" s="11"/>
      <c r="D785" s="12"/>
      <c r="E785" s="12"/>
      <c r="F785" s="12"/>
      <c r="G785" s="13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1"/>
      <c r="C786" s="11"/>
      <c r="D786" s="12"/>
      <c r="E786" s="12"/>
      <c r="F786" s="12"/>
      <c r="G786" s="13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1"/>
      <c r="C787" s="11"/>
      <c r="D787" s="12"/>
      <c r="E787" s="12"/>
      <c r="F787" s="12"/>
      <c r="G787" s="13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1"/>
      <c r="C788" s="11"/>
      <c r="D788" s="12"/>
      <c r="E788" s="12"/>
      <c r="F788" s="12"/>
      <c r="G788" s="13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1"/>
      <c r="C789" s="11"/>
      <c r="D789" s="12"/>
      <c r="E789" s="12"/>
      <c r="F789" s="12"/>
      <c r="G789" s="13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1"/>
      <c r="C790" s="11"/>
      <c r="D790" s="12"/>
      <c r="E790" s="12"/>
      <c r="F790" s="12"/>
      <c r="G790" s="13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1"/>
      <c r="C791" s="11"/>
      <c r="D791" s="12"/>
      <c r="E791" s="12"/>
      <c r="F791" s="12"/>
      <c r="G791" s="13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1"/>
      <c r="C792" s="11"/>
      <c r="D792" s="12"/>
      <c r="E792" s="12"/>
      <c r="F792" s="12"/>
      <c r="G792" s="13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1"/>
      <c r="C793" s="11"/>
      <c r="D793" s="12"/>
      <c r="E793" s="12"/>
      <c r="F793" s="12"/>
      <c r="G793" s="13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1"/>
      <c r="C794" s="11"/>
      <c r="D794" s="12"/>
      <c r="E794" s="12"/>
      <c r="F794" s="12"/>
      <c r="G794" s="13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1"/>
      <c r="C795" s="11"/>
      <c r="D795" s="12"/>
      <c r="E795" s="12"/>
      <c r="F795" s="12"/>
      <c r="G795" s="13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1"/>
      <c r="C796" s="11"/>
      <c r="D796" s="12"/>
      <c r="E796" s="12"/>
      <c r="F796" s="12"/>
      <c r="G796" s="13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1"/>
      <c r="C797" s="11"/>
      <c r="D797" s="12"/>
      <c r="E797" s="12"/>
      <c r="F797" s="12"/>
      <c r="G797" s="13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1"/>
      <c r="C798" s="11"/>
      <c r="D798" s="12"/>
      <c r="E798" s="12"/>
      <c r="F798" s="12"/>
      <c r="G798" s="13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1"/>
      <c r="C799" s="11"/>
      <c r="D799" s="12"/>
      <c r="E799" s="12"/>
      <c r="F799" s="12"/>
      <c r="G799" s="13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1"/>
      <c r="C800" s="11"/>
      <c r="D800" s="12"/>
      <c r="E800" s="12"/>
      <c r="F800" s="12"/>
      <c r="G800" s="13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1"/>
      <c r="C801" s="11"/>
      <c r="D801" s="12"/>
      <c r="E801" s="12"/>
      <c r="F801" s="12"/>
      <c r="G801" s="13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1"/>
      <c r="C802" s="11"/>
      <c r="D802" s="12"/>
      <c r="E802" s="12"/>
      <c r="F802" s="12"/>
      <c r="G802" s="13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1"/>
      <c r="C803" s="11"/>
      <c r="D803" s="12"/>
      <c r="E803" s="12"/>
      <c r="F803" s="12"/>
      <c r="G803" s="13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1"/>
      <c r="C804" s="11"/>
      <c r="D804" s="12"/>
      <c r="E804" s="12"/>
      <c r="F804" s="12"/>
      <c r="G804" s="13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1"/>
      <c r="C805" s="11"/>
      <c r="D805" s="12"/>
      <c r="E805" s="12"/>
      <c r="F805" s="12"/>
      <c r="G805" s="13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1"/>
      <c r="C806" s="11"/>
      <c r="D806" s="12"/>
      <c r="E806" s="12"/>
      <c r="F806" s="12"/>
      <c r="G806" s="13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1"/>
      <c r="C807" s="11"/>
      <c r="D807" s="12"/>
      <c r="E807" s="12"/>
      <c r="F807" s="12"/>
      <c r="G807" s="13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1"/>
      <c r="C808" s="11"/>
      <c r="D808" s="12"/>
      <c r="E808" s="12"/>
      <c r="F808" s="12"/>
      <c r="G808" s="13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1"/>
      <c r="C809" s="11"/>
      <c r="D809" s="12"/>
      <c r="E809" s="12"/>
      <c r="F809" s="12"/>
      <c r="G809" s="13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1"/>
      <c r="C810" s="11"/>
      <c r="D810" s="12"/>
      <c r="E810" s="12"/>
      <c r="F810" s="12"/>
      <c r="G810" s="13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1"/>
      <c r="C811" s="11"/>
      <c r="D811" s="12"/>
      <c r="E811" s="12"/>
      <c r="F811" s="12"/>
      <c r="G811" s="13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1"/>
      <c r="C812" s="11"/>
      <c r="D812" s="12"/>
      <c r="E812" s="12"/>
      <c r="F812" s="12"/>
      <c r="G812" s="13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1"/>
      <c r="C813" s="11"/>
      <c r="D813" s="12"/>
      <c r="E813" s="12"/>
      <c r="F813" s="12"/>
      <c r="G813" s="13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1"/>
      <c r="C814" s="11"/>
      <c r="D814" s="12"/>
      <c r="E814" s="12"/>
      <c r="F814" s="12"/>
      <c r="G814" s="13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1"/>
      <c r="C815" s="11"/>
      <c r="D815" s="12"/>
      <c r="E815" s="12"/>
      <c r="F815" s="12"/>
      <c r="G815" s="13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1"/>
      <c r="C816" s="11"/>
      <c r="D816" s="12"/>
      <c r="E816" s="12"/>
      <c r="F816" s="12"/>
      <c r="G816" s="13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1"/>
      <c r="C817" s="11"/>
      <c r="D817" s="12"/>
      <c r="E817" s="12"/>
      <c r="F817" s="12"/>
      <c r="G817" s="13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1"/>
      <c r="C818" s="11"/>
      <c r="D818" s="12"/>
      <c r="E818" s="12"/>
      <c r="F818" s="12"/>
      <c r="G818" s="13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1"/>
      <c r="C819" s="11"/>
      <c r="D819" s="12"/>
      <c r="E819" s="12"/>
      <c r="F819" s="12"/>
      <c r="G819" s="13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1"/>
      <c r="C820" s="11"/>
      <c r="D820" s="12"/>
      <c r="E820" s="12"/>
      <c r="F820" s="12"/>
      <c r="G820" s="13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1"/>
      <c r="C821" s="11"/>
      <c r="D821" s="12"/>
      <c r="E821" s="12"/>
      <c r="F821" s="12"/>
      <c r="G821" s="13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1"/>
      <c r="C822" s="11"/>
      <c r="D822" s="12"/>
      <c r="E822" s="12"/>
      <c r="F822" s="12"/>
      <c r="G822" s="13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1"/>
      <c r="C823" s="11"/>
      <c r="D823" s="12"/>
      <c r="E823" s="12"/>
      <c r="F823" s="12"/>
      <c r="G823" s="13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1"/>
      <c r="C824" s="11"/>
      <c r="D824" s="12"/>
      <c r="E824" s="12"/>
      <c r="F824" s="12"/>
      <c r="G824" s="13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1"/>
      <c r="C825" s="11"/>
      <c r="D825" s="12"/>
      <c r="E825" s="12"/>
      <c r="F825" s="12"/>
      <c r="G825" s="13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1"/>
      <c r="C826" s="11"/>
      <c r="D826" s="12"/>
      <c r="E826" s="12"/>
      <c r="F826" s="12"/>
      <c r="G826" s="13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1"/>
      <c r="C827" s="11"/>
      <c r="D827" s="12"/>
      <c r="E827" s="12"/>
      <c r="F827" s="12"/>
      <c r="G827" s="13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1"/>
      <c r="C828" s="11"/>
      <c r="D828" s="12"/>
      <c r="E828" s="12"/>
      <c r="F828" s="12"/>
      <c r="G828" s="13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1"/>
      <c r="C829" s="11"/>
      <c r="D829" s="12"/>
      <c r="E829" s="12"/>
      <c r="F829" s="12"/>
      <c r="G829" s="13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1"/>
      <c r="C830" s="11"/>
      <c r="D830" s="12"/>
      <c r="E830" s="12"/>
      <c r="F830" s="12"/>
      <c r="G830" s="13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1"/>
      <c r="C831" s="11"/>
      <c r="D831" s="12"/>
      <c r="E831" s="12"/>
      <c r="F831" s="12"/>
      <c r="G831" s="13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1"/>
      <c r="C832" s="11"/>
      <c r="D832" s="12"/>
      <c r="E832" s="12"/>
      <c r="F832" s="12"/>
      <c r="G832" s="13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1"/>
      <c r="C833" s="11"/>
      <c r="D833" s="12"/>
      <c r="E833" s="12"/>
      <c r="F833" s="12"/>
      <c r="G833" s="13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1"/>
      <c r="C834" s="11"/>
      <c r="D834" s="12"/>
      <c r="E834" s="12"/>
      <c r="F834" s="12"/>
      <c r="G834" s="13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1"/>
      <c r="C835" s="11"/>
      <c r="D835" s="12"/>
      <c r="E835" s="12"/>
      <c r="F835" s="12"/>
      <c r="G835" s="13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1"/>
      <c r="C836" s="11"/>
      <c r="D836" s="12"/>
      <c r="E836" s="12"/>
      <c r="F836" s="12"/>
      <c r="G836" s="13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1"/>
      <c r="C837" s="11"/>
      <c r="D837" s="12"/>
      <c r="E837" s="12"/>
      <c r="F837" s="12"/>
      <c r="G837" s="13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1"/>
      <c r="C838" s="11"/>
      <c r="D838" s="12"/>
      <c r="E838" s="12"/>
      <c r="F838" s="12"/>
      <c r="G838" s="13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1"/>
      <c r="C839" s="11"/>
      <c r="D839" s="12"/>
      <c r="E839" s="12"/>
      <c r="F839" s="12"/>
      <c r="G839" s="13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1"/>
      <c r="C840" s="11"/>
      <c r="D840" s="12"/>
      <c r="E840" s="12"/>
      <c r="F840" s="12"/>
      <c r="G840" s="13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1"/>
      <c r="C841" s="11"/>
      <c r="D841" s="12"/>
      <c r="E841" s="12"/>
      <c r="F841" s="12"/>
      <c r="G841" s="13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1"/>
      <c r="C842" s="11"/>
      <c r="D842" s="12"/>
      <c r="E842" s="12"/>
      <c r="F842" s="12"/>
      <c r="G842" s="13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1"/>
      <c r="C843" s="11"/>
      <c r="D843" s="12"/>
      <c r="E843" s="12"/>
      <c r="F843" s="12"/>
      <c r="G843" s="13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1"/>
      <c r="C844" s="11"/>
      <c r="D844" s="12"/>
      <c r="E844" s="12"/>
      <c r="F844" s="12"/>
      <c r="G844" s="13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1"/>
      <c r="C845" s="11"/>
      <c r="D845" s="12"/>
      <c r="E845" s="12"/>
      <c r="F845" s="12"/>
      <c r="G845" s="13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1"/>
      <c r="C846" s="11"/>
      <c r="D846" s="12"/>
      <c r="E846" s="12"/>
      <c r="F846" s="12"/>
      <c r="G846" s="13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1"/>
      <c r="C847" s="11"/>
      <c r="D847" s="12"/>
      <c r="E847" s="12"/>
      <c r="F847" s="12"/>
      <c r="G847" s="13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1"/>
      <c r="C848" s="11"/>
      <c r="D848" s="12"/>
      <c r="E848" s="12"/>
      <c r="F848" s="12"/>
      <c r="G848" s="13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1"/>
      <c r="C849" s="11"/>
      <c r="D849" s="12"/>
      <c r="E849" s="12"/>
      <c r="F849" s="12"/>
      <c r="G849" s="13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1"/>
      <c r="C850" s="11"/>
      <c r="D850" s="12"/>
      <c r="E850" s="12"/>
      <c r="F850" s="12"/>
      <c r="G850" s="13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1"/>
      <c r="C851" s="11"/>
      <c r="D851" s="12"/>
      <c r="E851" s="12"/>
      <c r="F851" s="12"/>
      <c r="G851" s="13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1"/>
      <c r="C852" s="11"/>
      <c r="D852" s="12"/>
      <c r="E852" s="12"/>
      <c r="F852" s="12"/>
      <c r="G852" s="13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1"/>
      <c r="C853" s="11"/>
      <c r="D853" s="12"/>
      <c r="E853" s="12"/>
      <c r="F853" s="12"/>
      <c r="G853" s="13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1"/>
      <c r="C854" s="11"/>
      <c r="D854" s="12"/>
      <c r="E854" s="12"/>
      <c r="F854" s="12"/>
      <c r="G854" s="13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1"/>
      <c r="C855" s="11"/>
      <c r="D855" s="12"/>
      <c r="E855" s="12"/>
      <c r="F855" s="12"/>
      <c r="G855" s="13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1"/>
      <c r="C856" s="11"/>
      <c r="D856" s="12"/>
      <c r="E856" s="12"/>
      <c r="F856" s="12"/>
      <c r="G856" s="13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1"/>
      <c r="C857" s="11"/>
      <c r="D857" s="12"/>
      <c r="E857" s="12"/>
      <c r="F857" s="12"/>
      <c r="G857" s="13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1"/>
      <c r="C858" s="11"/>
      <c r="D858" s="12"/>
      <c r="E858" s="12"/>
      <c r="F858" s="12"/>
      <c r="G858" s="13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1"/>
      <c r="C859" s="11"/>
      <c r="D859" s="12"/>
      <c r="E859" s="12"/>
      <c r="F859" s="12"/>
      <c r="G859" s="13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1"/>
      <c r="C860" s="11"/>
      <c r="D860" s="12"/>
      <c r="E860" s="12"/>
      <c r="F860" s="12"/>
      <c r="G860" s="13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1"/>
      <c r="C861" s="11"/>
      <c r="D861" s="12"/>
      <c r="E861" s="12"/>
      <c r="F861" s="12"/>
      <c r="G861" s="13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1"/>
      <c r="C862" s="11"/>
      <c r="D862" s="12"/>
      <c r="E862" s="12"/>
      <c r="F862" s="12"/>
      <c r="G862" s="13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1"/>
      <c r="C863" s="11"/>
      <c r="D863" s="12"/>
      <c r="E863" s="12"/>
      <c r="F863" s="12"/>
      <c r="G863" s="13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1"/>
      <c r="C864" s="11"/>
      <c r="D864" s="12"/>
      <c r="E864" s="12"/>
      <c r="F864" s="12"/>
      <c r="G864" s="13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1"/>
      <c r="C865" s="11"/>
      <c r="D865" s="12"/>
      <c r="E865" s="12"/>
      <c r="F865" s="12"/>
      <c r="G865" s="13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1"/>
      <c r="C866" s="11"/>
      <c r="D866" s="12"/>
      <c r="E866" s="12"/>
      <c r="F866" s="12"/>
      <c r="G866" s="13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1"/>
      <c r="C867" s="11"/>
      <c r="D867" s="12"/>
      <c r="E867" s="12"/>
      <c r="F867" s="12"/>
      <c r="G867" s="13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1"/>
      <c r="C868" s="11"/>
      <c r="D868" s="12"/>
      <c r="E868" s="12"/>
      <c r="F868" s="12"/>
      <c r="G868" s="13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1"/>
      <c r="C869" s="11"/>
      <c r="D869" s="12"/>
      <c r="E869" s="12"/>
      <c r="F869" s="12"/>
      <c r="G869" s="13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1"/>
      <c r="C870" s="11"/>
      <c r="D870" s="12"/>
      <c r="E870" s="12"/>
      <c r="F870" s="12"/>
      <c r="G870" s="13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1"/>
      <c r="C871" s="11"/>
      <c r="D871" s="12"/>
      <c r="E871" s="12"/>
      <c r="F871" s="12"/>
      <c r="G871" s="13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1"/>
      <c r="C872" s="11"/>
      <c r="D872" s="12"/>
      <c r="E872" s="12"/>
      <c r="F872" s="12"/>
      <c r="G872" s="13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1"/>
      <c r="C873" s="11"/>
      <c r="D873" s="12"/>
      <c r="E873" s="12"/>
      <c r="F873" s="12"/>
      <c r="G873" s="13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1"/>
      <c r="C874" s="11"/>
      <c r="D874" s="12"/>
      <c r="E874" s="12"/>
      <c r="F874" s="12"/>
      <c r="G874" s="13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1"/>
      <c r="C875" s="11"/>
      <c r="D875" s="12"/>
      <c r="E875" s="12"/>
      <c r="F875" s="12"/>
      <c r="G875" s="13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1"/>
      <c r="C876" s="11"/>
      <c r="D876" s="12"/>
      <c r="E876" s="12"/>
      <c r="F876" s="12"/>
      <c r="G876" s="13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1"/>
      <c r="C877" s="11"/>
      <c r="D877" s="12"/>
      <c r="E877" s="12"/>
      <c r="F877" s="12"/>
      <c r="G877" s="13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1"/>
      <c r="C878" s="11"/>
      <c r="D878" s="12"/>
      <c r="E878" s="12"/>
      <c r="F878" s="12"/>
      <c r="G878" s="13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1"/>
      <c r="C879" s="11"/>
      <c r="D879" s="12"/>
      <c r="E879" s="12"/>
      <c r="F879" s="12"/>
      <c r="G879" s="13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1"/>
      <c r="C880" s="11"/>
      <c r="D880" s="12"/>
      <c r="E880" s="12"/>
      <c r="F880" s="12"/>
      <c r="G880" s="13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1"/>
      <c r="C881" s="11"/>
      <c r="D881" s="12"/>
      <c r="E881" s="12"/>
      <c r="F881" s="12"/>
      <c r="G881" s="13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1"/>
      <c r="C882" s="11"/>
      <c r="D882" s="12"/>
      <c r="E882" s="12"/>
      <c r="F882" s="12"/>
      <c r="G882" s="13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1"/>
      <c r="C883" s="11"/>
      <c r="D883" s="12"/>
      <c r="E883" s="12"/>
      <c r="F883" s="12"/>
      <c r="G883" s="13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1"/>
      <c r="C884" s="11"/>
      <c r="D884" s="12"/>
      <c r="E884" s="12"/>
      <c r="F884" s="12"/>
      <c r="G884" s="13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1"/>
      <c r="C885" s="11"/>
      <c r="D885" s="12"/>
      <c r="E885" s="12"/>
      <c r="F885" s="12"/>
      <c r="G885" s="13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1"/>
      <c r="C886" s="11"/>
      <c r="D886" s="12"/>
      <c r="E886" s="12"/>
      <c r="F886" s="12"/>
      <c r="G886" s="13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1"/>
      <c r="C887" s="11"/>
      <c r="D887" s="12"/>
      <c r="E887" s="12"/>
      <c r="F887" s="12"/>
      <c r="G887" s="13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1"/>
      <c r="C888" s="11"/>
      <c r="D888" s="12"/>
      <c r="E888" s="12"/>
      <c r="F888" s="12"/>
      <c r="G888" s="13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1"/>
      <c r="C889" s="11"/>
      <c r="D889" s="12"/>
      <c r="E889" s="12"/>
      <c r="F889" s="12"/>
      <c r="G889" s="13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1"/>
      <c r="C890" s="11"/>
      <c r="D890" s="12"/>
      <c r="E890" s="12"/>
      <c r="F890" s="12"/>
      <c r="G890" s="13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1"/>
      <c r="C891" s="11"/>
      <c r="D891" s="12"/>
      <c r="E891" s="12"/>
      <c r="F891" s="12"/>
      <c r="G891" s="13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1"/>
      <c r="C892" s="11"/>
      <c r="D892" s="12"/>
      <c r="E892" s="12"/>
      <c r="F892" s="12"/>
      <c r="G892" s="13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1"/>
      <c r="C893" s="11"/>
      <c r="D893" s="12"/>
      <c r="E893" s="12"/>
      <c r="F893" s="12"/>
      <c r="G893" s="13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1"/>
      <c r="C894" s="11"/>
      <c r="D894" s="12"/>
      <c r="E894" s="12"/>
      <c r="F894" s="12"/>
      <c r="G894" s="13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1"/>
      <c r="C895" s="11"/>
      <c r="D895" s="12"/>
      <c r="E895" s="12"/>
      <c r="F895" s="12"/>
      <c r="G895" s="13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1"/>
      <c r="C896" s="11"/>
      <c r="D896" s="12"/>
      <c r="E896" s="12"/>
      <c r="F896" s="12"/>
      <c r="G896" s="13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1"/>
      <c r="C897" s="11"/>
      <c r="D897" s="12"/>
      <c r="E897" s="12"/>
      <c r="F897" s="12"/>
      <c r="G897" s="13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1"/>
      <c r="C898" s="11"/>
      <c r="D898" s="12"/>
      <c r="E898" s="12"/>
      <c r="F898" s="12"/>
      <c r="G898" s="13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1"/>
      <c r="C899" s="11"/>
      <c r="D899" s="12"/>
      <c r="E899" s="12"/>
      <c r="F899" s="12"/>
      <c r="G899" s="13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1"/>
      <c r="C900" s="11"/>
      <c r="D900" s="12"/>
      <c r="E900" s="12"/>
      <c r="F900" s="12"/>
      <c r="G900" s="13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1"/>
      <c r="C901" s="11"/>
      <c r="D901" s="12"/>
      <c r="E901" s="12"/>
      <c r="F901" s="12"/>
      <c r="G901" s="13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1"/>
      <c r="C902" s="11"/>
      <c r="D902" s="12"/>
      <c r="E902" s="12"/>
      <c r="F902" s="12"/>
      <c r="G902" s="13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1"/>
      <c r="C903" s="11"/>
      <c r="D903" s="12"/>
      <c r="E903" s="12"/>
      <c r="F903" s="12"/>
      <c r="G903" s="13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1"/>
      <c r="C904" s="11"/>
      <c r="D904" s="12"/>
      <c r="E904" s="12"/>
      <c r="F904" s="12"/>
      <c r="G904" s="13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1"/>
      <c r="C905" s="11"/>
      <c r="D905" s="12"/>
      <c r="E905" s="12"/>
      <c r="F905" s="12"/>
      <c r="G905" s="13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1"/>
      <c r="C906" s="11"/>
      <c r="D906" s="12"/>
      <c r="E906" s="12"/>
      <c r="F906" s="12"/>
      <c r="G906" s="13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1"/>
      <c r="C907" s="11"/>
      <c r="D907" s="12"/>
      <c r="E907" s="12"/>
      <c r="F907" s="12"/>
      <c r="G907" s="13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1"/>
      <c r="C908" s="11"/>
      <c r="D908" s="12"/>
      <c r="E908" s="12"/>
      <c r="F908" s="12"/>
      <c r="G908" s="13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1"/>
      <c r="C909" s="11"/>
      <c r="D909" s="12"/>
      <c r="E909" s="12"/>
      <c r="F909" s="12"/>
      <c r="G909" s="13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1"/>
      <c r="C910" s="11"/>
      <c r="D910" s="12"/>
      <c r="E910" s="12"/>
      <c r="F910" s="12"/>
      <c r="G910" s="13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1"/>
      <c r="C911" s="11"/>
      <c r="D911" s="12"/>
      <c r="E911" s="12"/>
      <c r="F911" s="12"/>
      <c r="G911" s="13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1"/>
      <c r="C912" s="11"/>
      <c r="D912" s="12"/>
      <c r="E912" s="12"/>
      <c r="F912" s="12"/>
      <c r="G912" s="13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1"/>
      <c r="C913" s="11"/>
      <c r="D913" s="12"/>
      <c r="E913" s="12"/>
      <c r="F913" s="12"/>
      <c r="G913" s="13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1"/>
      <c r="C914" s="11"/>
      <c r="D914" s="12"/>
      <c r="E914" s="12"/>
      <c r="F914" s="12"/>
      <c r="G914" s="13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1"/>
      <c r="C915" s="11"/>
      <c r="D915" s="12"/>
      <c r="E915" s="12"/>
      <c r="F915" s="12"/>
      <c r="G915" s="13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1"/>
      <c r="C916" s="11"/>
      <c r="D916" s="12"/>
      <c r="E916" s="12"/>
      <c r="F916" s="12"/>
      <c r="G916" s="13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1"/>
      <c r="C917" s="11"/>
      <c r="D917" s="12"/>
      <c r="E917" s="12"/>
      <c r="F917" s="12"/>
      <c r="G917" s="13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1"/>
      <c r="C918" s="11"/>
      <c r="D918" s="12"/>
      <c r="E918" s="12"/>
      <c r="F918" s="12"/>
      <c r="G918" s="13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1"/>
      <c r="C919" s="11"/>
      <c r="D919" s="12"/>
      <c r="E919" s="12"/>
      <c r="F919" s="12"/>
      <c r="G919" s="13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1"/>
      <c r="C920" s="11"/>
      <c r="D920" s="12"/>
      <c r="E920" s="12"/>
      <c r="F920" s="12"/>
      <c r="G920" s="13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1"/>
      <c r="C921" s="11"/>
      <c r="D921" s="12"/>
      <c r="E921" s="12"/>
      <c r="F921" s="12"/>
      <c r="G921" s="13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1"/>
      <c r="C922" s="11"/>
      <c r="D922" s="12"/>
      <c r="E922" s="12"/>
      <c r="F922" s="12"/>
      <c r="G922" s="13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1"/>
      <c r="C923" s="11"/>
      <c r="D923" s="12"/>
      <c r="E923" s="12"/>
      <c r="F923" s="12"/>
      <c r="G923" s="13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1"/>
      <c r="C924" s="11"/>
      <c r="D924" s="12"/>
      <c r="E924" s="12"/>
      <c r="F924" s="12"/>
      <c r="G924" s="13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1"/>
      <c r="C925" s="11"/>
      <c r="D925" s="12"/>
      <c r="E925" s="12"/>
      <c r="F925" s="12"/>
      <c r="G925" s="13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1"/>
      <c r="C926" s="11"/>
      <c r="D926" s="12"/>
      <c r="E926" s="12"/>
      <c r="F926" s="12"/>
      <c r="G926" s="13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1"/>
      <c r="C927" s="11"/>
      <c r="D927" s="12"/>
      <c r="E927" s="12"/>
      <c r="F927" s="12"/>
      <c r="G927" s="13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1"/>
      <c r="C928" s="11"/>
      <c r="D928" s="12"/>
      <c r="E928" s="12"/>
      <c r="F928" s="12"/>
      <c r="G928" s="13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1"/>
      <c r="C929" s="11"/>
      <c r="D929" s="12"/>
      <c r="E929" s="12"/>
      <c r="F929" s="12"/>
      <c r="G929" s="13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1"/>
      <c r="C930" s="11"/>
      <c r="D930" s="12"/>
      <c r="E930" s="12"/>
      <c r="F930" s="12"/>
      <c r="G930" s="13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1"/>
      <c r="C931" s="11"/>
      <c r="D931" s="12"/>
      <c r="E931" s="12"/>
      <c r="F931" s="12"/>
      <c r="G931" s="13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1"/>
      <c r="C932" s="11"/>
      <c r="D932" s="12"/>
      <c r="E932" s="12"/>
      <c r="F932" s="12"/>
      <c r="G932" s="13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1"/>
      <c r="C933" s="11"/>
      <c r="D933" s="12"/>
      <c r="E933" s="12"/>
      <c r="F933" s="12"/>
      <c r="G933" s="13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1"/>
      <c r="C934" s="11"/>
      <c r="D934" s="12"/>
      <c r="E934" s="12"/>
      <c r="F934" s="12"/>
      <c r="G934" s="13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1"/>
      <c r="C935" s="11"/>
      <c r="D935" s="12"/>
      <c r="E935" s="12"/>
      <c r="F935" s="12"/>
      <c r="G935" s="13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1"/>
      <c r="C936" s="11"/>
      <c r="D936" s="12"/>
      <c r="E936" s="12"/>
      <c r="F936" s="12"/>
      <c r="G936" s="13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1"/>
      <c r="C937" s="11"/>
      <c r="D937" s="12"/>
      <c r="E937" s="12"/>
      <c r="F937" s="12"/>
      <c r="G937" s="13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1"/>
      <c r="C938" s="11"/>
      <c r="D938" s="12"/>
      <c r="E938" s="12"/>
      <c r="F938" s="12"/>
      <c r="G938" s="13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1"/>
      <c r="C939" s="11"/>
      <c r="D939" s="12"/>
      <c r="E939" s="12"/>
      <c r="F939" s="12"/>
      <c r="G939" s="13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1"/>
      <c r="C940" s="11"/>
      <c r="D940" s="12"/>
      <c r="E940" s="12"/>
      <c r="F940" s="12"/>
      <c r="G940" s="13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1"/>
      <c r="C941" s="11"/>
      <c r="D941" s="12"/>
      <c r="E941" s="12"/>
      <c r="F941" s="12"/>
      <c r="G941" s="13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1"/>
      <c r="C942" s="11"/>
      <c r="D942" s="12"/>
      <c r="E942" s="12"/>
      <c r="F942" s="12"/>
      <c r="G942" s="13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1"/>
      <c r="C943" s="11"/>
      <c r="D943" s="12"/>
      <c r="E943" s="12"/>
      <c r="F943" s="12"/>
      <c r="G943" s="13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1"/>
      <c r="C944" s="11"/>
      <c r="D944" s="12"/>
      <c r="E944" s="12"/>
      <c r="F944" s="12"/>
      <c r="G944" s="13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1"/>
      <c r="C945" s="11"/>
      <c r="D945" s="12"/>
      <c r="E945" s="12"/>
      <c r="F945" s="12"/>
      <c r="G945" s="13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1"/>
      <c r="C946" s="11"/>
      <c r="D946" s="12"/>
      <c r="E946" s="12"/>
      <c r="F946" s="12"/>
      <c r="G946" s="13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1"/>
      <c r="C947" s="11"/>
      <c r="D947" s="12"/>
      <c r="E947" s="12"/>
      <c r="F947" s="12"/>
      <c r="G947" s="13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1"/>
      <c r="C948" s="11"/>
      <c r="D948" s="12"/>
      <c r="E948" s="12"/>
      <c r="F948" s="12"/>
      <c r="G948" s="13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1"/>
      <c r="C949" s="11"/>
      <c r="D949" s="12"/>
      <c r="E949" s="12"/>
      <c r="F949" s="12"/>
      <c r="G949" s="13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1"/>
      <c r="C950" s="11"/>
      <c r="D950" s="12"/>
      <c r="E950" s="12"/>
      <c r="F950" s="12"/>
      <c r="G950" s="13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1"/>
      <c r="C951" s="11"/>
      <c r="D951" s="12"/>
      <c r="E951" s="12"/>
      <c r="F951" s="12"/>
      <c r="G951" s="13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1"/>
      <c r="C952" s="11"/>
      <c r="D952" s="12"/>
      <c r="E952" s="12"/>
      <c r="F952" s="12"/>
      <c r="G952" s="13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1"/>
      <c r="C953" s="11"/>
      <c r="D953" s="12"/>
      <c r="E953" s="12"/>
      <c r="F953" s="12"/>
      <c r="G953" s="13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1"/>
      <c r="C954" s="11"/>
      <c r="D954" s="12"/>
      <c r="E954" s="12"/>
      <c r="F954" s="12"/>
      <c r="G954" s="13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1"/>
      <c r="C955" s="11"/>
      <c r="D955" s="12"/>
      <c r="E955" s="12"/>
      <c r="F955" s="12"/>
      <c r="G955" s="13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1"/>
      <c r="C956" s="11"/>
      <c r="D956" s="12"/>
      <c r="E956" s="12"/>
      <c r="F956" s="12"/>
      <c r="G956" s="13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1"/>
      <c r="C957" s="11"/>
      <c r="D957" s="12"/>
      <c r="E957" s="12"/>
      <c r="F957" s="12"/>
      <c r="G957" s="13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1"/>
      <c r="C958" s="11"/>
      <c r="D958" s="12"/>
      <c r="E958" s="12"/>
      <c r="F958" s="12"/>
      <c r="G958" s="13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1"/>
      <c r="C959" s="11"/>
      <c r="D959" s="12"/>
      <c r="E959" s="12"/>
      <c r="F959" s="12"/>
      <c r="G959" s="13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1"/>
      <c r="C960" s="11"/>
      <c r="D960" s="12"/>
      <c r="E960" s="12"/>
      <c r="F960" s="12"/>
      <c r="G960" s="13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1"/>
      <c r="C961" s="11"/>
      <c r="D961" s="12"/>
      <c r="E961" s="12"/>
      <c r="F961" s="12"/>
      <c r="G961" s="13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1"/>
      <c r="C962" s="11"/>
      <c r="D962" s="12"/>
      <c r="E962" s="12"/>
      <c r="F962" s="12"/>
      <c r="G962" s="13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1"/>
      <c r="C963" s="11"/>
      <c r="D963" s="12"/>
      <c r="E963" s="12"/>
      <c r="F963" s="12"/>
      <c r="G963" s="13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1"/>
      <c r="C964" s="11"/>
      <c r="D964" s="12"/>
      <c r="E964" s="12"/>
      <c r="F964" s="12"/>
      <c r="G964" s="13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1"/>
      <c r="C965" s="11"/>
      <c r="D965" s="12"/>
      <c r="E965" s="12"/>
      <c r="F965" s="12"/>
      <c r="G965" s="13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1"/>
      <c r="C966" s="11"/>
      <c r="D966" s="12"/>
      <c r="E966" s="12"/>
      <c r="F966" s="12"/>
      <c r="G966" s="13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1"/>
      <c r="C967" s="11"/>
      <c r="D967" s="12"/>
      <c r="E967" s="12"/>
      <c r="F967" s="12"/>
      <c r="G967" s="13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1"/>
      <c r="C968" s="11"/>
      <c r="D968" s="12"/>
      <c r="E968" s="12"/>
      <c r="F968" s="12"/>
      <c r="G968" s="13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1"/>
      <c r="C969" s="11"/>
      <c r="D969" s="12"/>
      <c r="E969" s="12"/>
      <c r="F969" s="12"/>
      <c r="G969" s="13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1"/>
      <c r="C970" s="11"/>
      <c r="D970" s="12"/>
      <c r="E970" s="12"/>
      <c r="F970" s="12"/>
      <c r="G970" s="13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1"/>
      <c r="C971" s="11"/>
      <c r="D971" s="12"/>
      <c r="E971" s="12"/>
      <c r="F971" s="12"/>
      <c r="G971" s="13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1"/>
      <c r="C972" s="11"/>
      <c r="D972" s="12"/>
      <c r="E972" s="12"/>
      <c r="F972" s="12"/>
      <c r="G972" s="13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1"/>
      <c r="C973" s="11"/>
      <c r="D973" s="12"/>
      <c r="E973" s="12"/>
      <c r="F973" s="12"/>
      <c r="G973" s="13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1"/>
      <c r="C974" s="11"/>
      <c r="D974" s="12"/>
      <c r="E974" s="12"/>
      <c r="F974" s="12"/>
      <c r="G974" s="13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1"/>
      <c r="C975" s="11"/>
      <c r="D975" s="12"/>
      <c r="E975" s="12"/>
      <c r="F975" s="12"/>
      <c r="G975" s="13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1"/>
      <c r="C976" s="11"/>
      <c r="D976" s="12"/>
      <c r="E976" s="12"/>
      <c r="F976" s="12"/>
      <c r="G976" s="13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1"/>
      <c r="C977" s="11"/>
      <c r="D977" s="12"/>
      <c r="E977" s="12"/>
      <c r="F977" s="12"/>
      <c r="G977" s="13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1"/>
      <c r="C978" s="11"/>
      <c r="D978" s="12"/>
      <c r="E978" s="12"/>
      <c r="F978" s="12"/>
      <c r="G978" s="13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1"/>
      <c r="C979" s="11"/>
      <c r="D979" s="12"/>
      <c r="E979" s="12"/>
      <c r="F979" s="12"/>
      <c r="G979" s="13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1"/>
      <c r="C980" s="11"/>
      <c r="D980" s="12"/>
      <c r="E980" s="12"/>
      <c r="F980" s="12"/>
      <c r="G980" s="13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1"/>
      <c r="C981" s="11"/>
      <c r="D981" s="12"/>
      <c r="E981" s="12"/>
      <c r="F981" s="12"/>
      <c r="G981" s="13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1"/>
      <c r="C982" s="11"/>
      <c r="D982" s="12"/>
      <c r="E982" s="12"/>
      <c r="F982" s="12"/>
      <c r="G982" s="13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1"/>
      <c r="C983" s="11"/>
      <c r="D983" s="12"/>
      <c r="E983" s="12"/>
      <c r="F983" s="12"/>
      <c r="G983" s="13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1"/>
      <c r="C984" s="11"/>
      <c r="D984" s="12"/>
      <c r="E984" s="12"/>
      <c r="F984" s="12"/>
      <c r="G984" s="13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1"/>
      <c r="C985" s="11"/>
      <c r="D985" s="12"/>
      <c r="E985" s="12"/>
      <c r="F985" s="12"/>
      <c r="G985" s="13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1"/>
      <c r="C986" s="11"/>
      <c r="D986" s="12"/>
      <c r="E986" s="12"/>
      <c r="F986" s="12"/>
      <c r="G986" s="13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1"/>
      <c r="C987" s="11"/>
      <c r="D987" s="12"/>
      <c r="E987" s="12"/>
      <c r="F987" s="12"/>
      <c r="G987" s="13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1"/>
      <c r="C988" s="11"/>
      <c r="D988" s="12"/>
      <c r="E988" s="12"/>
      <c r="F988" s="12"/>
      <c r="G988" s="13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1"/>
      <c r="C989" s="11"/>
      <c r="D989" s="12"/>
      <c r="E989" s="12"/>
      <c r="F989" s="12"/>
      <c r="G989" s="13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1"/>
      <c r="C990" s="11"/>
      <c r="D990" s="12"/>
      <c r="E990" s="12"/>
      <c r="F990" s="12"/>
      <c r="G990" s="13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1"/>
      <c r="C991" s="11"/>
      <c r="D991" s="12"/>
      <c r="E991" s="12"/>
      <c r="F991" s="12"/>
      <c r="G991" s="13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1"/>
      <c r="C992" s="11"/>
      <c r="D992" s="12"/>
      <c r="E992" s="12"/>
      <c r="F992" s="12"/>
      <c r="G992" s="13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1"/>
      <c r="C993" s="11"/>
      <c r="D993" s="12"/>
      <c r="E993" s="12"/>
      <c r="F993" s="12"/>
      <c r="G993" s="13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1"/>
      <c r="C994" s="11"/>
      <c r="D994" s="12"/>
      <c r="E994" s="12"/>
      <c r="F994" s="12"/>
      <c r="G994" s="13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1"/>
      <c r="C995" s="11"/>
      <c r="D995" s="12"/>
      <c r="E995" s="12"/>
      <c r="F995" s="12"/>
      <c r="G995" s="13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1"/>
      <c r="C996" s="11"/>
      <c r="D996" s="12"/>
      <c r="E996" s="12"/>
      <c r="F996" s="12"/>
      <c r="G996" s="13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1"/>
      <c r="C997" s="11"/>
      <c r="D997" s="12"/>
      <c r="E997" s="12"/>
      <c r="F997" s="12"/>
      <c r="G997" s="13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1"/>
      <c r="C998" s="11"/>
      <c r="D998" s="12"/>
      <c r="E998" s="12"/>
      <c r="F998" s="12"/>
      <c r="G998" s="13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1"/>
      <c r="C999" s="11"/>
      <c r="D999" s="12"/>
      <c r="E999" s="12"/>
      <c r="F999" s="12"/>
      <c r="G999" s="13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1"/>
      <c r="C1000" s="11"/>
      <c r="D1000" s="12"/>
      <c r="E1000" s="12"/>
      <c r="F1000" s="12"/>
      <c r="G1000" s="13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1"/>
      <c r="C1001" s="11"/>
      <c r="D1001" s="12"/>
      <c r="E1001" s="12"/>
      <c r="F1001" s="12"/>
      <c r="G1001" s="13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1"/>
      <c r="C1002" s="11"/>
      <c r="D1002" s="12"/>
      <c r="E1002" s="12"/>
      <c r="F1002" s="12"/>
      <c r="G1002" s="13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4.63"/>
  </cols>
  <sheetData>
    <row r="1">
      <c r="A1" s="1" t="s">
        <v>18</v>
      </c>
      <c r="B1" s="1" t="s">
        <v>19</v>
      </c>
      <c r="C1" s="29" t="s">
        <v>0</v>
      </c>
      <c r="D1" s="29" t="s">
        <v>1</v>
      </c>
    </row>
    <row r="2" hidden="1">
      <c r="A2" s="5">
        <v>44727.57608796296</v>
      </c>
      <c r="B2" s="4" t="s">
        <v>20</v>
      </c>
      <c r="C2" s="4" t="s">
        <v>21</v>
      </c>
      <c r="D2" s="4" t="s">
        <v>21</v>
      </c>
    </row>
    <row r="3">
      <c r="A3" s="5">
        <v>44607.53023148148</v>
      </c>
      <c r="B3" s="4" t="s">
        <v>22</v>
      </c>
      <c r="C3" s="4" t="s">
        <v>21</v>
      </c>
      <c r="D3" s="4" t="s">
        <v>21</v>
      </c>
    </row>
    <row r="4">
      <c r="A4" s="5">
        <v>44448.939039351855</v>
      </c>
      <c r="B4" s="4" t="s">
        <v>22</v>
      </c>
      <c r="C4" s="4" t="s">
        <v>21</v>
      </c>
      <c r="D4" s="4" t="s">
        <v>21</v>
      </c>
    </row>
    <row r="5">
      <c r="A5" s="5">
        <v>44635.756377314814</v>
      </c>
      <c r="B5" s="4" t="s">
        <v>22</v>
      </c>
      <c r="C5" s="4" t="s">
        <v>21</v>
      </c>
      <c r="D5" s="4" t="s">
        <v>21</v>
      </c>
    </row>
    <row r="6">
      <c r="A6" s="5">
        <v>44560.115949074076</v>
      </c>
      <c r="B6" s="4" t="s">
        <v>22</v>
      </c>
      <c r="C6" s="4" t="s">
        <v>23</v>
      </c>
      <c r="D6" s="4" t="s">
        <v>21</v>
      </c>
    </row>
    <row r="7">
      <c r="A7" s="5">
        <v>44524.29945601852</v>
      </c>
      <c r="B7" s="4" t="s">
        <v>22</v>
      </c>
      <c r="C7" s="4" t="s">
        <v>21</v>
      </c>
      <c r="D7" s="4" t="s">
        <v>21</v>
      </c>
    </row>
    <row r="8">
      <c r="A8" s="5">
        <v>44606.85449074074</v>
      </c>
      <c r="B8" s="4" t="s">
        <v>22</v>
      </c>
      <c r="C8" s="4" t="s">
        <v>21</v>
      </c>
      <c r="D8" s="4" t="s">
        <v>21</v>
      </c>
    </row>
    <row r="9">
      <c r="A9" s="5">
        <v>44580.94479166667</v>
      </c>
      <c r="B9" s="4" t="s">
        <v>22</v>
      </c>
      <c r="C9" s="4" t="s">
        <v>21</v>
      </c>
      <c r="D9" s="4" t="s">
        <v>21</v>
      </c>
    </row>
    <row r="10">
      <c r="A10" s="5">
        <v>44578.42765046296</v>
      </c>
      <c r="B10" s="4" t="s">
        <v>22</v>
      </c>
      <c r="C10" s="4" t="s">
        <v>21</v>
      </c>
      <c r="D10" s="4" t="s">
        <v>21</v>
      </c>
    </row>
    <row r="11">
      <c r="A11" s="5">
        <v>44670.46744212963</v>
      </c>
      <c r="B11" s="4" t="s">
        <v>22</v>
      </c>
      <c r="C11" s="4" t="s">
        <v>21</v>
      </c>
      <c r="D11" s="4" t="s">
        <v>21</v>
      </c>
    </row>
    <row r="12">
      <c r="A12" s="5">
        <v>44519.93311342593</v>
      </c>
      <c r="B12" s="4" t="s">
        <v>22</v>
      </c>
      <c r="C12" s="4" t="s">
        <v>21</v>
      </c>
      <c r="D12" s="4" t="s">
        <v>21</v>
      </c>
    </row>
    <row r="13">
      <c r="A13" s="5">
        <v>44650.69269675926</v>
      </c>
      <c r="B13" s="4" t="s">
        <v>22</v>
      </c>
      <c r="C13" s="4" t="s">
        <v>21</v>
      </c>
      <c r="D13" s="4" t="s">
        <v>21</v>
      </c>
    </row>
    <row r="14" hidden="1">
      <c r="A14" s="5">
        <v>44607.346296296295</v>
      </c>
      <c r="B14" s="4" t="s">
        <v>20</v>
      </c>
      <c r="C14" s="4" t="s">
        <v>21</v>
      </c>
      <c r="D14" s="4" t="s">
        <v>21</v>
      </c>
    </row>
    <row r="15">
      <c r="A15" s="5">
        <v>44623.87366898148</v>
      </c>
      <c r="B15" s="4" t="s">
        <v>22</v>
      </c>
      <c r="C15" s="4" t="s">
        <v>21</v>
      </c>
      <c r="D15" s="4" t="s">
        <v>21</v>
      </c>
    </row>
    <row r="16">
      <c r="A16" s="5">
        <v>44655.38960648148</v>
      </c>
      <c r="B16" s="4" t="s">
        <v>22</v>
      </c>
      <c r="C16" s="4" t="s">
        <v>21</v>
      </c>
      <c r="D16" s="4" t="s">
        <v>21</v>
      </c>
    </row>
    <row r="17">
      <c r="A17" s="5">
        <v>44501.408796296295</v>
      </c>
      <c r="B17" s="4" t="s">
        <v>22</v>
      </c>
      <c r="C17" s="4" t="s">
        <v>21</v>
      </c>
      <c r="D17" s="4" t="s">
        <v>21</v>
      </c>
    </row>
    <row r="18">
      <c r="A18" s="5">
        <v>44504.365069444444</v>
      </c>
      <c r="B18" s="4" t="s">
        <v>22</v>
      </c>
      <c r="C18" s="4" t="s">
        <v>21</v>
      </c>
      <c r="D18" s="4" t="s">
        <v>21</v>
      </c>
    </row>
    <row r="19">
      <c r="A19" s="5">
        <v>44518.98211805556</v>
      </c>
      <c r="B19" s="4" t="s">
        <v>22</v>
      </c>
      <c r="C19" s="4" t="s">
        <v>21</v>
      </c>
      <c r="D19" s="4" t="s">
        <v>21</v>
      </c>
    </row>
    <row r="20" hidden="1">
      <c r="A20" s="5">
        <v>44542.34704861111</v>
      </c>
      <c r="B20" s="4" t="s">
        <v>20</v>
      </c>
      <c r="C20" s="4" t="s">
        <v>21</v>
      </c>
      <c r="D20" s="4" t="s">
        <v>21</v>
      </c>
    </row>
    <row r="21">
      <c r="A21" s="5">
        <v>44572.36184027778</v>
      </c>
      <c r="B21" s="4" t="s">
        <v>22</v>
      </c>
      <c r="C21" s="4" t="s">
        <v>21</v>
      </c>
      <c r="D21" s="4" t="s">
        <v>21</v>
      </c>
    </row>
    <row r="22">
      <c r="A22" s="5">
        <v>44580.51201388889</v>
      </c>
      <c r="B22" s="4" t="s">
        <v>22</v>
      </c>
      <c r="C22" s="4" t="s">
        <v>21</v>
      </c>
      <c r="D22" s="4" t="s">
        <v>21</v>
      </c>
    </row>
    <row r="23">
      <c r="A23" s="5">
        <v>44589.65217592593</v>
      </c>
      <c r="B23" s="4" t="s">
        <v>22</v>
      </c>
      <c r="C23" s="4" t="s">
        <v>21</v>
      </c>
      <c r="D23" s="4" t="s">
        <v>21</v>
      </c>
    </row>
    <row r="24" hidden="1">
      <c r="A24" s="5">
        <v>44594.8296412037</v>
      </c>
      <c r="B24" s="4" t="s">
        <v>20</v>
      </c>
      <c r="C24" s="4" t="s">
        <v>21</v>
      </c>
      <c r="D24" s="4" t="s">
        <v>23</v>
      </c>
    </row>
    <row r="25">
      <c r="A25" s="5">
        <v>44601.942291666666</v>
      </c>
      <c r="B25" s="4" t="s">
        <v>22</v>
      </c>
      <c r="C25" s="4" t="s">
        <v>21</v>
      </c>
      <c r="D25" s="4" t="s">
        <v>21</v>
      </c>
    </row>
    <row r="26" hidden="1">
      <c r="A26" s="5">
        <v>44612.95663194444</v>
      </c>
      <c r="B26" s="4" t="s">
        <v>20</v>
      </c>
      <c r="C26" s="4" t="s">
        <v>21</v>
      </c>
      <c r="D26" s="4" t="s">
        <v>21</v>
      </c>
    </row>
    <row r="27" hidden="1">
      <c r="A27" s="5">
        <v>44626.68981481482</v>
      </c>
      <c r="B27" s="4" t="s">
        <v>20</v>
      </c>
      <c r="C27" s="4" t="s">
        <v>21</v>
      </c>
      <c r="D27" s="4" t="s">
        <v>21</v>
      </c>
    </row>
    <row r="28">
      <c r="A28" s="5">
        <v>44637.716145833336</v>
      </c>
      <c r="B28" s="4" t="s">
        <v>22</v>
      </c>
      <c r="C28" s="4" t="s">
        <v>21</v>
      </c>
      <c r="D28" s="4" t="s">
        <v>21</v>
      </c>
    </row>
    <row r="29" hidden="1">
      <c r="A29" s="5">
        <v>44638.51892361111</v>
      </c>
      <c r="B29" s="4" t="s">
        <v>20</v>
      </c>
      <c r="C29" s="4" t="s">
        <v>21</v>
      </c>
      <c r="D29" s="4" t="s">
        <v>21</v>
      </c>
    </row>
    <row r="30">
      <c r="A30" s="5">
        <v>44659.40190972222</v>
      </c>
      <c r="B30" s="4" t="s">
        <v>22</v>
      </c>
      <c r="C30" s="4" t="s">
        <v>21</v>
      </c>
      <c r="D30" s="4" t="s">
        <v>21</v>
      </c>
    </row>
    <row r="31">
      <c r="A31" s="5">
        <v>44691.670752314814</v>
      </c>
      <c r="B31" s="4" t="s">
        <v>22</v>
      </c>
      <c r="C31" s="4" t="s">
        <v>21</v>
      </c>
      <c r="D31" s="4" t="s">
        <v>21</v>
      </c>
    </row>
    <row r="32" hidden="1">
      <c r="A32" s="5">
        <v>44603.78627314815</v>
      </c>
      <c r="B32" s="4" t="s">
        <v>20</v>
      </c>
      <c r="C32" s="4" t="s">
        <v>21</v>
      </c>
      <c r="D32" s="4" t="s">
        <v>21</v>
      </c>
    </row>
    <row r="33" hidden="1">
      <c r="A33" s="5">
        <v>44650.3506712963</v>
      </c>
      <c r="B33" s="4" t="s">
        <v>20</v>
      </c>
      <c r="C33" s="4" t="s">
        <v>21</v>
      </c>
      <c r="D33" s="4" t="s">
        <v>21</v>
      </c>
    </row>
    <row r="34">
      <c r="A34" s="5">
        <v>44592.54207175926</v>
      </c>
      <c r="B34" s="4" t="s">
        <v>22</v>
      </c>
      <c r="C34" s="4" t="s">
        <v>21</v>
      </c>
      <c r="D34" s="4" t="s">
        <v>23</v>
      </c>
    </row>
    <row r="35">
      <c r="A35" s="5">
        <v>44518.61607638889</v>
      </c>
      <c r="B35" s="4" t="s">
        <v>22</v>
      </c>
      <c r="C35" s="4" t="s">
        <v>21</v>
      </c>
      <c r="D35" s="4" t="s">
        <v>21</v>
      </c>
    </row>
    <row r="36">
      <c r="A36" s="5">
        <v>44462.348125</v>
      </c>
      <c r="B36" s="4" t="s">
        <v>22</v>
      </c>
      <c r="C36" s="4" t="s">
        <v>21</v>
      </c>
      <c r="D36" s="4" t="s">
        <v>21</v>
      </c>
    </row>
    <row r="37" hidden="1">
      <c r="A37" s="5">
        <v>44573.41006944444</v>
      </c>
      <c r="B37" s="4" t="s">
        <v>24</v>
      </c>
      <c r="C37" s="4" t="s">
        <v>21</v>
      </c>
      <c r="D37" s="4" t="s">
        <v>21</v>
      </c>
    </row>
    <row r="38">
      <c r="A38" s="5">
        <v>44589.86834490741</v>
      </c>
      <c r="B38" s="4" t="s">
        <v>22</v>
      </c>
      <c r="C38" s="4" t="s">
        <v>21</v>
      </c>
      <c r="D38" s="4" t="s">
        <v>21</v>
      </c>
    </row>
    <row r="39">
      <c r="A39" s="5">
        <v>44636.43168981482</v>
      </c>
      <c r="B39" s="4" t="s">
        <v>22</v>
      </c>
      <c r="C39" s="4" t="s">
        <v>21</v>
      </c>
      <c r="D39" s="4" t="s">
        <v>21</v>
      </c>
    </row>
    <row r="40">
      <c r="A40" s="5">
        <v>44684.164664351854</v>
      </c>
      <c r="B40" s="4" t="s">
        <v>22</v>
      </c>
      <c r="C40" s="4" t="s">
        <v>21</v>
      </c>
      <c r="D40" s="4" t="s">
        <v>21</v>
      </c>
    </row>
    <row r="41">
      <c r="A41" s="5">
        <v>44685.17420138889</v>
      </c>
      <c r="B41" s="4" t="s">
        <v>22</v>
      </c>
      <c r="C41" s="4" t="s">
        <v>21</v>
      </c>
      <c r="D41" s="4" t="s">
        <v>21</v>
      </c>
    </row>
    <row r="42">
      <c r="A42" s="5">
        <v>44538.16469907408</v>
      </c>
      <c r="B42" s="4" t="s">
        <v>22</v>
      </c>
      <c r="C42" s="4" t="s">
        <v>21</v>
      </c>
      <c r="D42" s="4" t="s">
        <v>21</v>
      </c>
    </row>
    <row r="43">
      <c r="A43" s="5">
        <v>44448.93375</v>
      </c>
      <c r="B43" s="4" t="s">
        <v>22</v>
      </c>
      <c r="C43" s="4" t="s">
        <v>21</v>
      </c>
      <c r="D43" s="4" t="s">
        <v>21</v>
      </c>
    </row>
    <row r="44">
      <c r="A44" s="5">
        <v>44638.59207175926</v>
      </c>
      <c r="B44" s="4" t="s">
        <v>22</v>
      </c>
      <c r="C44" s="4" t="s">
        <v>21</v>
      </c>
      <c r="D44" s="4" t="s">
        <v>21</v>
      </c>
    </row>
    <row r="45">
      <c r="A45" s="5">
        <v>44649.64690972222</v>
      </c>
      <c r="B45" s="4" t="s">
        <v>22</v>
      </c>
      <c r="C45" s="4" t="s">
        <v>21</v>
      </c>
      <c r="D45" s="4" t="s">
        <v>21</v>
      </c>
    </row>
    <row r="46">
      <c r="A46" s="5">
        <v>44621.41212962963</v>
      </c>
      <c r="B46" s="4" t="s">
        <v>22</v>
      </c>
      <c r="C46" s="4" t="s">
        <v>21</v>
      </c>
      <c r="D46" s="4" t="s">
        <v>21</v>
      </c>
    </row>
    <row r="47">
      <c r="A47" s="5">
        <v>44448.935891203706</v>
      </c>
      <c r="B47" s="4" t="s">
        <v>22</v>
      </c>
      <c r="C47" s="4" t="s">
        <v>21</v>
      </c>
      <c r="D47" s="4" t="s">
        <v>21</v>
      </c>
    </row>
    <row r="48">
      <c r="A48" s="5">
        <v>44614.337222222224</v>
      </c>
      <c r="B48" s="4" t="s">
        <v>22</v>
      </c>
      <c r="C48" s="4" t="s">
        <v>21</v>
      </c>
      <c r="D48" s="4" t="s">
        <v>21</v>
      </c>
    </row>
    <row r="49">
      <c r="A49" s="5">
        <v>44448.937685185185</v>
      </c>
      <c r="B49" s="4" t="s">
        <v>22</v>
      </c>
      <c r="C49" s="4" t="s">
        <v>21</v>
      </c>
      <c r="D49" s="4" t="s">
        <v>21</v>
      </c>
    </row>
    <row r="50">
      <c r="A50" s="5">
        <v>44670.36965277778</v>
      </c>
      <c r="B50" s="4" t="s">
        <v>22</v>
      </c>
      <c r="C50" s="4" t="s">
        <v>21</v>
      </c>
      <c r="D50" s="4" t="s">
        <v>21</v>
      </c>
    </row>
    <row r="51">
      <c r="A51" s="5">
        <v>44602.46364583333</v>
      </c>
      <c r="B51" s="4" t="s">
        <v>22</v>
      </c>
      <c r="C51" s="4" t="s">
        <v>21</v>
      </c>
      <c r="D51" s="4" t="s">
        <v>21</v>
      </c>
    </row>
    <row r="52" hidden="1">
      <c r="A52" s="5">
        <v>44588.64189814815</v>
      </c>
      <c r="B52" s="4" t="s">
        <v>20</v>
      </c>
      <c r="C52" s="4" t="s">
        <v>21</v>
      </c>
      <c r="D52" s="4" t="s">
        <v>21</v>
      </c>
    </row>
    <row r="53">
      <c r="A53" s="5">
        <v>44530.15268518519</v>
      </c>
      <c r="B53" s="4" t="s">
        <v>22</v>
      </c>
      <c r="C53" s="4" t="s">
        <v>21</v>
      </c>
      <c r="D53" s="4" t="s">
        <v>21</v>
      </c>
    </row>
    <row r="54">
      <c r="A54" s="5">
        <v>44470.281226851854</v>
      </c>
      <c r="B54" s="4" t="s">
        <v>22</v>
      </c>
      <c r="C54" s="4" t="s">
        <v>21</v>
      </c>
      <c r="D54" s="4" t="s">
        <v>21</v>
      </c>
    </row>
    <row r="55">
      <c r="A55" s="5">
        <v>44595.48945601852</v>
      </c>
      <c r="B55" s="4" t="s">
        <v>22</v>
      </c>
      <c r="C55" s="4" t="s">
        <v>21</v>
      </c>
      <c r="D55" s="4" t="s">
        <v>23</v>
      </c>
    </row>
    <row r="56" hidden="1">
      <c r="A56" s="5">
        <v>44656.27721064815</v>
      </c>
      <c r="B56" s="4" t="s">
        <v>20</v>
      </c>
      <c r="C56" s="4" t="s">
        <v>21</v>
      </c>
      <c r="D56" s="4" t="s">
        <v>21</v>
      </c>
    </row>
    <row r="57">
      <c r="A57" s="5">
        <v>44533.27234953704</v>
      </c>
      <c r="B57" s="4" t="s">
        <v>22</v>
      </c>
      <c r="C57" s="4" t="s">
        <v>21</v>
      </c>
      <c r="D57" s="4" t="s">
        <v>21</v>
      </c>
    </row>
    <row r="58">
      <c r="A58" s="5">
        <v>44635.50109953704</v>
      </c>
      <c r="B58" s="4" t="s">
        <v>22</v>
      </c>
      <c r="C58" s="4" t="s">
        <v>21</v>
      </c>
      <c r="D58" s="4" t="s">
        <v>21</v>
      </c>
    </row>
    <row r="59">
      <c r="A59" s="5">
        <v>44525.637407407405</v>
      </c>
      <c r="B59" s="4" t="s">
        <v>22</v>
      </c>
      <c r="C59" s="4" t="s">
        <v>21</v>
      </c>
      <c r="D59" s="4" t="s">
        <v>21</v>
      </c>
    </row>
    <row r="60">
      <c r="A60" s="5">
        <v>44566.24335648148</v>
      </c>
      <c r="B60" s="4" t="s">
        <v>22</v>
      </c>
      <c r="C60" s="4" t="s">
        <v>23</v>
      </c>
      <c r="D60" s="4" t="s">
        <v>21</v>
      </c>
    </row>
    <row r="61" hidden="1">
      <c r="A61" s="5">
        <v>44607.407118055555</v>
      </c>
      <c r="B61" s="4" t="s">
        <v>20</v>
      </c>
      <c r="C61" s="4" t="s">
        <v>21</v>
      </c>
      <c r="D61" s="4" t="s">
        <v>21</v>
      </c>
    </row>
    <row r="62">
      <c r="A62" s="5">
        <v>44565.70203703704</v>
      </c>
      <c r="B62" s="4" t="s">
        <v>22</v>
      </c>
      <c r="C62" s="4" t="s">
        <v>23</v>
      </c>
      <c r="D62" s="4" t="s">
        <v>21</v>
      </c>
    </row>
    <row r="63">
      <c r="A63" s="5">
        <v>44634.5633912037</v>
      </c>
      <c r="B63" s="4" t="s">
        <v>22</v>
      </c>
      <c r="C63" s="4" t="s">
        <v>21</v>
      </c>
      <c r="D63" s="4" t="s">
        <v>21</v>
      </c>
    </row>
    <row r="64">
      <c r="A64" s="5">
        <v>44697.48625</v>
      </c>
      <c r="B64" s="4" t="s">
        <v>22</v>
      </c>
      <c r="C64" s="4" t="s">
        <v>21</v>
      </c>
      <c r="D64" s="4" t="s">
        <v>21</v>
      </c>
    </row>
    <row r="65">
      <c r="A65" s="5">
        <v>44565.312951388885</v>
      </c>
      <c r="B65" s="4" t="s">
        <v>22</v>
      </c>
      <c r="C65" s="4" t="s">
        <v>23</v>
      </c>
      <c r="D65" s="4" t="s">
        <v>21</v>
      </c>
    </row>
    <row r="66">
      <c r="A66" s="5">
        <v>44572.45167824074</v>
      </c>
      <c r="B66" s="4" t="s">
        <v>22</v>
      </c>
      <c r="C66" s="4" t="s">
        <v>21</v>
      </c>
      <c r="D66" s="4" t="s">
        <v>21</v>
      </c>
    </row>
    <row r="67">
      <c r="A67" s="5">
        <v>44609.58615740741</v>
      </c>
      <c r="B67" s="4" t="s">
        <v>22</v>
      </c>
      <c r="C67" s="4" t="s">
        <v>21</v>
      </c>
      <c r="D67" s="4" t="s">
        <v>21</v>
      </c>
    </row>
    <row r="68">
      <c r="A68" s="5">
        <v>44617.16002314815</v>
      </c>
      <c r="B68" s="4" t="s">
        <v>22</v>
      </c>
      <c r="C68" s="4" t="s">
        <v>21</v>
      </c>
      <c r="D68" s="4" t="s">
        <v>21</v>
      </c>
    </row>
    <row r="69">
      <c r="A69" s="5">
        <v>44694.66075231481</v>
      </c>
      <c r="B69" s="4" t="s">
        <v>22</v>
      </c>
      <c r="C69" s="4" t="s">
        <v>21</v>
      </c>
      <c r="D69" s="4" t="s">
        <v>21</v>
      </c>
    </row>
    <row r="70">
      <c r="A70" s="5">
        <v>44709.15114583333</v>
      </c>
      <c r="B70" s="4" t="s">
        <v>22</v>
      </c>
      <c r="C70" s="4" t="s">
        <v>21</v>
      </c>
      <c r="D70" s="4" t="s">
        <v>21</v>
      </c>
    </row>
    <row r="71">
      <c r="A71" s="5">
        <v>44720.213055555556</v>
      </c>
      <c r="B71" s="4" t="s">
        <v>22</v>
      </c>
      <c r="C71" s="4" t="s">
        <v>21</v>
      </c>
      <c r="D71" s="4" t="s">
        <v>21</v>
      </c>
    </row>
    <row r="72">
      <c r="A72" s="5">
        <v>44538.61678240741</v>
      </c>
      <c r="B72" s="4" t="s">
        <v>22</v>
      </c>
      <c r="C72" s="4" t="s">
        <v>21</v>
      </c>
      <c r="D72" s="4" t="s">
        <v>21</v>
      </c>
    </row>
    <row r="73">
      <c r="A73" s="5">
        <v>44648.785787037035</v>
      </c>
      <c r="B73" s="4" t="s">
        <v>22</v>
      </c>
      <c r="C73" s="4" t="s">
        <v>21</v>
      </c>
      <c r="D73" s="4" t="s">
        <v>21</v>
      </c>
    </row>
    <row r="74">
      <c r="A74" s="5">
        <v>44540.81318287037</v>
      </c>
      <c r="B74" s="4" t="s">
        <v>22</v>
      </c>
      <c r="C74" s="4" t="s">
        <v>21</v>
      </c>
      <c r="D74" s="4" t="s">
        <v>21</v>
      </c>
    </row>
    <row r="75">
      <c r="A75" s="5">
        <v>44512.77810185185</v>
      </c>
      <c r="B75" s="4" t="s">
        <v>22</v>
      </c>
      <c r="C75" s="4" t="s">
        <v>21</v>
      </c>
      <c r="D75" s="4" t="s">
        <v>21</v>
      </c>
    </row>
    <row r="76">
      <c r="A76" s="5">
        <v>44719.82305555556</v>
      </c>
      <c r="B76" s="4" t="s">
        <v>22</v>
      </c>
      <c r="C76" s="4" t="s">
        <v>21</v>
      </c>
      <c r="D76" s="4" t="s">
        <v>21</v>
      </c>
    </row>
    <row r="77">
      <c r="A77" s="5">
        <v>44663.35686342593</v>
      </c>
      <c r="B77" s="4" t="s">
        <v>22</v>
      </c>
      <c r="C77" s="4" t="s">
        <v>21</v>
      </c>
      <c r="D77" s="4" t="s">
        <v>21</v>
      </c>
    </row>
    <row r="78">
      <c r="A78" s="5">
        <v>44616.58363425926</v>
      </c>
      <c r="B78" s="4" t="s">
        <v>22</v>
      </c>
      <c r="C78" s="4" t="s">
        <v>21</v>
      </c>
      <c r="D78" s="4" t="s">
        <v>21</v>
      </c>
    </row>
    <row r="79">
      <c r="A79" s="5">
        <v>44725.414247685185</v>
      </c>
      <c r="B79" s="4" t="s">
        <v>22</v>
      </c>
      <c r="C79" s="4" t="s">
        <v>21</v>
      </c>
      <c r="D79" s="4" t="s">
        <v>21</v>
      </c>
    </row>
    <row r="80">
      <c r="A80" s="5">
        <v>44436.12372685185</v>
      </c>
      <c r="B80" s="4" t="s">
        <v>22</v>
      </c>
      <c r="C80" s="4" t="s">
        <v>21</v>
      </c>
      <c r="D80" s="4" t="s">
        <v>21</v>
      </c>
    </row>
    <row r="81" hidden="1">
      <c r="A81" s="5">
        <v>44508.52050925926</v>
      </c>
      <c r="B81" s="4" t="s">
        <v>20</v>
      </c>
      <c r="C81" s="4" t="s">
        <v>21</v>
      </c>
      <c r="D81" s="4" t="s">
        <v>21</v>
      </c>
    </row>
    <row r="82">
      <c r="A82" s="5">
        <v>44509.40331018518</v>
      </c>
      <c r="B82" s="4" t="s">
        <v>22</v>
      </c>
      <c r="C82" s="4" t="s">
        <v>21</v>
      </c>
      <c r="D82" s="4" t="s">
        <v>21</v>
      </c>
    </row>
    <row r="83">
      <c r="A83" s="5">
        <v>44523.12125</v>
      </c>
      <c r="B83" s="4" t="s">
        <v>22</v>
      </c>
      <c r="C83" s="4" t="s">
        <v>21</v>
      </c>
      <c r="D83" s="4" t="s">
        <v>21</v>
      </c>
    </row>
    <row r="84">
      <c r="A84" s="5">
        <v>44546.61960648148</v>
      </c>
      <c r="B84" s="4" t="s">
        <v>22</v>
      </c>
      <c r="C84" s="4" t="s">
        <v>21</v>
      </c>
      <c r="D84" s="4" t="s">
        <v>21</v>
      </c>
    </row>
    <row r="85">
      <c r="A85" s="5">
        <v>44578.26429398148</v>
      </c>
      <c r="B85" s="4" t="s">
        <v>22</v>
      </c>
      <c r="C85" s="4" t="s">
        <v>21</v>
      </c>
      <c r="D85" s="4" t="s">
        <v>21</v>
      </c>
    </row>
    <row r="86">
      <c r="A86" s="5">
        <v>44609.60228009259</v>
      </c>
      <c r="B86" s="4" t="s">
        <v>22</v>
      </c>
      <c r="C86" s="4" t="s">
        <v>21</v>
      </c>
      <c r="D86" s="4" t="s">
        <v>21</v>
      </c>
    </row>
    <row r="87" hidden="1">
      <c r="A87" s="5">
        <v>44610.294803240744</v>
      </c>
      <c r="B87" s="4" t="s">
        <v>20</v>
      </c>
      <c r="C87" s="4" t="s">
        <v>21</v>
      </c>
      <c r="D87" s="4" t="s">
        <v>21</v>
      </c>
    </row>
    <row r="88" hidden="1">
      <c r="A88" s="5">
        <v>44615.83116898148</v>
      </c>
      <c r="B88" s="4" t="s">
        <v>20</v>
      </c>
      <c r="C88" s="4" t="s">
        <v>21</v>
      </c>
      <c r="D88" s="4" t="s">
        <v>21</v>
      </c>
    </row>
    <row r="89">
      <c r="A89" s="5">
        <v>44616.38974537037</v>
      </c>
      <c r="B89" s="4" t="s">
        <v>22</v>
      </c>
      <c r="C89" s="4" t="s">
        <v>21</v>
      </c>
      <c r="D89" s="4" t="s">
        <v>21</v>
      </c>
    </row>
    <row r="90">
      <c r="A90" s="5">
        <v>44616.580775462964</v>
      </c>
      <c r="B90" s="4" t="s">
        <v>22</v>
      </c>
      <c r="C90" s="4" t="s">
        <v>21</v>
      </c>
      <c r="D90" s="4" t="s">
        <v>21</v>
      </c>
    </row>
    <row r="91">
      <c r="A91" s="5">
        <v>44642.49909722222</v>
      </c>
      <c r="B91" s="4" t="s">
        <v>22</v>
      </c>
      <c r="C91" s="4" t="s">
        <v>21</v>
      </c>
      <c r="D91" s="4" t="s">
        <v>21</v>
      </c>
    </row>
    <row r="92">
      <c r="A92" s="5">
        <v>44643.01288194444</v>
      </c>
      <c r="B92" s="4" t="s">
        <v>22</v>
      </c>
      <c r="C92" s="4" t="s">
        <v>21</v>
      </c>
      <c r="D92" s="4" t="s">
        <v>21</v>
      </c>
    </row>
    <row r="93" hidden="1">
      <c r="A93" s="5">
        <v>44643.58321759259</v>
      </c>
      <c r="B93" s="4" t="s">
        <v>20</v>
      </c>
      <c r="C93" s="4" t="s">
        <v>21</v>
      </c>
      <c r="D93" s="4" t="s">
        <v>21</v>
      </c>
    </row>
    <row r="94">
      <c r="A94" s="5">
        <v>44649.32648148148</v>
      </c>
      <c r="B94" s="4" t="s">
        <v>22</v>
      </c>
      <c r="C94" s="4" t="s">
        <v>21</v>
      </c>
      <c r="D94" s="4" t="s">
        <v>21</v>
      </c>
    </row>
    <row r="95">
      <c r="A95" s="5">
        <v>44671.325891203705</v>
      </c>
      <c r="B95" s="4" t="s">
        <v>22</v>
      </c>
      <c r="C95" s="4" t="s">
        <v>21</v>
      </c>
      <c r="D95" s="4" t="s">
        <v>21</v>
      </c>
    </row>
    <row r="96">
      <c r="A96" s="5">
        <v>44676.67201388889</v>
      </c>
      <c r="B96" s="4" t="s">
        <v>22</v>
      </c>
      <c r="C96" s="4" t="s">
        <v>21</v>
      </c>
      <c r="D96" s="4" t="s">
        <v>21</v>
      </c>
    </row>
    <row r="97" hidden="1">
      <c r="A97" s="5">
        <v>44678.969814814816</v>
      </c>
      <c r="B97" s="4" t="s">
        <v>20</v>
      </c>
      <c r="C97" s="4" t="s">
        <v>21</v>
      </c>
      <c r="D97" s="4" t="s">
        <v>21</v>
      </c>
    </row>
    <row r="98" hidden="1">
      <c r="A98" s="5">
        <v>44679.95758101852</v>
      </c>
      <c r="B98" s="4" t="s">
        <v>25</v>
      </c>
      <c r="C98" s="4" t="s">
        <v>21</v>
      </c>
      <c r="D98" s="4" t="s">
        <v>21</v>
      </c>
    </row>
    <row r="99">
      <c r="A99" s="5">
        <v>44686.717523148145</v>
      </c>
      <c r="B99" s="4" t="s">
        <v>22</v>
      </c>
      <c r="C99" s="4" t="s">
        <v>21</v>
      </c>
      <c r="D99" s="4" t="s">
        <v>21</v>
      </c>
    </row>
    <row r="100">
      <c r="A100" s="5">
        <v>44704.60318287037</v>
      </c>
      <c r="B100" s="4" t="s">
        <v>22</v>
      </c>
      <c r="C100" s="4" t="s">
        <v>21</v>
      </c>
      <c r="D100" s="4" t="s">
        <v>21</v>
      </c>
    </row>
    <row r="101">
      <c r="A101" s="5">
        <v>44705.31791666667</v>
      </c>
      <c r="B101" s="4" t="s">
        <v>22</v>
      </c>
      <c r="C101" s="4" t="s">
        <v>21</v>
      </c>
      <c r="D101" s="4" t="s">
        <v>21</v>
      </c>
    </row>
    <row r="102">
      <c r="A102" s="5">
        <v>44712.33053240741</v>
      </c>
      <c r="B102" s="4" t="s">
        <v>22</v>
      </c>
      <c r="C102" s="4" t="s">
        <v>21</v>
      </c>
      <c r="D102" s="4" t="s">
        <v>21</v>
      </c>
    </row>
    <row r="103">
      <c r="A103" s="5">
        <v>44581.48034722222</v>
      </c>
      <c r="B103" s="4" t="s">
        <v>22</v>
      </c>
      <c r="C103" s="4" t="s">
        <v>21</v>
      </c>
      <c r="D103" s="4" t="s">
        <v>21</v>
      </c>
    </row>
    <row r="104">
      <c r="A104" s="5">
        <v>44706.68854166667</v>
      </c>
      <c r="B104" s="4" t="s">
        <v>22</v>
      </c>
      <c r="C104" s="4" t="s">
        <v>21</v>
      </c>
      <c r="D104" s="4" t="s">
        <v>21</v>
      </c>
    </row>
    <row r="105" hidden="1">
      <c r="A105" s="5">
        <v>44579.47667824074</v>
      </c>
      <c r="B105" s="4" t="s">
        <v>25</v>
      </c>
      <c r="C105" s="4" t="s">
        <v>21</v>
      </c>
      <c r="D105" s="4" t="s">
        <v>21</v>
      </c>
    </row>
    <row r="106">
      <c r="A106" s="5">
        <v>44691.654270833336</v>
      </c>
      <c r="B106" s="4" t="s">
        <v>22</v>
      </c>
      <c r="C106" s="4" t="s">
        <v>21</v>
      </c>
      <c r="D106" s="4" t="s">
        <v>21</v>
      </c>
    </row>
    <row r="107">
      <c r="A107" s="5">
        <v>44614.70096064815</v>
      </c>
      <c r="B107" s="4" t="s">
        <v>22</v>
      </c>
      <c r="C107" s="4" t="s">
        <v>21</v>
      </c>
      <c r="D107" s="4" t="s">
        <v>21</v>
      </c>
    </row>
    <row r="108">
      <c r="A108" s="5">
        <v>44629.652604166666</v>
      </c>
      <c r="B108" s="4" t="s">
        <v>22</v>
      </c>
      <c r="C108" s="4" t="s">
        <v>21</v>
      </c>
      <c r="D108" s="4" t="s">
        <v>21</v>
      </c>
    </row>
    <row r="109">
      <c r="A109" s="5">
        <v>44567.28952546296</v>
      </c>
      <c r="B109" s="4" t="s">
        <v>22</v>
      </c>
      <c r="C109" s="4" t="s">
        <v>21</v>
      </c>
      <c r="D109" s="4" t="s">
        <v>21</v>
      </c>
    </row>
    <row r="110" hidden="1">
      <c r="A110" s="5">
        <v>44624.24013888889</v>
      </c>
      <c r="B110" s="4" t="s">
        <v>20</v>
      </c>
      <c r="C110" s="4" t="s">
        <v>21</v>
      </c>
      <c r="D110" s="4" t="s">
        <v>21</v>
      </c>
    </row>
    <row r="111">
      <c r="A111" s="5">
        <v>44727.50383101852</v>
      </c>
      <c r="B111" s="4" t="s">
        <v>22</v>
      </c>
      <c r="C111" s="4" t="s">
        <v>21</v>
      </c>
      <c r="D111" s="4" t="s">
        <v>21</v>
      </c>
    </row>
    <row r="112">
      <c r="A112" s="5">
        <v>44529.48552083333</v>
      </c>
      <c r="B112" s="4" t="s">
        <v>22</v>
      </c>
      <c r="C112" s="4" t="s">
        <v>21</v>
      </c>
      <c r="D112" s="4" t="s">
        <v>21</v>
      </c>
    </row>
    <row r="113">
      <c r="A113" s="5">
        <v>44530.10530092593</v>
      </c>
      <c r="B113" s="4" t="s">
        <v>22</v>
      </c>
      <c r="C113" s="4" t="s">
        <v>21</v>
      </c>
      <c r="D113" s="4" t="s">
        <v>21</v>
      </c>
    </row>
    <row r="114">
      <c r="A114" s="5">
        <v>44606.71324074074</v>
      </c>
      <c r="B114" s="4" t="s">
        <v>22</v>
      </c>
      <c r="C114" s="4" t="s">
        <v>21</v>
      </c>
      <c r="D114" s="4" t="s">
        <v>21</v>
      </c>
    </row>
    <row r="115">
      <c r="A115" s="5">
        <v>44650.54405092593</v>
      </c>
      <c r="B115" s="4" t="s">
        <v>22</v>
      </c>
      <c r="C115" s="4" t="s">
        <v>21</v>
      </c>
      <c r="D115" s="4" t="s">
        <v>21</v>
      </c>
    </row>
    <row r="116">
      <c r="A116" s="5">
        <v>44531.35542824074</v>
      </c>
      <c r="B116" s="4" t="s">
        <v>22</v>
      </c>
      <c r="C116" s="4" t="s">
        <v>21</v>
      </c>
      <c r="D116" s="4" t="s">
        <v>21</v>
      </c>
    </row>
    <row r="117">
      <c r="A117" s="5">
        <v>44533.40351851852</v>
      </c>
      <c r="B117" s="4" t="s">
        <v>22</v>
      </c>
      <c r="C117" s="4" t="s">
        <v>21</v>
      </c>
      <c r="D117" s="4" t="s">
        <v>21</v>
      </c>
    </row>
    <row r="118">
      <c r="A118" s="5">
        <v>44539.654074074075</v>
      </c>
      <c r="B118" s="4" t="s">
        <v>22</v>
      </c>
      <c r="C118" s="4" t="s">
        <v>21</v>
      </c>
      <c r="D118" s="4" t="s">
        <v>21</v>
      </c>
    </row>
    <row r="119">
      <c r="A119" s="5">
        <v>44600.453518518516</v>
      </c>
      <c r="B119" s="4" t="s">
        <v>22</v>
      </c>
      <c r="C119" s="4" t="s">
        <v>21</v>
      </c>
      <c r="D119" s="4" t="s">
        <v>21</v>
      </c>
    </row>
    <row r="120">
      <c r="A120" s="5">
        <v>44637.25619212963</v>
      </c>
      <c r="B120" s="4" t="s">
        <v>22</v>
      </c>
      <c r="C120" s="4" t="s">
        <v>21</v>
      </c>
      <c r="D120" s="4" t="s">
        <v>21</v>
      </c>
    </row>
    <row r="121">
      <c r="A121" s="5">
        <v>44708.65351851852</v>
      </c>
      <c r="B121" s="4" t="s">
        <v>22</v>
      </c>
      <c r="C121" s="4" t="s">
        <v>21</v>
      </c>
      <c r="D121" s="4" t="s">
        <v>21</v>
      </c>
    </row>
    <row r="122">
      <c r="A122" s="5">
        <v>44719.659895833334</v>
      </c>
      <c r="B122" s="4" t="s">
        <v>22</v>
      </c>
      <c r="C122" s="4" t="s">
        <v>21</v>
      </c>
      <c r="D122" s="4" t="s">
        <v>21</v>
      </c>
    </row>
    <row r="123">
      <c r="A123" s="5">
        <v>44581.689675925925</v>
      </c>
      <c r="B123" s="4" t="s">
        <v>22</v>
      </c>
      <c r="C123" s="4" t="s">
        <v>21</v>
      </c>
      <c r="D123" s="4" t="s">
        <v>21</v>
      </c>
    </row>
    <row r="124">
      <c r="A124" s="5">
        <v>44512.655173611114</v>
      </c>
      <c r="B124" s="4" t="s">
        <v>22</v>
      </c>
      <c r="C124" s="4" t="s">
        <v>21</v>
      </c>
      <c r="D124" s="4" t="s">
        <v>21</v>
      </c>
    </row>
    <row r="125">
      <c r="A125" s="5">
        <v>44530.522986111115</v>
      </c>
      <c r="B125" s="4" t="s">
        <v>22</v>
      </c>
      <c r="C125" s="4" t="s">
        <v>21</v>
      </c>
      <c r="D125" s="4" t="s">
        <v>21</v>
      </c>
    </row>
    <row r="126">
      <c r="A126" s="5">
        <v>44683.617939814816</v>
      </c>
      <c r="B126" s="4" t="s">
        <v>22</v>
      </c>
      <c r="C126" s="4" t="s">
        <v>21</v>
      </c>
      <c r="D126" s="4" t="s">
        <v>21</v>
      </c>
    </row>
    <row r="127">
      <c r="A127" s="5">
        <v>44720.3777662037</v>
      </c>
      <c r="B127" s="4" t="s">
        <v>22</v>
      </c>
      <c r="C127" s="4" t="s">
        <v>21</v>
      </c>
      <c r="D127" s="4" t="s">
        <v>21</v>
      </c>
    </row>
    <row r="128">
      <c r="A128" s="5">
        <v>44663.67153935185</v>
      </c>
      <c r="B128" s="4" t="s">
        <v>22</v>
      </c>
      <c r="C128" s="4" t="s">
        <v>21</v>
      </c>
      <c r="D128" s="4" t="s">
        <v>21</v>
      </c>
    </row>
    <row r="129">
      <c r="A129" s="5">
        <v>44565.845138888886</v>
      </c>
      <c r="B129" s="4" t="s">
        <v>22</v>
      </c>
      <c r="C129" s="4" t="s">
        <v>23</v>
      </c>
      <c r="D129" s="4" t="s">
        <v>21</v>
      </c>
    </row>
    <row r="130">
      <c r="A130" s="5">
        <v>44572.67381944445</v>
      </c>
      <c r="B130" s="4" t="s">
        <v>22</v>
      </c>
      <c r="C130" s="4" t="s">
        <v>21</v>
      </c>
      <c r="D130" s="4" t="s">
        <v>21</v>
      </c>
    </row>
    <row r="131">
      <c r="A131" s="5">
        <v>44536.93106481482</v>
      </c>
      <c r="B131" s="4" t="s">
        <v>22</v>
      </c>
      <c r="C131" s="4" t="s">
        <v>21</v>
      </c>
      <c r="D131" s="4" t="s">
        <v>21</v>
      </c>
    </row>
    <row r="132">
      <c r="A132" s="5">
        <v>44573.1253125</v>
      </c>
      <c r="B132" s="4" t="s">
        <v>22</v>
      </c>
      <c r="C132" s="4" t="s">
        <v>21</v>
      </c>
      <c r="D132" s="4" t="s">
        <v>21</v>
      </c>
    </row>
    <row r="133">
      <c r="A133" s="5">
        <v>44573.46511574074</v>
      </c>
      <c r="B133" s="4" t="s">
        <v>22</v>
      </c>
      <c r="C133" s="4" t="s">
        <v>21</v>
      </c>
      <c r="D133" s="4" t="s">
        <v>21</v>
      </c>
    </row>
    <row r="134">
      <c r="A134" s="5">
        <v>44533.630625</v>
      </c>
      <c r="B134" s="4" t="s">
        <v>22</v>
      </c>
      <c r="C134" s="4" t="s">
        <v>21</v>
      </c>
      <c r="D134" s="4" t="s">
        <v>21</v>
      </c>
    </row>
    <row r="135">
      <c r="A135" s="5">
        <v>44546.33777777778</v>
      </c>
      <c r="B135" s="4" t="s">
        <v>22</v>
      </c>
      <c r="C135" s="4" t="s">
        <v>21</v>
      </c>
      <c r="D135" s="4" t="s">
        <v>21</v>
      </c>
    </row>
    <row r="136">
      <c r="A136" s="5">
        <v>44663.75234953704</v>
      </c>
      <c r="B136" s="4" t="s">
        <v>22</v>
      </c>
      <c r="C136" s="4" t="s">
        <v>21</v>
      </c>
      <c r="D136" s="4" t="s">
        <v>21</v>
      </c>
    </row>
    <row r="137">
      <c r="A137" s="5">
        <v>44371.37189814815</v>
      </c>
      <c r="B137" s="4" t="s">
        <v>22</v>
      </c>
      <c r="C137" s="4" t="s">
        <v>21</v>
      </c>
      <c r="D137" s="4" t="s">
        <v>21</v>
      </c>
    </row>
    <row r="138">
      <c r="A138" s="5">
        <v>44474.78931712963</v>
      </c>
      <c r="B138" s="4" t="s">
        <v>22</v>
      </c>
      <c r="C138" s="4" t="s">
        <v>21</v>
      </c>
      <c r="D138" s="4" t="s">
        <v>21</v>
      </c>
    </row>
    <row r="139" hidden="1">
      <c r="A139" s="5">
        <v>44552.83697916667</v>
      </c>
      <c r="B139" s="4" t="s">
        <v>20</v>
      </c>
      <c r="C139" s="4" t="s">
        <v>21</v>
      </c>
      <c r="D139" s="4" t="s">
        <v>21</v>
      </c>
    </row>
    <row r="140">
      <c r="A140" s="5">
        <v>44553.118483796294</v>
      </c>
      <c r="B140" s="4" t="s">
        <v>22</v>
      </c>
      <c r="C140" s="4" t="s">
        <v>21</v>
      </c>
      <c r="D140" s="4" t="s">
        <v>21</v>
      </c>
    </row>
    <row r="141">
      <c r="A141" s="5">
        <v>44582.927395833336</v>
      </c>
      <c r="B141" s="4" t="s">
        <v>22</v>
      </c>
      <c r="C141" s="4" t="s">
        <v>21</v>
      </c>
      <c r="D141" s="4" t="s">
        <v>21</v>
      </c>
    </row>
    <row r="142">
      <c r="A142" s="5">
        <v>44603.41756944444</v>
      </c>
      <c r="B142" s="4" t="s">
        <v>22</v>
      </c>
      <c r="C142" s="4" t="s">
        <v>21</v>
      </c>
      <c r="D142" s="4" t="s">
        <v>21</v>
      </c>
    </row>
    <row r="143" hidden="1">
      <c r="A143" s="5">
        <v>44641.55525462963</v>
      </c>
      <c r="B143" s="4" t="s">
        <v>20</v>
      </c>
      <c r="C143" s="4" t="s">
        <v>21</v>
      </c>
      <c r="D143" s="4" t="s">
        <v>21</v>
      </c>
    </row>
    <row r="144">
      <c r="A144" s="5">
        <v>44641.71784722222</v>
      </c>
      <c r="B144" s="4" t="s">
        <v>22</v>
      </c>
      <c r="C144" s="4" t="s">
        <v>21</v>
      </c>
      <c r="D144" s="4" t="s">
        <v>21</v>
      </c>
    </row>
    <row r="145">
      <c r="A145" s="5">
        <v>44711.73626157407</v>
      </c>
      <c r="B145" s="4" t="s">
        <v>22</v>
      </c>
      <c r="C145" s="4" t="s">
        <v>21</v>
      </c>
      <c r="D145" s="4" t="s">
        <v>21</v>
      </c>
    </row>
    <row r="146">
      <c r="A146" s="5">
        <v>44711.74055555555</v>
      </c>
      <c r="B146" s="4" t="s">
        <v>22</v>
      </c>
      <c r="C146" s="4" t="s">
        <v>21</v>
      </c>
      <c r="D146" s="4" t="s">
        <v>21</v>
      </c>
    </row>
    <row r="147">
      <c r="A147" s="5">
        <v>44630.48820601852</v>
      </c>
      <c r="B147" s="4" t="s">
        <v>22</v>
      </c>
      <c r="C147" s="4" t="s">
        <v>21</v>
      </c>
      <c r="D147" s="4" t="s">
        <v>21</v>
      </c>
    </row>
    <row r="148">
      <c r="A148" s="5">
        <v>44531.613541666666</v>
      </c>
      <c r="B148" s="4" t="s">
        <v>22</v>
      </c>
      <c r="C148" s="4" t="s">
        <v>21</v>
      </c>
      <c r="D148" s="4" t="s">
        <v>21</v>
      </c>
    </row>
    <row r="149" hidden="1">
      <c r="A149" s="5">
        <v>44680.36518518518</v>
      </c>
      <c r="B149" s="4" t="s">
        <v>20</v>
      </c>
      <c r="C149" s="4" t="s">
        <v>21</v>
      </c>
      <c r="D149" s="4" t="s">
        <v>21</v>
      </c>
    </row>
    <row r="150">
      <c r="A150" s="5">
        <v>44652.531643518516</v>
      </c>
      <c r="B150" s="4" t="s">
        <v>22</v>
      </c>
      <c r="C150" s="4" t="s">
        <v>21</v>
      </c>
      <c r="D150" s="4" t="s">
        <v>21</v>
      </c>
    </row>
    <row r="151">
      <c r="A151" s="5">
        <v>44466.378900462965</v>
      </c>
      <c r="B151" s="4" t="s">
        <v>22</v>
      </c>
      <c r="C151" s="4" t="s">
        <v>21</v>
      </c>
      <c r="D151" s="4" t="s">
        <v>21</v>
      </c>
    </row>
    <row r="152">
      <c r="A152" s="5">
        <v>44579.589166666665</v>
      </c>
      <c r="B152" s="4" t="s">
        <v>22</v>
      </c>
      <c r="C152" s="4" t="s">
        <v>21</v>
      </c>
      <c r="D152" s="4" t="s">
        <v>21</v>
      </c>
    </row>
    <row r="153" hidden="1">
      <c r="A153" s="5">
        <v>44684.61574074074</v>
      </c>
      <c r="B153" s="4" t="s">
        <v>20</v>
      </c>
      <c r="C153" s="4" t="s">
        <v>21</v>
      </c>
      <c r="D153" s="4" t="s">
        <v>21</v>
      </c>
    </row>
    <row r="154">
      <c r="A154" s="5">
        <v>44578.24469907407</v>
      </c>
      <c r="B154" s="4" t="s">
        <v>22</v>
      </c>
      <c r="C154" s="4" t="s">
        <v>21</v>
      </c>
      <c r="D154" s="4" t="s">
        <v>21</v>
      </c>
    </row>
    <row r="155">
      <c r="A155" s="5">
        <v>44588.45195601852</v>
      </c>
      <c r="B155" s="4" t="s">
        <v>22</v>
      </c>
      <c r="C155" s="4" t="s">
        <v>21</v>
      </c>
      <c r="D155" s="4" t="s">
        <v>21</v>
      </c>
    </row>
    <row r="156">
      <c r="A156" s="5">
        <v>44600.44681712963</v>
      </c>
      <c r="B156" s="4" t="s">
        <v>22</v>
      </c>
      <c r="C156" s="4" t="s">
        <v>21</v>
      </c>
      <c r="D156" s="4" t="s">
        <v>21</v>
      </c>
    </row>
    <row r="157">
      <c r="A157" s="5">
        <v>44606.59405092592</v>
      </c>
      <c r="B157" s="4" t="s">
        <v>22</v>
      </c>
      <c r="C157" s="4" t="s">
        <v>21</v>
      </c>
      <c r="D157" s="4" t="s">
        <v>21</v>
      </c>
    </row>
    <row r="158">
      <c r="A158" s="5">
        <v>44412.5753125</v>
      </c>
      <c r="B158" s="4" t="s">
        <v>22</v>
      </c>
      <c r="C158" s="4" t="s">
        <v>21</v>
      </c>
      <c r="D158" s="4" t="s">
        <v>21</v>
      </c>
    </row>
    <row r="159">
      <c r="A159" s="5">
        <v>44412.71196759259</v>
      </c>
      <c r="B159" s="4" t="s">
        <v>22</v>
      </c>
      <c r="C159" s="4" t="s">
        <v>21</v>
      </c>
      <c r="D159" s="4" t="s">
        <v>21</v>
      </c>
    </row>
    <row r="160">
      <c r="A160" s="5">
        <v>44607.39733796296</v>
      </c>
      <c r="B160" s="4" t="s">
        <v>22</v>
      </c>
      <c r="C160" s="4" t="s">
        <v>21</v>
      </c>
      <c r="D160" s="4" t="s">
        <v>21</v>
      </c>
    </row>
    <row r="161">
      <c r="A161" s="5">
        <v>44546.62494212963</v>
      </c>
      <c r="B161" s="4" t="s">
        <v>22</v>
      </c>
      <c r="C161" s="4" t="s">
        <v>21</v>
      </c>
      <c r="D161" s="4" t="s">
        <v>21</v>
      </c>
    </row>
    <row r="162">
      <c r="A162" s="5">
        <v>44629.11150462963</v>
      </c>
      <c r="B162" s="4" t="s">
        <v>22</v>
      </c>
      <c r="C162" s="4" t="s">
        <v>21</v>
      </c>
      <c r="D162" s="4" t="s">
        <v>21</v>
      </c>
    </row>
    <row r="163">
      <c r="A163" s="5">
        <v>44413.719618055555</v>
      </c>
      <c r="B163" s="4" t="s">
        <v>22</v>
      </c>
      <c r="C163" s="4" t="s">
        <v>21</v>
      </c>
      <c r="D163" s="4" t="s">
        <v>21</v>
      </c>
    </row>
    <row r="164">
      <c r="A164" s="5">
        <v>44440.597395833334</v>
      </c>
      <c r="B164" s="4" t="s">
        <v>22</v>
      </c>
      <c r="C164" s="4" t="s">
        <v>21</v>
      </c>
      <c r="D164" s="4" t="s">
        <v>21</v>
      </c>
    </row>
    <row r="165">
      <c r="A165" s="5">
        <v>44475.505694444444</v>
      </c>
      <c r="B165" s="4" t="s">
        <v>22</v>
      </c>
      <c r="C165" s="4" t="s">
        <v>21</v>
      </c>
      <c r="D165" s="4" t="s">
        <v>21</v>
      </c>
    </row>
    <row r="166">
      <c r="A166" s="5">
        <v>44487.30289351852</v>
      </c>
      <c r="B166" s="4" t="s">
        <v>22</v>
      </c>
      <c r="C166" s="4" t="s">
        <v>21</v>
      </c>
      <c r="D166" s="4" t="s">
        <v>21</v>
      </c>
    </row>
    <row r="167">
      <c r="A167" s="5">
        <v>44491.43934027778</v>
      </c>
      <c r="B167" s="4" t="s">
        <v>22</v>
      </c>
      <c r="C167" s="4" t="s">
        <v>21</v>
      </c>
      <c r="D167" s="4" t="s">
        <v>21</v>
      </c>
    </row>
    <row r="168">
      <c r="A168" s="5">
        <v>44503.53099537037</v>
      </c>
      <c r="B168" s="4" t="s">
        <v>22</v>
      </c>
      <c r="C168" s="4" t="s">
        <v>21</v>
      </c>
      <c r="D168" s="4" t="s">
        <v>21</v>
      </c>
    </row>
    <row r="169">
      <c r="A169" s="5">
        <v>44515.54142361111</v>
      </c>
      <c r="B169" s="4" t="s">
        <v>22</v>
      </c>
      <c r="C169" s="4" t="s">
        <v>21</v>
      </c>
      <c r="D169" s="4" t="s">
        <v>21</v>
      </c>
    </row>
    <row r="170">
      <c r="A170" s="5">
        <v>44524.394282407404</v>
      </c>
      <c r="B170" s="4" t="s">
        <v>22</v>
      </c>
      <c r="C170" s="4" t="s">
        <v>21</v>
      </c>
      <c r="D170" s="4" t="s">
        <v>21</v>
      </c>
    </row>
    <row r="171">
      <c r="A171" s="5">
        <v>44532.993425925924</v>
      </c>
      <c r="B171" s="4" t="s">
        <v>22</v>
      </c>
      <c r="C171" s="4" t="s">
        <v>21</v>
      </c>
      <c r="D171" s="4" t="s">
        <v>21</v>
      </c>
    </row>
    <row r="172">
      <c r="A172" s="5">
        <v>44537.45180555555</v>
      </c>
      <c r="B172" s="4" t="s">
        <v>22</v>
      </c>
      <c r="C172" s="4" t="s">
        <v>21</v>
      </c>
      <c r="D172" s="4" t="s">
        <v>21</v>
      </c>
    </row>
    <row r="173">
      <c r="A173" s="5">
        <v>44543.57016203704</v>
      </c>
      <c r="B173" s="4" t="s">
        <v>22</v>
      </c>
      <c r="C173" s="4" t="s">
        <v>21</v>
      </c>
      <c r="D173" s="4" t="s">
        <v>21</v>
      </c>
    </row>
    <row r="174">
      <c r="A174" s="5">
        <v>44580.3128125</v>
      </c>
      <c r="B174" s="4" t="s">
        <v>22</v>
      </c>
      <c r="C174" s="4" t="s">
        <v>21</v>
      </c>
      <c r="D174" s="4" t="s">
        <v>21</v>
      </c>
    </row>
    <row r="175">
      <c r="A175" s="5">
        <v>44586.884930555556</v>
      </c>
      <c r="B175" s="4" t="s">
        <v>22</v>
      </c>
      <c r="C175" s="4" t="s">
        <v>21</v>
      </c>
      <c r="D175" s="4" t="s">
        <v>21</v>
      </c>
    </row>
    <row r="176">
      <c r="A176" s="5">
        <v>44600.340625</v>
      </c>
      <c r="B176" s="4" t="s">
        <v>22</v>
      </c>
      <c r="C176" s="4" t="s">
        <v>21</v>
      </c>
      <c r="D176" s="4" t="s">
        <v>21</v>
      </c>
    </row>
    <row r="177" hidden="1">
      <c r="A177" s="5">
        <v>44607.418761574074</v>
      </c>
      <c r="B177" s="4" t="s">
        <v>20</v>
      </c>
      <c r="C177" s="4" t="s">
        <v>21</v>
      </c>
      <c r="D177" s="4" t="s">
        <v>21</v>
      </c>
    </row>
    <row r="178">
      <c r="A178" s="5">
        <v>44607.79907407407</v>
      </c>
      <c r="B178" s="4" t="s">
        <v>22</v>
      </c>
      <c r="C178" s="4" t="s">
        <v>21</v>
      </c>
      <c r="D178" s="4" t="s">
        <v>21</v>
      </c>
    </row>
    <row r="179">
      <c r="A179" s="5">
        <v>44607.84076388889</v>
      </c>
      <c r="B179" s="4" t="s">
        <v>22</v>
      </c>
      <c r="C179" s="4" t="s">
        <v>21</v>
      </c>
      <c r="D179" s="4" t="s">
        <v>21</v>
      </c>
    </row>
    <row r="180" hidden="1">
      <c r="A180" s="5">
        <v>44613.340891203705</v>
      </c>
      <c r="B180" s="4" t="s">
        <v>24</v>
      </c>
      <c r="C180" s="4" t="s">
        <v>21</v>
      </c>
      <c r="D180" s="4" t="s">
        <v>21</v>
      </c>
    </row>
    <row r="181" hidden="1">
      <c r="A181" s="5">
        <v>44614.5441087963</v>
      </c>
      <c r="B181" s="4" t="s">
        <v>20</v>
      </c>
      <c r="C181" s="4" t="s">
        <v>21</v>
      </c>
      <c r="D181" s="4" t="s">
        <v>21</v>
      </c>
    </row>
    <row r="182" hidden="1">
      <c r="A182" s="5">
        <v>44615.504745370374</v>
      </c>
      <c r="B182" s="4" t="s">
        <v>20</v>
      </c>
      <c r="C182" s="4" t="s">
        <v>21</v>
      </c>
      <c r="D182" s="4" t="s">
        <v>21</v>
      </c>
    </row>
    <row r="183">
      <c r="A183" s="5">
        <v>44628.05372685185</v>
      </c>
      <c r="B183" s="4" t="s">
        <v>22</v>
      </c>
      <c r="C183" s="4" t="s">
        <v>21</v>
      </c>
      <c r="D183" s="4" t="s">
        <v>21</v>
      </c>
    </row>
    <row r="184">
      <c r="A184" s="5">
        <v>44628.055752314816</v>
      </c>
      <c r="B184" s="4" t="s">
        <v>22</v>
      </c>
      <c r="C184" s="4" t="s">
        <v>21</v>
      </c>
      <c r="D184" s="4" t="s">
        <v>21</v>
      </c>
    </row>
    <row r="185" hidden="1">
      <c r="A185" s="5">
        <v>44635.394282407404</v>
      </c>
      <c r="B185" s="4" t="s">
        <v>25</v>
      </c>
      <c r="C185" s="4" t="s">
        <v>21</v>
      </c>
      <c r="D185" s="4" t="s">
        <v>21</v>
      </c>
    </row>
    <row r="186">
      <c r="A186" s="5">
        <v>44641.72740740741</v>
      </c>
      <c r="B186" s="4" t="s">
        <v>22</v>
      </c>
      <c r="C186" s="4" t="s">
        <v>21</v>
      </c>
      <c r="D186" s="4" t="s">
        <v>21</v>
      </c>
    </row>
    <row r="187">
      <c r="A187" s="5">
        <v>44641.73709490741</v>
      </c>
      <c r="B187" s="4" t="s">
        <v>22</v>
      </c>
      <c r="C187" s="4" t="s">
        <v>21</v>
      </c>
      <c r="D187" s="4" t="s">
        <v>21</v>
      </c>
    </row>
    <row r="188" hidden="1">
      <c r="A188" s="5">
        <v>44648.4471875</v>
      </c>
      <c r="B188" s="4" t="s">
        <v>20</v>
      </c>
      <c r="C188" s="4" t="s">
        <v>21</v>
      </c>
      <c r="D188" s="4" t="s">
        <v>21</v>
      </c>
    </row>
    <row r="189">
      <c r="A189" s="5">
        <v>44651.328252314815</v>
      </c>
      <c r="B189" s="4" t="s">
        <v>22</v>
      </c>
      <c r="C189" s="4" t="s">
        <v>21</v>
      </c>
      <c r="D189" s="4" t="s">
        <v>21</v>
      </c>
    </row>
    <row r="190">
      <c r="A190" s="5">
        <v>44678.83385416667</v>
      </c>
      <c r="B190" s="4" t="s">
        <v>22</v>
      </c>
      <c r="C190" s="4" t="s">
        <v>21</v>
      </c>
      <c r="D190" s="4" t="s">
        <v>21</v>
      </c>
    </row>
    <row r="191">
      <c r="A191" s="5">
        <v>44698.879328703704</v>
      </c>
      <c r="B191" s="4" t="s">
        <v>22</v>
      </c>
      <c r="C191" s="4" t="s">
        <v>21</v>
      </c>
      <c r="D191" s="4" t="s">
        <v>21</v>
      </c>
    </row>
    <row r="192">
      <c r="A192" s="5">
        <v>44727.59210648148</v>
      </c>
      <c r="B192" s="4" t="s">
        <v>22</v>
      </c>
      <c r="C192" s="4" t="s">
        <v>21</v>
      </c>
      <c r="D192" s="4" t="s">
        <v>21</v>
      </c>
    </row>
    <row r="193">
      <c r="A193" s="5">
        <v>44652.27206018518</v>
      </c>
      <c r="B193" s="4" t="s">
        <v>22</v>
      </c>
      <c r="C193" s="4" t="s">
        <v>21</v>
      </c>
      <c r="D193" s="4" t="s">
        <v>21</v>
      </c>
    </row>
    <row r="194">
      <c r="A194" s="5">
        <v>44622.171631944446</v>
      </c>
      <c r="B194" s="4" t="s">
        <v>22</v>
      </c>
      <c r="C194" s="4" t="s">
        <v>21</v>
      </c>
      <c r="D194" s="4" t="s">
        <v>21</v>
      </c>
    </row>
    <row r="195">
      <c r="A195" s="5">
        <v>44624.41585648148</v>
      </c>
      <c r="B195" s="4" t="s">
        <v>22</v>
      </c>
      <c r="C195" s="4" t="s">
        <v>21</v>
      </c>
      <c r="D195" s="4" t="s">
        <v>21</v>
      </c>
    </row>
    <row r="196">
      <c r="A196" s="5">
        <v>44676.314351851855</v>
      </c>
      <c r="B196" s="4" t="s">
        <v>22</v>
      </c>
      <c r="C196" s="4" t="s">
        <v>21</v>
      </c>
      <c r="D196" s="4" t="s">
        <v>21</v>
      </c>
    </row>
    <row r="197">
      <c r="A197" s="5">
        <v>44676.34224537037</v>
      </c>
      <c r="B197" s="4" t="s">
        <v>22</v>
      </c>
      <c r="C197" s="4" t="s">
        <v>21</v>
      </c>
      <c r="D197" s="4" t="s">
        <v>21</v>
      </c>
    </row>
    <row r="198">
      <c r="A198" s="5">
        <v>44676.350902777776</v>
      </c>
      <c r="B198" s="4" t="s">
        <v>22</v>
      </c>
      <c r="C198" s="4" t="s">
        <v>21</v>
      </c>
      <c r="D198" s="4" t="s">
        <v>21</v>
      </c>
    </row>
    <row r="199">
      <c r="A199" s="5">
        <v>44592.50613425926</v>
      </c>
      <c r="B199" s="4" t="s">
        <v>22</v>
      </c>
      <c r="C199" s="4" t="s">
        <v>21</v>
      </c>
      <c r="D199" s="4" t="s">
        <v>23</v>
      </c>
    </row>
    <row r="200">
      <c r="A200" s="5">
        <v>44592.50619212963</v>
      </c>
      <c r="B200" s="4" t="s">
        <v>22</v>
      </c>
      <c r="C200" s="4" t="s">
        <v>21</v>
      </c>
      <c r="D200" s="4" t="s">
        <v>23</v>
      </c>
    </row>
    <row r="201">
      <c r="A201" s="5">
        <v>44482.5600462963</v>
      </c>
      <c r="B201" s="4" t="s">
        <v>22</v>
      </c>
      <c r="C201" s="4" t="s">
        <v>21</v>
      </c>
      <c r="D201" s="4" t="s">
        <v>21</v>
      </c>
    </row>
    <row r="202">
      <c r="A202" s="5">
        <v>44614.42859953704</v>
      </c>
      <c r="B202" s="4" t="s">
        <v>22</v>
      </c>
      <c r="C202" s="4" t="s">
        <v>21</v>
      </c>
      <c r="D202" s="4" t="s">
        <v>21</v>
      </c>
    </row>
    <row r="203">
      <c r="A203" s="5">
        <v>44460.45829861111</v>
      </c>
      <c r="B203" s="4" t="s">
        <v>22</v>
      </c>
      <c r="C203" s="4" t="s">
        <v>21</v>
      </c>
      <c r="D203" s="4" t="s">
        <v>21</v>
      </c>
    </row>
    <row r="204">
      <c r="A204" s="5">
        <v>44676.535150462965</v>
      </c>
      <c r="B204" s="4" t="s">
        <v>22</v>
      </c>
      <c r="C204" s="4" t="s">
        <v>21</v>
      </c>
      <c r="D204" s="4" t="s">
        <v>21</v>
      </c>
    </row>
    <row r="205">
      <c r="A205" s="5">
        <v>44497.56287037037</v>
      </c>
      <c r="B205" s="4" t="s">
        <v>22</v>
      </c>
      <c r="C205" s="4" t="s">
        <v>21</v>
      </c>
      <c r="D205" s="4" t="s">
        <v>21</v>
      </c>
    </row>
    <row r="206" hidden="1">
      <c r="A206" s="5">
        <v>44650.529282407406</v>
      </c>
      <c r="B206" s="4" t="s">
        <v>26</v>
      </c>
      <c r="C206" s="4" t="s">
        <v>21</v>
      </c>
      <c r="D206" s="4" t="s">
        <v>21</v>
      </c>
    </row>
    <row r="207">
      <c r="A207" s="5">
        <v>44644.97435185185</v>
      </c>
      <c r="B207" s="4" t="s">
        <v>22</v>
      </c>
      <c r="C207" s="4" t="s">
        <v>21</v>
      </c>
      <c r="D207" s="4" t="s">
        <v>21</v>
      </c>
    </row>
    <row r="208">
      <c r="A208" s="5">
        <v>44600.187997685185</v>
      </c>
      <c r="B208" s="4" t="s">
        <v>22</v>
      </c>
      <c r="C208" s="4" t="s">
        <v>21</v>
      </c>
      <c r="D208" s="4" t="s">
        <v>21</v>
      </c>
    </row>
    <row r="209">
      <c r="A209" s="5">
        <v>44600.437997685185</v>
      </c>
      <c r="B209" s="4" t="s">
        <v>22</v>
      </c>
      <c r="C209" s="4" t="s">
        <v>21</v>
      </c>
      <c r="D209" s="4" t="s">
        <v>21</v>
      </c>
    </row>
    <row r="210">
      <c r="A210" s="5">
        <v>44608.56290509259</v>
      </c>
      <c r="B210" s="4" t="s">
        <v>22</v>
      </c>
      <c r="C210" s="4" t="s">
        <v>21</v>
      </c>
      <c r="D210" s="4" t="s">
        <v>21</v>
      </c>
    </row>
    <row r="211">
      <c r="A211" s="5">
        <v>44616.23650462963</v>
      </c>
      <c r="B211" s="4" t="s">
        <v>22</v>
      </c>
      <c r="C211" s="4" t="s">
        <v>21</v>
      </c>
      <c r="D211" s="4" t="s">
        <v>21</v>
      </c>
    </row>
    <row r="212">
      <c r="A212" s="5">
        <v>44618.22258101852</v>
      </c>
      <c r="B212" s="4" t="s">
        <v>22</v>
      </c>
      <c r="C212" s="4" t="s">
        <v>21</v>
      </c>
      <c r="D212" s="4" t="s">
        <v>21</v>
      </c>
    </row>
    <row r="213">
      <c r="A213" s="5">
        <v>44638.78570601852</v>
      </c>
      <c r="B213" s="4" t="s">
        <v>22</v>
      </c>
      <c r="C213" s="4" t="s">
        <v>21</v>
      </c>
      <c r="D213" s="4" t="s">
        <v>21</v>
      </c>
    </row>
    <row r="214">
      <c r="A214" s="5">
        <v>44593.79206018519</v>
      </c>
      <c r="B214" s="4" t="s">
        <v>22</v>
      </c>
      <c r="C214" s="4" t="s">
        <v>21</v>
      </c>
      <c r="D214" s="4" t="s">
        <v>23</v>
      </c>
    </row>
    <row r="215">
      <c r="A215" s="5">
        <v>44602.00037037037</v>
      </c>
      <c r="B215" s="4" t="s">
        <v>22</v>
      </c>
      <c r="C215" s="4" t="s">
        <v>21</v>
      </c>
      <c r="D215" s="4" t="s">
        <v>21</v>
      </c>
    </row>
    <row r="216">
      <c r="A216" s="5">
        <v>44487.39053240741</v>
      </c>
      <c r="B216" s="4" t="s">
        <v>22</v>
      </c>
      <c r="C216" s="4" t="s">
        <v>21</v>
      </c>
      <c r="D216" s="4" t="s">
        <v>21</v>
      </c>
    </row>
    <row r="217">
      <c r="A217" s="5">
        <v>44636.459131944444</v>
      </c>
      <c r="B217" s="4" t="s">
        <v>22</v>
      </c>
      <c r="C217" s="4" t="s">
        <v>21</v>
      </c>
      <c r="D217" s="4" t="s">
        <v>21</v>
      </c>
    </row>
    <row r="218">
      <c r="A218" s="5">
        <v>44715.571076388886</v>
      </c>
      <c r="B218" s="4" t="s">
        <v>22</v>
      </c>
      <c r="C218" s="4" t="s">
        <v>21</v>
      </c>
      <c r="D218" s="4" t="s">
        <v>21</v>
      </c>
    </row>
    <row r="219">
      <c r="A219" s="5">
        <v>44715.577893518515</v>
      </c>
      <c r="B219" s="4" t="s">
        <v>22</v>
      </c>
      <c r="C219" s="4" t="s">
        <v>21</v>
      </c>
      <c r="D219" s="4" t="s">
        <v>21</v>
      </c>
    </row>
    <row r="220">
      <c r="A220" s="5">
        <v>44720.27887731481</v>
      </c>
      <c r="B220" s="4" t="s">
        <v>22</v>
      </c>
      <c r="C220" s="4" t="s">
        <v>21</v>
      </c>
      <c r="D220" s="4" t="s">
        <v>21</v>
      </c>
    </row>
    <row r="221">
      <c r="A221" s="5">
        <v>44567.04525462963</v>
      </c>
      <c r="B221" s="4" t="s">
        <v>22</v>
      </c>
      <c r="C221" s="4" t="s">
        <v>21</v>
      </c>
      <c r="D221" s="4" t="s">
        <v>21</v>
      </c>
    </row>
    <row r="222">
      <c r="A222" s="5">
        <v>44432.58349537037</v>
      </c>
      <c r="B222" s="4" t="s">
        <v>22</v>
      </c>
      <c r="C222" s="4" t="s">
        <v>21</v>
      </c>
      <c r="D222" s="4" t="s">
        <v>21</v>
      </c>
    </row>
    <row r="223">
      <c r="A223" s="5">
        <v>44448.41645833333</v>
      </c>
      <c r="B223" s="4" t="s">
        <v>22</v>
      </c>
      <c r="C223" s="4" t="s">
        <v>21</v>
      </c>
      <c r="D223" s="4" t="s">
        <v>21</v>
      </c>
    </row>
    <row r="224">
      <c r="A224" s="5">
        <v>44517.672002314815</v>
      </c>
      <c r="B224" s="4" t="s">
        <v>22</v>
      </c>
      <c r="C224" s="4" t="s">
        <v>21</v>
      </c>
      <c r="D224" s="4" t="s">
        <v>21</v>
      </c>
    </row>
    <row r="225">
      <c r="A225" s="5">
        <v>44725.64356481482</v>
      </c>
      <c r="B225" s="4" t="s">
        <v>22</v>
      </c>
      <c r="C225" s="4" t="s">
        <v>21</v>
      </c>
      <c r="D225" s="4" t="s">
        <v>21</v>
      </c>
    </row>
    <row r="226">
      <c r="A226" s="5">
        <v>44539.84577546296</v>
      </c>
      <c r="B226" s="4" t="s">
        <v>22</v>
      </c>
      <c r="C226" s="4" t="s">
        <v>21</v>
      </c>
      <c r="D226" s="4" t="s">
        <v>21</v>
      </c>
    </row>
    <row r="227">
      <c r="A227" s="5">
        <v>44588.43875</v>
      </c>
      <c r="B227" s="4" t="s">
        <v>22</v>
      </c>
      <c r="C227" s="4" t="s">
        <v>21</v>
      </c>
      <c r="D227" s="4" t="s">
        <v>21</v>
      </c>
    </row>
    <row r="228">
      <c r="A228" s="5">
        <v>44621.418969907405</v>
      </c>
      <c r="B228" s="4" t="s">
        <v>22</v>
      </c>
      <c r="C228" s="4" t="s">
        <v>21</v>
      </c>
      <c r="D228" s="4" t="s">
        <v>21</v>
      </c>
    </row>
    <row r="229" hidden="1">
      <c r="A229" s="5">
        <v>44634.51436342593</v>
      </c>
      <c r="B229" s="4" t="s">
        <v>20</v>
      </c>
      <c r="C229" s="4" t="s">
        <v>21</v>
      </c>
      <c r="D229" s="4" t="s">
        <v>21</v>
      </c>
    </row>
    <row r="230">
      <c r="A230" s="5">
        <v>44727.587488425925</v>
      </c>
      <c r="B230" s="4" t="s">
        <v>22</v>
      </c>
      <c r="C230" s="4" t="s">
        <v>21</v>
      </c>
      <c r="D230" s="4" t="s">
        <v>21</v>
      </c>
    </row>
    <row r="231">
      <c r="A231" s="5">
        <v>44638.87027777778</v>
      </c>
      <c r="B231" s="4" t="s">
        <v>22</v>
      </c>
      <c r="C231" s="4" t="s">
        <v>21</v>
      </c>
      <c r="D231" s="4" t="s">
        <v>21</v>
      </c>
    </row>
    <row r="232">
      <c r="A232" s="5">
        <v>44537.67905092592</v>
      </c>
      <c r="B232" s="4" t="s">
        <v>22</v>
      </c>
      <c r="C232" s="4" t="s">
        <v>21</v>
      </c>
      <c r="D232" s="4" t="s">
        <v>21</v>
      </c>
    </row>
    <row r="233">
      <c r="A233" s="5">
        <v>44504.33155092593</v>
      </c>
      <c r="B233" s="4" t="s">
        <v>22</v>
      </c>
      <c r="C233" s="4" t="s">
        <v>21</v>
      </c>
      <c r="D233" s="4" t="s">
        <v>21</v>
      </c>
    </row>
    <row r="234">
      <c r="A234" s="5">
        <v>44631.506585648145</v>
      </c>
      <c r="B234" s="4" t="s">
        <v>22</v>
      </c>
      <c r="C234" s="4" t="s">
        <v>21</v>
      </c>
      <c r="D234" s="4" t="s">
        <v>21</v>
      </c>
    </row>
    <row r="235">
      <c r="A235" s="5">
        <v>44530.108090277776</v>
      </c>
      <c r="B235" s="4" t="s">
        <v>22</v>
      </c>
      <c r="C235" s="4" t="s">
        <v>21</v>
      </c>
      <c r="D235" s="4" t="s">
        <v>21</v>
      </c>
    </row>
    <row r="236">
      <c r="A236" s="5">
        <v>44461.3784375</v>
      </c>
      <c r="B236" s="4" t="s">
        <v>22</v>
      </c>
      <c r="C236" s="4" t="s">
        <v>21</v>
      </c>
      <c r="D236" s="4" t="s">
        <v>21</v>
      </c>
    </row>
    <row r="237">
      <c r="A237" s="5">
        <v>44530.30861111111</v>
      </c>
      <c r="B237" s="4" t="s">
        <v>22</v>
      </c>
      <c r="C237" s="4" t="s">
        <v>21</v>
      </c>
      <c r="D237" s="4" t="s">
        <v>21</v>
      </c>
    </row>
    <row r="238">
      <c r="A238" s="5">
        <v>44538.375069444446</v>
      </c>
      <c r="B238" s="4" t="s">
        <v>22</v>
      </c>
      <c r="C238" s="4" t="s">
        <v>21</v>
      </c>
      <c r="D238" s="4" t="s">
        <v>21</v>
      </c>
    </row>
    <row r="239">
      <c r="A239" s="5">
        <v>44480.46560185185</v>
      </c>
      <c r="B239" s="4" t="s">
        <v>22</v>
      </c>
      <c r="C239" s="4" t="s">
        <v>21</v>
      </c>
      <c r="D239" s="4" t="s">
        <v>21</v>
      </c>
    </row>
    <row r="240">
      <c r="A240" s="5">
        <v>44662.51918981481</v>
      </c>
      <c r="B240" s="4" t="s">
        <v>22</v>
      </c>
      <c r="C240" s="4" t="s">
        <v>21</v>
      </c>
      <c r="D240" s="4" t="s">
        <v>21</v>
      </c>
    </row>
    <row r="241">
      <c r="A241" s="5">
        <v>44487.39697916667</v>
      </c>
      <c r="B241" s="4" t="s">
        <v>22</v>
      </c>
      <c r="C241" s="4" t="s">
        <v>21</v>
      </c>
      <c r="D241" s="4" t="s">
        <v>21</v>
      </c>
    </row>
    <row r="242">
      <c r="A242" s="5">
        <v>44523.79673611111</v>
      </c>
      <c r="B242" s="4" t="s">
        <v>22</v>
      </c>
      <c r="C242" s="4" t="s">
        <v>21</v>
      </c>
      <c r="D242" s="4" t="s">
        <v>21</v>
      </c>
    </row>
    <row r="243">
      <c r="A243" s="5">
        <v>44530.570625</v>
      </c>
      <c r="B243" s="4" t="s">
        <v>22</v>
      </c>
      <c r="C243" s="4" t="s">
        <v>21</v>
      </c>
      <c r="D243" s="4" t="s">
        <v>21</v>
      </c>
    </row>
    <row r="244">
      <c r="A244" s="5">
        <v>44581.57013888889</v>
      </c>
      <c r="B244" s="4" t="s">
        <v>22</v>
      </c>
      <c r="C244" s="4" t="s">
        <v>21</v>
      </c>
      <c r="D244" s="4" t="s">
        <v>21</v>
      </c>
    </row>
    <row r="245">
      <c r="A245" s="5">
        <v>44586.2715625</v>
      </c>
      <c r="B245" s="4" t="s">
        <v>22</v>
      </c>
      <c r="C245" s="4" t="s">
        <v>21</v>
      </c>
      <c r="D245" s="4" t="s">
        <v>21</v>
      </c>
    </row>
    <row r="246">
      <c r="A246" s="5">
        <v>44593.39644675926</v>
      </c>
      <c r="B246" s="4" t="s">
        <v>22</v>
      </c>
      <c r="C246" s="4" t="s">
        <v>21</v>
      </c>
      <c r="D246" s="4" t="s">
        <v>23</v>
      </c>
    </row>
    <row r="247">
      <c r="A247" s="5">
        <v>44599.681550925925</v>
      </c>
      <c r="B247" s="4" t="s">
        <v>22</v>
      </c>
      <c r="C247" s="4" t="s">
        <v>21</v>
      </c>
      <c r="D247" s="4" t="s">
        <v>21</v>
      </c>
    </row>
    <row r="248">
      <c r="A248" s="5">
        <v>44606.86853009259</v>
      </c>
      <c r="B248" s="4" t="s">
        <v>22</v>
      </c>
      <c r="C248" s="4" t="s">
        <v>21</v>
      </c>
      <c r="D248" s="4" t="s">
        <v>21</v>
      </c>
    </row>
    <row r="249">
      <c r="A249" s="5">
        <v>44565.42219907408</v>
      </c>
      <c r="B249" s="4" t="s">
        <v>22</v>
      </c>
      <c r="C249" s="4" t="s">
        <v>23</v>
      </c>
      <c r="D249" s="4" t="s">
        <v>21</v>
      </c>
    </row>
    <row r="250">
      <c r="A250" s="5">
        <v>44453.80788194444</v>
      </c>
      <c r="B250" s="4" t="s">
        <v>22</v>
      </c>
      <c r="C250" s="4" t="s">
        <v>21</v>
      </c>
      <c r="D250" s="4" t="s">
        <v>21</v>
      </c>
    </row>
    <row r="251">
      <c r="A251" s="5">
        <v>44580.51697916666</v>
      </c>
      <c r="B251" s="4" t="s">
        <v>22</v>
      </c>
      <c r="C251" s="4" t="s">
        <v>21</v>
      </c>
      <c r="D251" s="4" t="s">
        <v>21</v>
      </c>
    </row>
    <row r="252">
      <c r="A252" s="5">
        <v>44530.24890046296</v>
      </c>
      <c r="B252" s="4" t="s">
        <v>22</v>
      </c>
      <c r="C252" s="4" t="s">
        <v>21</v>
      </c>
      <c r="D252" s="4" t="s">
        <v>21</v>
      </c>
    </row>
    <row r="253">
      <c r="A253" s="5">
        <v>44530.26231481481</v>
      </c>
      <c r="B253" s="4" t="s">
        <v>22</v>
      </c>
      <c r="C253" s="4" t="s">
        <v>21</v>
      </c>
      <c r="D253" s="4" t="s">
        <v>21</v>
      </c>
    </row>
    <row r="254">
      <c r="A254" s="5">
        <v>44498.54552083334</v>
      </c>
      <c r="B254" s="4" t="s">
        <v>22</v>
      </c>
      <c r="C254" s="4" t="s">
        <v>21</v>
      </c>
      <c r="D254" s="4" t="s">
        <v>21</v>
      </c>
    </row>
    <row r="255">
      <c r="A255" s="5">
        <v>44519.61372685185</v>
      </c>
      <c r="B255" s="4" t="s">
        <v>22</v>
      </c>
      <c r="C255" s="4" t="s">
        <v>21</v>
      </c>
      <c r="D255" s="4" t="s">
        <v>21</v>
      </c>
    </row>
    <row r="256">
      <c r="A256" s="5">
        <v>44568.48064814815</v>
      </c>
      <c r="B256" s="4" t="s">
        <v>22</v>
      </c>
      <c r="C256" s="4" t="s">
        <v>21</v>
      </c>
      <c r="D256" s="4" t="s">
        <v>21</v>
      </c>
    </row>
    <row r="257">
      <c r="A257" s="5">
        <v>44578.68019675926</v>
      </c>
      <c r="B257" s="4" t="s">
        <v>22</v>
      </c>
      <c r="C257" s="4" t="s">
        <v>21</v>
      </c>
      <c r="D257" s="4" t="s">
        <v>21</v>
      </c>
    </row>
    <row r="258" hidden="1">
      <c r="A258" s="5">
        <v>44665.6403125</v>
      </c>
      <c r="B258" s="4" t="s">
        <v>20</v>
      </c>
      <c r="C258" s="4" t="s">
        <v>21</v>
      </c>
      <c r="D258" s="4" t="s">
        <v>21</v>
      </c>
    </row>
    <row r="259">
      <c r="A259" s="5">
        <v>44684.94274305556</v>
      </c>
      <c r="B259" s="4" t="s">
        <v>22</v>
      </c>
      <c r="C259" s="4" t="s">
        <v>21</v>
      </c>
      <c r="D259" s="4" t="s">
        <v>21</v>
      </c>
    </row>
    <row r="260" hidden="1">
      <c r="A260" s="5">
        <v>44697.29690972222</v>
      </c>
      <c r="B260" s="4" t="s">
        <v>20</v>
      </c>
      <c r="C260" s="4" t="s">
        <v>21</v>
      </c>
      <c r="D260" s="4" t="s">
        <v>21</v>
      </c>
    </row>
    <row r="261">
      <c r="A261" s="5">
        <v>44580.39680555555</v>
      </c>
      <c r="B261" s="4" t="s">
        <v>22</v>
      </c>
      <c r="C261" s="4" t="s">
        <v>21</v>
      </c>
      <c r="D261" s="4" t="s">
        <v>21</v>
      </c>
    </row>
    <row r="262">
      <c r="A262" s="5">
        <v>44501.5462962963</v>
      </c>
      <c r="B262" s="4" t="s">
        <v>22</v>
      </c>
      <c r="C262" s="4" t="s">
        <v>21</v>
      </c>
      <c r="D262" s="4" t="s">
        <v>21</v>
      </c>
    </row>
    <row r="263">
      <c r="A263" s="5">
        <v>44690.656064814815</v>
      </c>
      <c r="B263" s="4" t="s">
        <v>22</v>
      </c>
      <c r="C263" s="4" t="s">
        <v>21</v>
      </c>
      <c r="D263" s="4" t="s">
        <v>21</v>
      </c>
    </row>
    <row r="264">
      <c r="A264" s="5">
        <v>44621.539826388886</v>
      </c>
      <c r="B264" s="4" t="s">
        <v>22</v>
      </c>
      <c r="C264" s="4" t="s">
        <v>21</v>
      </c>
      <c r="D264" s="4" t="s">
        <v>21</v>
      </c>
    </row>
    <row r="265">
      <c r="A265" s="5">
        <v>44662.527604166666</v>
      </c>
      <c r="B265" s="4" t="s">
        <v>22</v>
      </c>
      <c r="C265" s="4" t="s">
        <v>21</v>
      </c>
      <c r="D265" s="4" t="s">
        <v>21</v>
      </c>
    </row>
    <row r="266">
      <c r="A266" s="5">
        <v>44530.243113425924</v>
      </c>
      <c r="B266" s="4" t="s">
        <v>22</v>
      </c>
      <c r="C266" s="4" t="s">
        <v>21</v>
      </c>
      <c r="D266" s="4" t="s">
        <v>21</v>
      </c>
    </row>
    <row r="267">
      <c r="A267" s="5">
        <v>44518.458078703705</v>
      </c>
      <c r="B267" s="4" t="s">
        <v>22</v>
      </c>
      <c r="C267" s="4" t="s">
        <v>21</v>
      </c>
      <c r="D267" s="4" t="s">
        <v>21</v>
      </c>
    </row>
    <row r="268">
      <c r="A268" s="5">
        <v>44602.87563657408</v>
      </c>
      <c r="B268" s="4" t="s">
        <v>22</v>
      </c>
      <c r="C268" s="4" t="s">
        <v>21</v>
      </c>
      <c r="D268" s="4" t="s">
        <v>21</v>
      </c>
    </row>
    <row r="269">
      <c r="A269" s="5">
        <v>44622.40765046296</v>
      </c>
      <c r="B269" s="4" t="s">
        <v>22</v>
      </c>
      <c r="C269" s="4" t="s">
        <v>21</v>
      </c>
      <c r="D269" s="4" t="s">
        <v>21</v>
      </c>
    </row>
    <row r="270">
      <c r="A270" s="5">
        <v>44580.75178240741</v>
      </c>
      <c r="B270" s="4" t="s">
        <v>22</v>
      </c>
      <c r="C270" s="4" t="s">
        <v>21</v>
      </c>
      <c r="D270" s="4" t="s">
        <v>21</v>
      </c>
    </row>
    <row r="271">
      <c r="A271" s="5">
        <v>44616.39509259259</v>
      </c>
      <c r="B271" s="4" t="s">
        <v>22</v>
      </c>
      <c r="C271" s="4" t="s">
        <v>21</v>
      </c>
      <c r="D271" s="4" t="s">
        <v>21</v>
      </c>
    </row>
    <row r="272">
      <c r="A272" s="5">
        <v>44613.56984953704</v>
      </c>
      <c r="B272" s="4" t="s">
        <v>22</v>
      </c>
      <c r="C272" s="4" t="s">
        <v>21</v>
      </c>
      <c r="D272" s="4" t="s">
        <v>21</v>
      </c>
    </row>
    <row r="273">
      <c r="A273" s="5">
        <v>44592.643854166665</v>
      </c>
      <c r="B273" s="4" t="s">
        <v>22</v>
      </c>
      <c r="C273" s="4" t="s">
        <v>21</v>
      </c>
      <c r="D273" s="4" t="s">
        <v>23</v>
      </c>
    </row>
    <row r="274">
      <c r="A274" s="5">
        <v>44461.52675925926</v>
      </c>
      <c r="B274" s="4" t="s">
        <v>22</v>
      </c>
      <c r="C274" s="4" t="s">
        <v>21</v>
      </c>
      <c r="D274" s="4" t="s">
        <v>21</v>
      </c>
    </row>
    <row r="275">
      <c r="A275" s="5">
        <v>44592.68079861111</v>
      </c>
      <c r="B275" s="4" t="s">
        <v>22</v>
      </c>
      <c r="C275" s="4" t="s">
        <v>21</v>
      </c>
      <c r="D275" s="4" t="s">
        <v>23</v>
      </c>
    </row>
    <row r="276">
      <c r="A276" s="5">
        <v>44426.591828703706</v>
      </c>
      <c r="B276" s="4" t="s">
        <v>22</v>
      </c>
      <c r="C276" s="4" t="s">
        <v>21</v>
      </c>
      <c r="D276" s="4" t="s">
        <v>21</v>
      </c>
    </row>
    <row r="277">
      <c r="A277" s="5">
        <v>44455.524375</v>
      </c>
      <c r="B277" s="4" t="s">
        <v>22</v>
      </c>
      <c r="C277" s="4" t="s">
        <v>21</v>
      </c>
      <c r="D277" s="4" t="s">
        <v>21</v>
      </c>
    </row>
    <row r="278">
      <c r="A278" s="5">
        <v>44455.602847222224</v>
      </c>
      <c r="B278" s="4" t="s">
        <v>22</v>
      </c>
      <c r="C278" s="4" t="s">
        <v>21</v>
      </c>
      <c r="D278" s="4" t="s">
        <v>21</v>
      </c>
    </row>
    <row r="279">
      <c r="A279" s="5">
        <v>44483.39685185185</v>
      </c>
      <c r="B279" s="4" t="s">
        <v>22</v>
      </c>
      <c r="C279" s="4" t="s">
        <v>21</v>
      </c>
      <c r="D279" s="4" t="s">
        <v>21</v>
      </c>
    </row>
    <row r="280">
      <c r="A280" s="5">
        <v>44519.60706018518</v>
      </c>
      <c r="B280" s="4" t="s">
        <v>22</v>
      </c>
      <c r="C280" s="4" t="s">
        <v>21</v>
      </c>
      <c r="D280" s="4" t="s">
        <v>21</v>
      </c>
    </row>
    <row r="281">
      <c r="A281" s="5">
        <v>44564.7559375</v>
      </c>
      <c r="B281" s="4" t="s">
        <v>22</v>
      </c>
      <c r="C281" s="4" t="s">
        <v>23</v>
      </c>
      <c r="D281" s="4" t="s">
        <v>21</v>
      </c>
    </row>
    <row r="282">
      <c r="A282" s="5">
        <v>44649.70431712963</v>
      </c>
      <c r="B282" s="4" t="s">
        <v>22</v>
      </c>
      <c r="C282" s="4" t="s">
        <v>21</v>
      </c>
      <c r="D282" s="4" t="s">
        <v>21</v>
      </c>
    </row>
    <row r="283">
      <c r="A283" s="5">
        <v>44650.278495370374</v>
      </c>
      <c r="B283" s="4" t="s">
        <v>22</v>
      </c>
      <c r="C283" s="4" t="s">
        <v>21</v>
      </c>
      <c r="D283" s="4" t="s">
        <v>21</v>
      </c>
    </row>
    <row r="284">
      <c r="A284" s="5">
        <v>44461.10121527778</v>
      </c>
      <c r="B284" s="4" t="s">
        <v>22</v>
      </c>
      <c r="C284" s="4" t="s">
        <v>21</v>
      </c>
      <c r="D284" s="4" t="s">
        <v>21</v>
      </c>
    </row>
    <row r="285">
      <c r="A285" s="5">
        <v>44607.177569444444</v>
      </c>
      <c r="B285" s="4" t="s">
        <v>22</v>
      </c>
      <c r="C285" s="4" t="s">
        <v>21</v>
      </c>
      <c r="D285" s="4" t="s">
        <v>21</v>
      </c>
    </row>
    <row r="286">
      <c r="A286" s="5">
        <v>44530.239895833336</v>
      </c>
      <c r="B286" s="4" t="s">
        <v>22</v>
      </c>
      <c r="C286" s="4" t="s">
        <v>21</v>
      </c>
      <c r="D286" s="4" t="s">
        <v>21</v>
      </c>
    </row>
    <row r="287">
      <c r="A287" s="5">
        <v>44530.256886574076</v>
      </c>
      <c r="B287" s="4" t="s">
        <v>22</v>
      </c>
      <c r="C287" s="4" t="s">
        <v>21</v>
      </c>
      <c r="D287" s="4" t="s">
        <v>21</v>
      </c>
    </row>
    <row r="288">
      <c r="A288" s="5">
        <v>44586.68884259259</v>
      </c>
      <c r="B288" s="4" t="s">
        <v>22</v>
      </c>
      <c r="C288" s="4" t="s">
        <v>21</v>
      </c>
      <c r="D288" s="4" t="s">
        <v>21</v>
      </c>
    </row>
    <row r="289">
      <c r="A289" s="5">
        <v>44532.48336805555</v>
      </c>
      <c r="B289" s="4" t="s">
        <v>22</v>
      </c>
      <c r="C289" s="4" t="s">
        <v>21</v>
      </c>
      <c r="D289" s="4" t="s">
        <v>21</v>
      </c>
    </row>
    <row r="290">
      <c r="A290" s="5">
        <v>44532.610081018516</v>
      </c>
      <c r="B290" s="4" t="s">
        <v>22</v>
      </c>
      <c r="C290" s="4" t="s">
        <v>21</v>
      </c>
      <c r="D290" s="4" t="s">
        <v>21</v>
      </c>
    </row>
    <row r="291">
      <c r="A291" s="5">
        <v>44566.62461805555</v>
      </c>
      <c r="B291" s="4" t="s">
        <v>22</v>
      </c>
      <c r="C291" s="4" t="s">
        <v>23</v>
      </c>
      <c r="D291" s="4" t="s">
        <v>21</v>
      </c>
    </row>
    <row r="292">
      <c r="A292" s="5">
        <v>44412.57929398148</v>
      </c>
      <c r="B292" s="4" t="s">
        <v>22</v>
      </c>
      <c r="C292" s="4" t="s">
        <v>21</v>
      </c>
      <c r="D292" s="4" t="s">
        <v>21</v>
      </c>
    </row>
    <row r="293">
      <c r="A293" s="5">
        <v>44428.76231481481</v>
      </c>
      <c r="B293" s="4" t="s">
        <v>22</v>
      </c>
      <c r="C293" s="4" t="s">
        <v>21</v>
      </c>
      <c r="D293" s="4" t="s">
        <v>21</v>
      </c>
    </row>
    <row r="294">
      <c r="A294" s="5">
        <v>44429.55662037037</v>
      </c>
      <c r="B294" s="4" t="s">
        <v>22</v>
      </c>
      <c r="C294" s="4" t="s">
        <v>21</v>
      </c>
      <c r="D294" s="4" t="s">
        <v>21</v>
      </c>
    </row>
    <row r="295">
      <c r="A295" s="5">
        <v>44430.062060185184</v>
      </c>
      <c r="B295" s="4" t="s">
        <v>22</v>
      </c>
      <c r="C295" s="4" t="s">
        <v>21</v>
      </c>
      <c r="D295" s="4" t="s">
        <v>21</v>
      </c>
    </row>
    <row r="296">
      <c r="A296" s="5">
        <v>44430.06486111111</v>
      </c>
      <c r="B296" s="4" t="s">
        <v>22</v>
      </c>
      <c r="C296" s="4" t="s">
        <v>21</v>
      </c>
      <c r="D296" s="4" t="s">
        <v>21</v>
      </c>
    </row>
    <row r="297">
      <c r="A297" s="5">
        <v>44430.09070601852</v>
      </c>
      <c r="B297" s="4" t="s">
        <v>22</v>
      </c>
      <c r="C297" s="4" t="s">
        <v>21</v>
      </c>
      <c r="D297" s="4" t="s">
        <v>21</v>
      </c>
    </row>
    <row r="298">
      <c r="A298" s="5">
        <v>44430.096504629626</v>
      </c>
      <c r="B298" s="4" t="s">
        <v>22</v>
      </c>
      <c r="C298" s="4" t="s">
        <v>21</v>
      </c>
      <c r="D298" s="4" t="s">
        <v>21</v>
      </c>
    </row>
    <row r="299">
      <c r="A299" s="5">
        <v>44430.10188657408</v>
      </c>
      <c r="B299" s="4" t="s">
        <v>22</v>
      </c>
      <c r="C299" s="4" t="s">
        <v>21</v>
      </c>
      <c r="D299" s="4" t="s">
        <v>21</v>
      </c>
    </row>
    <row r="300">
      <c r="A300" s="5">
        <v>44510.535578703704</v>
      </c>
      <c r="B300" s="4" t="s">
        <v>22</v>
      </c>
      <c r="C300" s="4" t="s">
        <v>21</v>
      </c>
      <c r="D300" s="4" t="s">
        <v>21</v>
      </c>
    </row>
    <row r="301">
      <c r="A301" s="5">
        <v>44515.829513888886</v>
      </c>
      <c r="B301" s="4" t="s">
        <v>22</v>
      </c>
      <c r="C301" s="4" t="s">
        <v>21</v>
      </c>
      <c r="D301" s="4" t="s">
        <v>21</v>
      </c>
    </row>
    <row r="302">
      <c r="A302" s="5">
        <v>44412.58703703704</v>
      </c>
      <c r="B302" s="4" t="s">
        <v>22</v>
      </c>
      <c r="C302" s="4" t="s">
        <v>21</v>
      </c>
      <c r="D302" s="4" t="s">
        <v>21</v>
      </c>
    </row>
    <row r="303">
      <c r="A303" s="5">
        <v>44480.41805555556</v>
      </c>
      <c r="B303" s="4" t="s">
        <v>22</v>
      </c>
      <c r="C303" s="4" t="s">
        <v>21</v>
      </c>
      <c r="D303" s="4" t="s">
        <v>21</v>
      </c>
    </row>
    <row r="304">
      <c r="A304" s="5">
        <v>44531.88618055556</v>
      </c>
      <c r="B304" s="4" t="s">
        <v>22</v>
      </c>
      <c r="C304" s="4" t="s">
        <v>21</v>
      </c>
      <c r="D304" s="4" t="s">
        <v>21</v>
      </c>
    </row>
    <row r="305" hidden="1">
      <c r="A305" s="5">
        <v>44574.724965277775</v>
      </c>
      <c r="B305" s="4" t="s">
        <v>20</v>
      </c>
      <c r="C305" s="4" t="s">
        <v>21</v>
      </c>
      <c r="D305" s="4" t="s">
        <v>21</v>
      </c>
    </row>
    <row r="306">
      <c r="A306" s="5">
        <v>44594.29219907407</v>
      </c>
      <c r="B306" s="4" t="s">
        <v>22</v>
      </c>
      <c r="C306" s="4" t="s">
        <v>21</v>
      </c>
      <c r="D306" s="4" t="s">
        <v>23</v>
      </c>
    </row>
    <row r="307">
      <c r="A307" s="5">
        <v>44613.743726851855</v>
      </c>
      <c r="B307" s="4" t="s">
        <v>22</v>
      </c>
      <c r="C307" s="4" t="s">
        <v>21</v>
      </c>
      <c r="D307" s="4" t="s">
        <v>21</v>
      </c>
    </row>
    <row r="308">
      <c r="A308" s="5">
        <v>44634.37024305556</v>
      </c>
      <c r="B308" s="4" t="s">
        <v>22</v>
      </c>
      <c r="C308" s="4" t="s">
        <v>21</v>
      </c>
      <c r="D308" s="4" t="s">
        <v>21</v>
      </c>
    </row>
    <row r="309">
      <c r="A309" s="5">
        <v>44663.5259375</v>
      </c>
      <c r="B309" s="4" t="s">
        <v>22</v>
      </c>
      <c r="C309" s="4" t="s">
        <v>21</v>
      </c>
      <c r="D309" s="4" t="s">
        <v>21</v>
      </c>
    </row>
    <row r="310">
      <c r="A310" s="5">
        <v>44701.68681712963</v>
      </c>
      <c r="B310" s="4" t="s">
        <v>22</v>
      </c>
      <c r="C310" s="4" t="s">
        <v>21</v>
      </c>
      <c r="D310" s="4" t="s">
        <v>21</v>
      </c>
    </row>
    <row r="311">
      <c r="A311" s="5">
        <v>44722.541354166664</v>
      </c>
      <c r="B311" s="4" t="s">
        <v>22</v>
      </c>
      <c r="C311" s="4" t="s">
        <v>21</v>
      </c>
      <c r="D311" s="4" t="s">
        <v>21</v>
      </c>
    </row>
    <row r="312">
      <c r="A312" s="5">
        <v>44441.91724537037</v>
      </c>
      <c r="B312" s="4" t="s">
        <v>22</v>
      </c>
      <c r="C312" s="4" t="s">
        <v>21</v>
      </c>
      <c r="D312" s="4" t="s">
        <v>21</v>
      </c>
    </row>
    <row r="313" hidden="1">
      <c r="A313" s="5">
        <v>44726.73983796296</v>
      </c>
      <c r="B313" s="4" t="s">
        <v>26</v>
      </c>
      <c r="C313" s="4" t="s">
        <v>21</v>
      </c>
      <c r="D313" s="4" t="s">
        <v>21</v>
      </c>
    </row>
    <row r="314">
      <c r="A314" s="5">
        <v>44515.711643518516</v>
      </c>
      <c r="B314" s="4" t="s">
        <v>22</v>
      </c>
      <c r="C314" s="4" t="s">
        <v>21</v>
      </c>
      <c r="D314" s="4" t="s">
        <v>21</v>
      </c>
    </row>
    <row r="315">
      <c r="A315" s="5">
        <v>44439.48972222222</v>
      </c>
      <c r="B315" s="4" t="s">
        <v>22</v>
      </c>
      <c r="C315" s="4" t="s">
        <v>21</v>
      </c>
      <c r="D315" s="4" t="s">
        <v>21</v>
      </c>
    </row>
    <row r="316">
      <c r="A316" s="5">
        <v>44536.47361111111</v>
      </c>
      <c r="B316" s="4" t="s">
        <v>22</v>
      </c>
      <c r="C316" s="4" t="s">
        <v>21</v>
      </c>
      <c r="D316" s="4" t="s">
        <v>21</v>
      </c>
    </row>
    <row r="317">
      <c r="A317" s="5">
        <v>44536.48297453704</v>
      </c>
      <c r="B317" s="4" t="s">
        <v>22</v>
      </c>
      <c r="C317" s="4" t="s">
        <v>21</v>
      </c>
      <c r="D317" s="4" t="s">
        <v>21</v>
      </c>
    </row>
    <row r="318" hidden="1">
      <c r="A318" s="5">
        <v>44700.59296296296</v>
      </c>
      <c r="B318" s="4" t="s">
        <v>26</v>
      </c>
      <c r="C318" s="4" t="s">
        <v>21</v>
      </c>
      <c r="D318" s="4" t="s">
        <v>21</v>
      </c>
    </row>
    <row r="319">
      <c r="A319" s="5">
        <v>44473.53494212963</v>
      </c>
      <c r="B319" s="4" t="s">
        <v>22</v>
      </c>
      <c r="C319" s="4" t="s">
        <v>21</v>
      </c>
      <c r="D319" s="4" t="s">
        <v>21</v>
      </c>
    </row>
    <row r="320" hidden="1">
      <c r="A320" s="5">
        <v>44561.32984953704</v>
      </c>
      <c r="B320" s="4" t="s">
        <v>20</v>
      </c>
      <c r="C320" s="4" t="s">
        <v>23</v>
      </c>
      <c r="D320" s="4" t="s">
        <v>21</v>
      </c>
    </row>
    <row r="321">
      <c r="A321" s="5">
        <v>44537.54215277778</v>
      </c>
      <c r="B321" s="4" t="s">
        <v>22</v>
      </c>
      <c r="C321" s="4" t="s">
        <v>21</v>
      </c>
      <c r="D321" s="4" t="s">
        <v>21</v>
      </c>
    </row>
    <row r="322">
      <c r="A322" s="5">
        <v>44586.54890046296</v>
      </c>
      <c r="B322" s="4" t="s">
        <v>22</v>
      </c>
      <c r="C322" s="4" t="s">
        <v>21</v>
      </c>
      <c r="D322" s="4" t="s">
        <v>21</v>
      </c>
    </row>
    <row r="323">
      <c r="A323" s="5">
        <v>44528.22148148148</v>
      </c>
      <c r="B323" s="4" t="s">
        <v>22</v>
      </c>
      <c r="C323" s="4" t="s">
        <v>21</v>
      </c>
      <c r="D323" s="4" t="s">
        <v>21</v>
      </c>
    </row>
    <row r="324">
      <c r="A324" s="5">
        <v>44578.514340277776</v>
      </c>
      <c r="B324" s="4" t="s">
        <v>22</v>
      </c>
      <c r="C324" s="4" t="s">
        <v>21</v>
      </c>
      <c r="D324" s="4" t="s">
        <v>21</v>
      </c>
    </row>
    <row r="325">
      <c r="A325" s="5">
        <v>44589.71078703704</v>
      </c>
      <c r="B325" s="4" t="s">
        <v>22</v>
      </c>
      <c r="C325" s="4" t="s">
        <v>21</v>
      </c>
      <c r="D325" s="4" t="s">
        <v>21</v>
      </c>
    </row>
    <row r="326">
      <c r="A326" s="5">
        <v>44523.47825231482</v>
      </c>
      <c r="B326" s="4" t="s">
        <v>22</v>
      </c>
      <c r="C326" s="4" t="s">
        <v>21</v>
      </c>
      <c r="D326" s="4" t="s">
        <v>21</v>
      </c>
    </row>
    <row r="327">
      <c r="A327" s="5">
        <v>44670.3440625</v>
      </c>
      <c r="B327" s="4" t="s">
        <v>22</v>
      </c>
      <c r="C327" s="4" t="s">
        <v>21</v>
      </c>
      <c r="D327" s="4" t="s">
        <v>21</v>
      </c>
    </row>
    <row r="328">
      <c r="A328" s="5">
        <v>44390.18315972222</v>
      </c>
      <c r="B328" s="4" t="s">
        <v>22</v>
      </c>
      <c r="C328" s="4" t="s">
        <v>21</v>
      </c>
      <c r="D328" s="4" t="s">
        <v>21</v>
      </c>
    </row>
    <row r="329">
      <c r="A329" s="5">
        <v>44574.43753472222</v>
      </c>
      <c r="B329" s="4" t="s">
        <v>22</v>
      </c>
      <c r="C329" s="4" t="s">
        <v>21</v>
      </c>
      <c r="D329" s="4" t="s">
        <v>21</v>
      </c>
    </row>
    <row r="330">
      <c r="A330" s="5">
        <v>44700.873935185184</v>
      </c>
      <c r="B330" s="4" t="s">
        <v>22</v>
      </c>
      <c r="C330" s="4" t="s">
        <v>21</v>
      </c>
      <c r="D330" s="4" t="s">
        <v>21</v>
      </c>
    </row>
    <row r="331">
      <c r="A331" s="5">
        <v>44430.105462962965</v>
      </c>
      <c r="B331" s="4" t="s">
        <v>22</v>
      </c>
      <c r="C331" s="4" t="s">
        <v>21</v>
      </c>
      <c r="D331" s="4" t="s">
        <v>21</v>
      </c>
    </row>
    <row r="332" hidden="1">
      <c r="A332" s="5">
        <v>44504.64707175926</v>
      </c>
      <c r="B332" s="4" t="s">
        <v>24</v>
      </c>
      <c r="C332" s="4" t="s">
        <v>21</v>
      </c>
      <c r="D332" s="4" t="s">
        <v>21</v>
      </c>
    </row>
    <row r="333">
      <c r="A333" s="5">
        <v>44725.16226851852</v>
      </c>
      <c r="B333" s="4" t="s">
        <v>22</v>
      </c>
      <c r="C333" s="4" t="s">
        <v>21</v>
      </c>
      <c r="D333" s="4" t="s">
        <v>21</v>
      </c>
    </row>
    <row r="334">
      <c r="A334" s="5">
        <v>44532.58039351852</v>
      </c>
      <c r="B334" s="4" t="s">
        <v>22</v>
      </c>
      <c r="C334" s="4" t="s">
        <v>21</v>
      </c>
      <c r="D334" s="4" t="s">
        <v>21</v>
      </c>
    </row>
    <row r="335">
      <c r="A335" s="5">
        <v>44537.1603125</v>
      </c>
      <c r="B335" s="4" t="s">
        <v>22</v>
      </c>
      <c r="C335" s="4" t="s">
        <v>21</v>
      </c>
      <c r="D335" s="4" t="s">
        <v>21</v>
      </c>
    </row>
    <row r="336">
      <c r="A336" s="5">
        <v>44691.37130787037</v>
      </c>
      <c r="B336" s="4" t="s">
        <v>22</v>
      </c>
      <c r="C336" s="4" t="s">
        <v>21</v>
      </c>
      <c r="D336" s="4" t="s">
        <v>21</v>
      </c>
    </row>
    <row r="337">
      <c r="A337" s="5">
        <v>44568.63228009259</v>
      </c>
      <c r="B337" s="4" t="s">
        <v>22</v>
      </c>
      <c r="C337" s="4" t="s">
        <v>21</v>
      </c>
      <c r="D337" s="4" t="s">
        <v>21</v>
      </c>
    </row>
    <row r="338">
      <c r="A338" s="5">
        <v>44540.5144212963</v>
      </c>
      <c r="B338" s="4" t="s">
        <v>22</v>
      </c>
      <c r="C338" s="4" t="s">
        <v>21</v>
      </c>
      <c r="D338" s="4" t="s">
        <v>21</v>
      </c>
    </row>
    <row r="339">
      <c r="A339" s="5">
        <v>44531.53503472222</v>
      </c>
      <c r="B339" s="4" t="s">
        <v>22</v>
      </c>
      <c r="C339" s="4" t="s">
        <v>21</v>
      </c>
      <c r="D339" s="4" t="s">
        <v>21</v>
      </c>
    </row>
    <row r="340">
      <c r="A340" s="5">
        <v>44589.59101851852</v>
      </c>
      <c r="B340" s="4" t="s">
        <v>22</v>
      </c>
      <c r="C340" s="4" t="s">
        <v>21</v>
      </c>
      <c r="D340" s="4" t="s">
        <v>21</v>
      </c>
    </row>
    <row r="341">
      <c r="A341" s="5">
        <v>44638.59825231481</v>
      </c>
      <c r="B341" s="4" t="s">
        <v>22</v>
      </c>
      <c r="C341" s="4" t="s">
        <v>21</v>
      </c>
      <c r="D341" s="4" t="s">
        <v>21</v>
      </c>
    </row>
    <row r="342">
      <c r="A342" s="5">
        <v>44698.40859953704</v>
      </c>
      <c r="B342" s="4" t="s">
        <v>22</v>
      </c>
      <c r="C342" s="4" t="s">
        <v>21</v>
      </c>
      <c r="D342" s="4" t="s">
        <v>21</v>
      </c>
    </row>
    <row r="343">
      <c r="A343" s="5">
        <v>44439.448425925926</v>
      </c>
      <c r="B343" s="4" t="s">
        <v>22</v>
      </c>
      <c r="C343" s="4" t="s">
        <v>21</v>
      </c>
      <c r="D343" s="4" t="s">
        <v>21</v>
      </c>
    </row>
    <row r="344">
      <c r="A344" s="5">
        <v>44426.250659722224</v>
      </c>
      <c r="B344" s="4" t="s">
        <v>22</v>
      </c>
      <c r="C344" s="4" t="s">
        <v>21</v>
      </c>
      <c r="D344" s="4" t="s">
        <v>21</v>
      </c>
    </row>
    <row r="345">
      <c r="A345" s="5">
        <v>44574.69216435185</v>
      </c>
      <c r="B345" s="4" t="s">
        <v>22</v>
      </c>
      <c r="C345" s="4" t="s">
        <v>21</v>
      </c>
      <c r="D345" s="4" t="s">
        <v>21</v>
      </c>
    </row>
    <row r="346">
      <c r="A346" s="5">
        <v>44652.418275462966</v>
      </c>
      <c r="B346" s="4" t="s">
        <v>22</v>
      </c>
      <c r="C346" s="4" t="s">
        <v>21</v>
      </c>
      <c r="D346" s="4" t="s">
        <v>21</v>
      </c>
    </row>
    <row r="347">
      <c r="A347" s="5">
        <v>44593.691875</v>
      </c>
      <c r="B347" s="4" t="s">
        <v>22</v>
      </c>
      <c r="C347" s="4" t="s">
        <v>21</v>
      </c>
      <c r="D347" s="4" t="s">
        <v>23</v>
      </c>
    </row>
    <row r="348">
      <c r="A348" s="5">
        <v>44523.34291666667</v>
      </c>
      <c r="B348" s="4" t="s">
        <v>22</v>
      </c>
      <c r="C348" s="4" t="s">
        <v>21</v>
      </c>
      <c r="D348" s="4" t="s">
        <v>21</v>
      </c>
    </row>
    <row r="349">
      <c r="A349" s="5">
        <v>44446.91542824074</v>
      </c>
      <c r="B349" s="4" t="s">
        <v>22</v>
      </c>
      <c r="C349" s="4" t="s">
        <v>21</v>
      </c>
      <c r="D349" s="4" t="s">
        <v>21</v>
      </c>
    </row>
    <row r="350">
      <c r="A350" s="5">
        <v>44523.57962962963</v>
      </c>
      <c r="B350" s="4" t="s">
        <v>22</v>
      </c>
      <c r="C350" s="4" t="s">
        <v>21</v>
      </c>
      <c r="D350" s="4" t="s">
        <v>21</v>
      </c>
    </row>
    <row r="351">
      <c r="A351" s="5">
        <v>44585.54471064815</v>
      </c>
      <c r="B351" s="4" t="s">
        <v>22</v>
      </c>
      <c r="C351" s="4" t="s">
        <v>21</v>
      </c>
      <c r="D351" s="4" t="s">
        <v>21</v>
      </c>
    </row>
    <row r="352">
      <c r="A352" s="5">
        <v>44686.742430555554</v>
      </c>
      <c r="B352" s="4" t="s">
        <v>22</v>
      </c>
      <c r="C352" s="4" t="s">
        <v>21</v>
      </c>
      <c r="D352" s="4" t="s">
        <v>21</v>
      </c>
    </row>
    <row r="353">
      <c r="A353" s="5">
        <v>44440.421898148146</v>
      </c>
      <c r="B353" s="4" t="s">
        <v>22</v>
      </c>
      <c r="C353" s="4" t="s">
        <v>21</v>
      </c>
      <c r="D353" s="4" t="s">
        <v>21</v>
      </c>
    </row>
    <row r="354">
      <c r="A354" s="5">
        <v>44441.60472222222</v>
      </c>
      <c r="B354" s="4" t="s">
        <v>22</v>
      </c>
      <c r="C354" s="4" t="s">
        <v>21</v>
      </c>
      <c r="D354" s="4" t="s">
        <v>21</v>
      </c>
    </row>
    <row r="355">
      <c r="A355" s="5">
        <v>44442.86114583333</v>
      </c>
      <c r="B355" s="4" t="s">
        <v>22</v>
      </c>
      <c r="C355" s="4" t="s">
        <v>21</v>
      </c>
      <c r="D355" s="4" t="s">
        <v>21</v>
      </c>
    </row>
    <row r="356">
      <c r="A356" s="5">
        <v>44445.34538194445</v>
      </c>
      <c r="B356" s="4" t="s">
        <v>22</v>
      </c>
      <c r="C356" s="4" t="s">
        <v>21</v>
      </c>
      <c r="D356" s="4" t="s">
        <v>21</v>
      </c>
    </row>
    <row r="357">
      <c r="A357" s="5">
        <v>44445.347766203704</v>
      </c>
      <c r="B357" s="4" t="s">
        <v>22</v>
      </c>
      <c r="C357" s="4" t="s">
        <v>21</v>
      </c>
      <c r="D357" s="4" t="s">
        <v>21</v>
      </c>
    </row>
    <row r="358">
      <c r="A358" s="5">
        <v>44445.78707175926</v>
      </c>
      <c r="B358" s="4" t="s">
        <v>22</v>
      </c>
      <c r="C358" s="4" t="s">
        <v>21</v>
      </c>
      <c r="D358" s="4" t="s">
        <v>21</v>
      </c>
    </row>
    <row r="359">
      <c r="A359" s="5">
        <v>44447.144270833334</v>
      </c>
      <c r="B359" s="4" t="s">
        <v>22</v>
      </c>
      <c r="C359" s="4" t="s">
        <v>21</v>
      </c>
      <c r="D359" s="4" t="s">
        <v>21</v>
      </c>
    </row>
    <row r="360">
      <c r="A360" s="5">
        <v>44449.09462962963</v>
      </c>
      <c r="B360" s="4" t="s">
        <v>22</v>
      </c>
      <c r="C360" s="4" t="s">
        <v>21</v>
      </c>
      <c r="D360" s="4" t="s">
        <v>21</v>
      </c>
    </row>
    <row r="361">
      <c r="A361" s="5">
        <v>44439.42833333334</v>
      </c>
      <c r="B361" s="4" t="s">
        <v>22</v>
      </c>
      <c r="C361" s="4" t="s">
        <v>21</v>
      </c>
      <c r="D361" s="4" t="s">
        <v>21</v>
      </c>
    </row>
    <row r="362">
      <c r="A362" s="5">
        <v>44452.6844212963</v>
      </c>
      <c r="B362" s="4" t="s">
        <v>22</v>
      </c>
      <c r="C362" s="4" t="s">
        <v>21</v>
      </c>
      <c r="D362" s="4" t="s">
        <v>21</v>
      </c>
    </row>
    <row r="363">
      <c r="A363" s="5">
        <v>44452.68483796297</v>
      </c>
      <c r="B363" s="4" t="s">
        <v>22</v>
      </c>
      <c r="C363" s="4" t="s">
        <v>21</v>
      </c>
      <c r="D363" s="4" t="s">
        <v>21</v>
      </c>
    </row>
    <row r="364">
      <c r="A364" s="5">
        <v>44452.685162037036</v>
      </c>
      <c r="B364" s="4" t="s">
        <v>22</v>
      </c>
      <c r="C364" s="4" t="s">
        <v>21</v>
      </c>
      <c r="D364" s="4" t="s">
        <v>21</v>
      </c>
    </row>
    <row r="365">
      <c r="A365" s="5">
        <v>44550.59112268518</v>
      </c>
      <c r="B365" s="4" t="s">
        <v>22</v>
      </c>
      <c r="C365" s="4" t="s">
        <v>21</v>
      </c>
      <c r="D365" s="4" t="s">
        <v>21</v>
      </c>
    </row>
    <row r="366">
      <c r="A366" s="5">
        <v>44550.59118055556</v>
      </c>
      <c r="B366" s="4" t="s">
        <v>22</v>
      </c>
      <c r="C366" s="4" t="s">
        <v>21</v>
      </c>
      <c r="D366" s="4" t="s">
        <v>21</v>
      </c>
    </row>
    <row r="367">
      <c r="A367" s="5">
        <v>44623.74737268518</v>
      </c>
      <c r="B367" s="4" t="s">
        <v>22</v>
      </c>
      <c r="C367" s="4" t="s">
        <v>21</v>
      </c>
      <c r="D367" s="4" t="s">
        <v>21</v>
      </c>
    </row>
    <row r="368">
      <c r="A368" s="5">
        <v>44628.5356712963</v>
      </c>
      <c r="B368" s="4" t="s">
        <v>22</v>
      </c>
      <c r="C368" s="4" t="s">
        <v>21</v>
      </c>
      <c r="D368" s="4" t="s">
        <v>21</v>
      </c>
    </row>
    <row r="369">
      <c r="A369" s="5">
        <v>44628.55674768519</v>
      </c>
      <c r="B369" s="4" t="s">
        <v>22</v>
      </c>
      <c r="C369" s="4" t="s">
        <v>21</v>
      </c>
      <c r="D369" s="4" t="s">
        <v>21</v>
      </c>
    </row>
    <row r="370">
      <c r="A370" s="5">
        <v>44628.57386574074</v>
      </c>
      <c r="B370" s="4" t="s">
        <v>22</v>
      </c>
      <c r="C370" s="4" t="s">
        <v>21</v>
      </c>
      <c r="D370" s="4" t="s">
        <v>21</v>
      </c>
    </row>
    <row r="371">
      <c r="A371" s="5">
        <v>44473.30480324074</v>
      </c>
      <c r="B371" s="4" t="s">
        <v>22</v>
      </c>
      <c r="C371" s="4" t="s">
        <v>21</v>
      </c>
      <c r="D371" s="4" t="s">
        <v>21</v>
      </c>
    </row>
    <row r="372">
      <c r="A372" s="5">
        <v>44473.30758101852</v>
      </c>
      <c r="B372" s="4" t="s">
        <v>22</v>
      </c>
      <c r="C372" s="4" t="s">
        <v>21</v>
      </c>
      <c r="D372" s="4" t="s">
        <v>21</v>
      </c>
    </row>
    <row r="373">
      <c r="A373" s="5">
        <v>44473.31292824074</v>
      </c>
      <c r="B373" s="4" t="s">
        <v>22</v>
      </c>
      <c r="C373" s="4" t="s">
        <v>21</v>
      </c>
      <c r="D373" s="4" t="s">
        <v>21</v>
      </c>
    </row>
    <row r="374">
      <c r="A374" s="5">
        <v>44473.31825231481</v>
      </c>
      <c r="B374" s="4" t="s">
        <v>22</v>
      </c>
      <c r="C374" s="4" t="s">
        <v>21</v>
      </c>
      <c r="D374" s="4" t="s">
        <v>21</v>
      </c>
    </row>
    <row r="375">
      <c r="A375" s="5">
        <v>44473.32219907407</v>
      </c>
      <c r="B375" s="4" t="s">
        <v>22</v>
      </c>
      <c r="C375" s="4" t="s">
        <v>21</v>
      </c>
      <c r="D375" s="4" t="s">
        <v>21</v>
      </c>
    </row>
    <row r="376">
      <c r="A376" s="5">
        <v>44473.32474537037</v>
      </c>
      <c r="B376" s="4" t="s">
        <v>22</v>
      </c>
      <c r="C376" s="4" t="s">
        <v>21</v>
      </c>
      <c r="D376" s="4" t="s">
        <v>21</v>
      </c>
    </row>
    <row r="377">
      <c r="A377" s="5">
        <v>44473.329733796294</v>
      </c>
      <c r="B377" s="4" t="s">
        <v>22</v>
      </c>
      <c r="C377" s="4" t="s">
        <v>21</v>
      </c>
      <c r="D377" s="4" t="s">
        <v>21</v>
      </c>
    </row>
    <row r="378">
      <c r="A378" s="5">
        <v>44473.347337962965</v>
      </c>
      <c r="B378" s="4" t="s">
        <v>22</v>
      </c>
      <c r="C378" s="4" t="s">
        <v>21</v>
      </c>
      <c r="D378" s="4" t="s">
        <v>21</v>
      </c>
    </row>
    <row r="379">
      <c r="A379" s="5">
        <v>44473.360671296294</v>
      </c>
      <c r="B379" s="4" t="s">
        <v>22</v>
      </c>
      <c r="C379" s="4" t="s">
        <v>21</v>
      </c>
      <c r="D379" s="4" t="s">
        <v>21</v>
      </c>
    </row>
    <row r="380">
      <c r="A380" s="5">
        <v>44578.51673611111</v>
      </c>
      <c r="B380" s="4" t="s">
        <v>22</v>
      </c>
      <c r="C380" s="4" t="s">
        <v>21</v>
      </c>
      <c r="D380" s="4" t="s">
        <v>21</v>
      </c>
    </row>
    <row r="381">
      <c r="A381" s="5">
        <v>44578.52043981481</v>
      </c>
      <c r="B381" s="4" t="s">
        <v>22</v>
      </c>
      <c r="C381" s="4" t="s">
        <v>21</v>
      </c>
      <c r="D381" s="4" t="s">
        <v>21</v>
      </c>
    </row>
    <row r="382">
      <c r="A382" s="5">
        <v>44578.52274305555</v>
      </c>
      <c r="B382" s="4" t="s">
        <v>22</v>
      </c>
      <c r="C382" s="4" t="s">
        <v>21</v>
      </c>
      <c r="D382" s="4" t="s">
        <v>21</v>
      </c>
    </row>
    <row r="383">
      <c r="A383" s="5">
        <v>44578.52460648148</v>
      </c>
      <c r="B383" s="4" t="s">
        <v>22</v>
      </c>
      <c r="C383" s="4" t="s">
        <v>21</v>
      </c>
      <c r="D383" s="4" t="s">
        <v>21</v>
      </c>
    </row>
    <row r="384">
      <c r="A384" s="5">
        <v>44578.526342592595</v>
      </c>
      <c r="B384" s="4" t="s">
        <v>22</v>
      </c>
      <c r="C384" s="4" t="s">
        <v>21</v>
      </c>
      <c r="D384" s="4" t="s">
        <v>21</v>
      </c>
    </row>
    <row r="385">
      <c r="A385" s="5">
        <v>44606.58797453704</v>
      </c>
      <c r="B385" s="4" t="s">
        <v>22</v>
      </c>
      <c r="C385" s="4" t="s">
        <v>21</v>
      </c>
      <c r="D385" s="4" t="s">
        <v>21</v>
      </c>
    </row>
    <row r="386" hidden="1">
      <c r="A386" s="5">
        <v>44550.12616898148</v>
      </c>
      <c r="B386" s="4" t="s">
        <v>20</v>
      </c>
      <c r="C386" s="4" t="s">
        <v>21</v>
      </c>
      <c r="D386" s="4" t="s">
        <v>21</v>
      </c>
    </row>
    <row r="387" hidden="1">
      <c r="A387" s="5">
        <v>44708.52961805555</v>
      </c>
      <c r="B387" s="4" t="s">
        <v>25</v>
      </c>
      <c r="C387" s="4" t="s">
        <v>21</v>
      </c>
      <c r="D387" s="4" t="s">
        <v>21</v>
      </c>
    </row>
    <row r="388">
      <c r="A388" s="5">
        <v>44720.432858796295</v>
      </c>
      <c r="B388" s="4" t="s">
        <v>22</v>
      </c>
      <c r="C388" s="4" t="s">
        <v>21</v>
      </c>
      <c r="D388" s="4" t="s">
        <v>21</v>
      </c>
    </row>
    <row r="389" hidden="1">
      <c r="A389" s="5">
        <v>44732.57069444445</v>
      </c>
      <c r="B389" s="4" t="s">
        <v>20</v>
      </c>
      <c r="C389" s="4" t="s">
        <v>21</v>
      </c>
      <c r="D389" s="4" t="s">
        <v>21</v>
      </c>
    </row>
    <row r="390">
      <c r="A390" s="5">
        <v>44735.57645833334</v>
      </c>
      <c r="B390" s="4" t="s">
        <v>22</v>
      </c>
      <c r="C390" s="4" t="s">
        <v>21</v>
      </c>
      <c r="D390" s="4" t="s">
        <v>21</v>
      </c>
    </row>
    <row r="391">
      <c r="A391" s="5">
        <v>44739.20891203704</v>
      </c>
      <c r="B391" s="4" t="s">
        <v>22</v>
      </c>
      <c r="C391" s="4" t="s">
        <v>21</v>
      </c>
      <c r="D391" s="4" t="s">
        <v>21</v>
      </c>
    </row>
    <row r="392" hidden="1">
      <c r="A392" s="5">
        <v>44727.580243055556</v>
      </c>
      <c r="B392" s="4" t="s">
        <v>20</v>
      </c>
      <c r="C392" s="4" t="s">
        <v>21</v>
      </c>
      <c r="D392" s="4" t="s">
        <v>21</v>
      </c>
    </row>
    <row r="393">
      <c r="A393" s="5">
        <v>44735.540347222224</v>
      </c>
      <c r="B393" s="4" t="s">
        <v>22</v>
      </c>
      <c r="C393" s="4" t="s">
        <v>21</v>
      </c>
      <c r="D393" s="4" t="s">
        <v>21</v>
      </c>
    </row>
    <row r="394">
      <c r="A394" s="5">
        <v>44546.23017361111</v>
      </c>
      <c r="B394" s="4" t="s">
        <v>22</v>
      </c>
      <c r="C394" s="4" t="s">
        <v>21</v>
      </c>
      <c r="D394" s="4" t="s">
        <v>21</v>
      </c>
    </row>
    <row r="395">
      <c r="A395" s="5">
        <v>44498.33662037037</v>
      </c>
      <c r="B395" s="4" t="s">
        <v>22</v>
      </c>
      <c r="C395" s="4" t="s">
        <v>21</v>
      </c>
      <c r="D395" s="4" t="s">
        <v>21</v>
      </c>
    </row>
    <row r="396">
      <c r="A396" s="5">
        <v>44501.95543981482</v>
      </c>
      <c r="B396" s="4" t="s">
        <v>22</v>
      </c>
      <c r="C396" s="4" t="s">
        <v>21</v>
      </c>
      <c r="D396" s="4" t="s">
        <v>21</v>
      </c>
    </row>
    <row r="397">
      <c r="A397" s="5">
        <v>44574.55758101852</v>
      </c>
      <c r="B397" s="4" t="s">
        <v>22</v>
      </c>
      <c r="C397" s="4" t="s">
        <v>21</v>
      </c>
      <c r="D397" s="4" t="s">
        <v>21</v>
      </c>
    </row>
    <row r="398">
      <c r="A398" s="5">
        <v>44574.5646875</v>
      </c>
      <c r="B398" s="4" t="s">
        <v>22</v>
      </c>
      <c r="C398" s="4" t="s">
        <v>21</v>
      </c>
      <c r="D398" s="4" t="s">
        <v>21</v>
      </c>
    </row>
    <row r="399">
      <c r="A399" s="5">
        <v>44574.56767361111</v>
      </c>
      <c r="B399" s="4" t="s">
        <v>22</v>
      </c>
      <c r="C399" s="4" t="s">
        <v>21</v>
      </c>
      <c r="D399" s="4" t="s">
        <v>21</v>
      </c>
    </row>
    <row r="400">
      <c r="A400" s="5">
        <v>44574.570706018516</v>
      </c>
      <c r="B400" s="4" t="s">
        <v>22</v>
      </c>
      <c r="C400" s="4" t="s">
        <v>21</v>
      </c>
      <c r="D400" s="4" t="s">
        <v>21</v>
      </c>
    </row>
    <row r="401">
      <c r="A401" s="5">
        <v>44574.58356481481</v>
      </c>
      <c r="B401" s="4" t="s">
        <v>22</v>
      </c>
      <c r="C401" s="4" t="s">
        <v>21</v>
      </c>
      <c r="D401" s="4" t="s">
        <v>21</v>
      </c>
    </row>
    <row r="402">
      <c r="A402" s="5">
        <v>44574.61046296296</v>
      </c>
      <c r="B402" s="4" t="s">
        <v>22</v>
      </c>
      <c r="C402" s="4" t="s">
        <v>21</v>
      </c>
      <c r="D402" s="4" t="s">
        <v>21</v>
      </c>
    </row>
    <row r="403">
      <c r="A403" s="5">
        <v>44574.65109953703</v>
      </c>
      <c r="B403" s="4" t="s">
        <v>22</v>
      </c>
      <c r="C403" s="4" t="s">
        <v>21</v>
      </c>
      <c r="D403" s="4" t="s">
        <v>21</v>
      </c>
    </row>
    <row r="404">
      <c r="A404" s="5">
        <v>44496.51155092593</v>
      </c>
      <c r="B404" s="4" t="s">
        <v>22</v>
      </c>
      <c r="C404" s="4" t="s">
        <v>21</v>
      </c>
      <c r="D404" s="4" t="s">
        <v>21</v>
      </c>
    </row>
    <row r="405">
      <c r="A405" s="5">
        <v>44652.45282407408</v>
      </c>
      <c r="B405" s="4" t="s">
        <v>22</v>
      </c>
      <c r="C405" s="4" t="s">
        <v>21</v>
      </c>
      <c r="D405" s="4" t="s">
        <v>21</v>
      </c>
    </row>
    <row r="406">
      <c r="A406" s="5">
        <v>44652.45556712963</v>
      </c>
      <c r="B406" s="4" t="s">
        <v>22</v>
      </c>
      <c r="C406" s="4" t="s">
        <v>21</v>
      </c>
      <c r="D406" s="4" t="s">
        <v>21</v>
      </c>
    </row>
    <row r="407">
      <c r="A407" s="5">
        <v>44652.45649305556</v>
      </c>
      <c r="B407" s="4" t="s">
        <v>22</v>
      </c>
      <c r="C407" s="4" t="s">
        <v>21</v>
      </c>
      <c r="D407" s="4" t="s">
        <v>21</v>
      </c>
    </row>
    <row r="408">
      <c r="A408" s="5">
        <v>44652.45726851852</v>
      </c>
      <c r="B408" s="4" t="s">
        <v>22</v>
      </c>
      <c r="C408" s="4" t="s">
        <v>21</v>
      </c>
      <c r="D408" s="4" t="s">
        <v>21</v>
      </c>
    </row>
    <row r="409">
      <c r="A409" s="5">
        <v>44652.457766203705</v>
      </c>
      <c r="B409" s="4" t="s">
        <v>22</v>
      </c>
      <c r="C409" s="4" t="s">
        <v>21</v>
      </c>
      <c r="D409" s="4" t="s">
        <v>21</v>
      </c>
    </row>
    <row r="410">
      <c r="A410" s="5">
        <v>44652.46364583333</v>
      </c>
      <c r="B410" s="4" t="s">
        <v>22</v>
      </c>
      <c r="C410" s="4" t="s">
        <v>21</v>
      </c>
      <c r="D410" s="4" t="s">
        <v>21</v>
      </c>
    </row>
    <row r="411">
      <c r="A411" s="5">
        <v>44655.568657407406</v>
      </c>
      <c r="B411" s="4" t="s">
        <v>22</v>
      </c>
      <c r="C411" s="4" t="s">
        <v>21</v>
      </c>
      <c r="D411" s="4" t="s">
        <v>21</v>
      </c>
    </row>
    <row r="412">
      <c r="A412" s="5">
        <v>44655.570763888885</v>
      </c>
      <c r="B412" s="4" t="s">
        <v>22</v>
      </c>
      <c r="C412" s="4" t="s">
        <v>21</v>
      </c>
      <c r="D412" s="4" t="s">
        <v>21</v>
      </c>
    </row>
    <row r="413">
      <c r="A413" s="5">
        <v>44655.57288194444</v>
      </c>
      <c r="B413" s="4" t="s">
        <v>22</v>
      </c>
      <c r="C413" s="4" t="s">
        <v>21</v>
      </c>
      <c r="D413" s="4" t="s">
        <v>21</v>
      </c>
    </row>
    <row r="414">
      <c r="A414" s="5">
        <v>44655.57381944444</v>
      </c>
      <c r="B414" s="4" t="s">
        <v>22</v>
      </c>
      <c r="C414" s="4" t="s">
        <v>21</v>
      </c>
      <c r="D414" s="4" t="s">
        <v>21</v>
      </c>
    </row>
    <row r="415">
      <c r="A415" s="5">
        <v>44655.57498842593</v>
      </c>
      <c r="B415" s="4" t="s">
        <v>22</v>
      </c>
      <c r="C415" s="4" t="s">
        <v>21</v>
      </c>
      <c r="D415" s="4" t="s">
        <v>21</v>
      </c>
    </row>
    <row r="416">
      <c r="A416" s="5">
        <v>44655.57534722222</v>
      </c>
      <c r="B416" s="4" t="s">
        <v>22</v>
      </c>
      <c r="C416" s="4" t="s">
        <v>21</v>
      </c>
      <c r="D416" s="4" t="s">
        <v>21</v>
      </c>
    </row>
    <row r="417">
      <c r="A417" s="5">
        <v>44655.57607638889</v>
      </c>
      <c r="B417" s="4" t="s">
        <v>22</v>
      </c>
      <c r="C417" s="4" t="s">
        <v>21</v>
      </c>
      <c r="D417" s="4" t="s">
        <v>21</v>
      </c>
    </row>
    <row r="418">
      <c r="A418" s="5">
        <v>44655.58112268519</v>
      </c>
      <c r="B418" s="4" t="s">
        <v>22</v>
      </c>
      <c r="C418" s="4" t="s">
        <v>21</v>
      </c>
      <c r="D418" s="4" t="s">
        <v>21</v>
      </c>
    </row>
    <row r="419">
      <c r="A419" s="5">
        <v>44655.58190972222</v>
      </c>
      <c r="B419" s="4" t="s">
        <v>22</v>
      </c>
      <c r="C419" s="4" t="s">
        <v>21</v>
      </c>
      <c r="D419" s="4" t="s">
        <v>21</v>
      </c>
    </row>
    <row r="420">
      <c r="A420" s="5">
        <v>44655.58290509259</v>
      </c>
      <c r="B420" s="4" t="s">
        <v>22</v>
      </c>
      <c r="C420" s="4" t="s">
        <v>21</v>
      </c>
      <c r="D420" s="4" t="s">
        <v>21</v>
      </c>
    </row>
    <row r="421">
      <c r="A421" s="5">
        <v>44655.58320601852</v>
      </c>
      <c r="B421" s="4" t="s">
        <v>22</v>
      </c>
      <c r="C421" s="4" t="s">
        <v>21</v>
      </c>
      <c r="D421" s="4" t="s">
        <v>21</v>
      </c>
    </row>
    <row r="422">
      <c r="A422" s="5">
        <v>44655.58347222222</v>
      </c>
      <c r="B422" s="4" t="s">
        <v>22</v>
      </c>
      <c r="C422" s="4" t="s">
        <v>21</v>
      </c>
      <c r="D422" s="4" t="s">
        <v>21</v>
      </c>
    </row>
    <row r="423">
      <c r="A423" s="5">
        <v>44655.58678240741</v>
      </c>
      <c r="B423" s="4" t="s">
        <v>22</v>
      </c>
      <c r="C423" s="4" t="s">
        <v>21</v>
      </c>
      <c r="D423" s="4" t="s">
        <v>21</v>
      </c>
    </row>
    <row r="424">
      <c r="A424" s="5">
        <v>44655.588587962964</v>
      </c>
      <c r="B424" s="4" t="s">
        <v>22</v>
      </c>
      <c r="C424" s="4" t="s">
        <v>21</v>
      </c>
      <c r="D424" s="4" t="s">
        <v>21</v>
      </c>
    </row>
    <row r="425">
      <c r="A425" s="5">
        <v>44655.589525462965</v>
      </c>
      <c r="B425" s="4" t="s">
        <v>22</v>
      </c>
      <c r="C425" s="4" t="s">
        <v>21</v>
      </c>
      <c r="D425" s="4" t="s">
        <v>21</v>
      </c>
    </row>
    <row r="426">
      <c r="A426" s="5">
        <v>44655.61748842592</v>
      </c>
      <c r="B426" s="4" t="s">
        <v>22</v>
      </c>
      <c r="C426" s="4" t="s">
        <v>21</v>
      </c>
      <c r="D426" s="4" t="s">
        <v>21</v>
      </c>
    </row>
    <row r="427">
      <c r="A427" s="5">
        <v>44734.551412037035</v>
      </c>
      <c r="B427" s="4" t="s">
        <v>22</v>
      </c>
      <c r="C427" s="4" t="s">
        <v>21</v>
      </c>
      <c r="D427" s="4" t="s">
        <v>21</v>
      </c>
    </row>
    <row r="428">
      <c r="A428" s="5">
        <v>44734.55204861111</v>
      </c>
      <c r="B428" s="4" t="s">
        <v>22</v>
      </c>
      <c r="C428" s="4" t="s">
        <v>21</v>
      </c>
      <c r="D428" s="4" t="s">
        <v>21</v>
      </c>
    </row>
    <row r="429">
      <c r="A429" s="5">
        <v>44734.55226851852</v>
      </c>
      <c r="B429" s="4" t="s">
        <v>22</v>
      </c>
      <c r="C429" s="4" t="s">
        <v>21</v>
      </c>
      <c r="D429" s="4" t="s">
        <v>21</v>
      </c>
    </row>
    <row r="430">
      <c r="A430" s="5">
        <v>44734.55296296296</v>
      </c>
      <c r="B430" s="4" t="s">
        <v>22</v>
      </c>
      <c r="C430" s="4" t="s">
        <v>21</v>
      </c>
      <c r="D430" s="4" t="s">
        <v>21</v>
      </c>
    </row>
    <row r="431">
      <c r="A431" s="5">
        <v>44734.55321759259</v>
      </c>
      <c r="B431" s="4" t="s">
        <v>22</v>
      </c>
      <c r="C431" s="4" t="s">
        <v>21</v>
      </c>
      <c r="D431" s="4" t="s">
        <v>21</v>
      </c>
    </row>
    <row r="432">
      <c r="A432" s="5">
        <v>44734.55482638889</v>
      </c>
      <c r="B432" s="4" t="s">
        <v>22</v>
      </c>
      <c r="C432" s="4" t="s">
        <v>21</v>
      </c>
      <c r="D432" s="4" t="s">
        <v>21</v>
      </c>
    </row>
    <row r="433">
      <c r="A433" s="5">
        <v>44734.55517361111</v>
      </c>
      <c r="B433" s="4" t="s">
        <v>22</v>
      </c>
      <c r="C433" s="4" t="s">
        <v>21</v>
      </c>
      <c r="D433" s="4" t="s">
        <v>21</v>
      </c>
    </row>
    <row r="434">
      <c r="A434" s="5">
        <v>44734.560752314814</v>
      </c>
      <c r="B434" s="4" t="s">
        <v>22</v>
      </c>
      <c r="C434" s="4" t="s">
        <v>21</v>
      </c>
      <c r="D434" s="4" t="s">
        <v>21</v>
      </c>
    </row>
    <row r="435">
      <c r="A435" s="5">
        <v>44734.56159722222</v>
      </c>
      <c r="B435" s="4" t="s">
        <v>22</v>
      </c>
      <c r="C435" s="4" t="s">
        <v>21</v>
      </c>
      <c r="D435" s="4" t="s">
        <v>21</v>
      </c>
    </row>
    <row r="436">
      <c r="A436" s="5">
        <v>44734.56539351852</v>
      </c>
      <c r="B436" s="4" t="s">
        <v>22</v>
      </c>
      <c r="C436" s="4" t="s">
        <v>21</v>
      </c>
      <c r="D436" s="4" t="s">
        <v>21</v>
      </c>
    </row>
    <row r="437">
      <c r="A437" s="5">
        <v>44734.565625</v>
      </c>
      <c r="B437" s="4" t="s">
        <v>22</v>
      </c>
      <c r="C437" s="4" t="s">
        <v>21</v>
      </c>
      <c r="D437" s="4" t="s">
        <v>21</v>
      </c>
    </row>
    <row r="438">
      <c r="A438" s="5">
        <v>44734.60519675926</v>
      </c>
      <c r="B438" s="4" t="s">
        <v>22</v>
      </c>
      <c r="C438" s="4" t="s">
        <v>21</v>
      </c>
      <c r="D438" s="4" t="s">
        <v>21</v>
      </c>
    </row>
    <row r="439">
      <c r="A439" s="5">
        <v>44734.605405092596</v>
      </c>
      <c r="B439" s="4" t="s">
        <v>22</v>
      </c>
      <c r="C439" s="4" t="s">
        <v>21</v>
      </c>
      <c r="D439" s="4" t="s">
        <v>21</v>
      </c>
    </row>
    <row r="440">
      <c r="A440" s="5">
        <v>44734.60600694444</v>
      </c>
      <c r="B440" s="4" t="s">
        <v>22</v>
      </c>
      <c r="C440" s="4" t="s">
        <v>21</v>
      </c>
      <c r="D440" s="4" t="s">
        <v>21</v>
      </c>
    </row>
    <row r="441">
      <c r="A441" s="5">
        <v>44734.60790509259</v>
      </c>
      <c r="B441" s="4" t="s">
        <v>22</v>
      </c>
      <c r="C441" s="4" t="s">
        <v>21</v>
      </c>
      <c r="D441" s="4" t="s">
        <v>21</v>
      </c>
    </row>
    <row r="442">
      <c r="A442" s="5">
        <v>44734.60888888889</v>
      </c>
      <c r="B442" s="4" t="s">
        <v>22</v>
      </c>
      <c r="C442" s="4" t="s">
        <v>21</v>
      </c>
      <c r="D442" s="4" t="s">
        <v>21</v>
      </c>
    </row>
    <row r="443">
      <c r="A443" s="5">
        <v>44734.609444444446</v>
      </c>
      <c r="B443" s="4" t="s">
        <v>22</v>
      </c>
      <c r="C443" s="4" t="s">
        <v>21</v>
      </c>
      <c r="D443" s="4" t="s">
        <v>21</v>
      </c>
    </row>
    <row r="444">
      <c r="A444" s="5">
        <v>44734.6099537037</v>
      </c>
      <c r="B444" s="4" t="s">
        <v>22</v>
      </c>
      <c r="C444" s="4" t="s">
        <v>21</v>
      </c>
      <c r="D444" s="4" t="s">
        <v>21</v>
      </c>
    </row>
    <row r="445">
      <c r="A445" s="5">
        <v>44734.611608796295</v>
      </c>
      <c r="B445" s="4" t="s">
        <v>22</v>
      </c>
      <c r="C445" s="4" t="s">
        <v>21</v>
      </c>
      <c r="D445" s="4" t="s">
        <v>21</v>
      </c>
    </row>
    <row r="446">
      <c r="A446" s="5">
        <v>44734.61185185185</v>
      </c>
      <c r="B446" s="4" t="s">
        <v>22</v>
      </c>
      <c r="C446" s="4" t="s">
        <v>21</v>
      </c>
      <c r="D446" s="4" t="s">
        <v>21</v>
      </c>
    </row>
    <row r="447">
      <c r="A447" s="5">
        <v>44734.61280092593</v>
      </c>
      <c r="B447" s="4" t="s">
        <v>22</v>
      </c>
      <c r="C447" s="4" t="s">
        <v>21</v>
      </c>
      <c r="D447" s="4" t="s">
        <v>21</v>
      </c>
    </row>
    <row r="448">
      <c r="A448" s="5">
        <v>44734.61329861111</v>
      </c>
      <c r="B448" s="4" t="s">
        <v>22</v>
      </c>
      <c r="C448" s="4" t="s">
        <v>21</v>
      </c>
      <c r="D448" s="4" t="s">
        <v>21</v>
      </c>
    </row>
    <row r="449">
      <c r="A449" s="5">
        <v>44734.61572916667</v>
      </c>
      <c r="B449" s="4" t="s">
        <v>22</v>
      </c>
      <c r="C449" s="4" t="s">
        <v>21</v>
      </c>
      <c r="D449" s="4" t="s">
        <v>21</v>
      </c>
    </row>
    <row r="450">
      <c r="A450" s="5">
        <v>44734.621145833335</v>
      </c>
      <c r="B450" s="4" t="s">
        <v>22</v>
      </c>
      <c r="C450" s="4" t="s">
        <v>21</v>
      </c>
      <c r="D450" s="4" t="s">
        <v>21</v>
      </c>
    </row>
    <row r="451">
      <c r="A451" s="5">
        <v>44734.62149305556</v>
      </c>
      <c r="B451" s="4" t="s">
        <v>22</v>
      </c>
      <c r="C451" s="4" t="s">
        <v>21</v>
      </c>
      <c r="D451" s="4" t="s">
        <v>21</v>
      </c>
    </row>
    <row r="452">
      <c r="A452" s="5">
        <v>44735.58390046296</v>
      </c>
      <c r="B452" s="4" t="s">
        <v>22</v>
      </c>
      <c r="C452" s="4" t="s">
        <v>21</v>
      </c>
      <c r="D452" s="4" t="s">
        <v>21</v>
      </c>
    </row>
    <row r="453" hidden="1">
      <c r="A453" s="5">
        <v>44701.320497685185</v>
      </c>
      <c r="B453" s="4" t="s">
        <v>25</v>
      </c>
      <c r="C453" s="4" t="s">
        <v>21</v>
      </c>
      <c r="D453" s="4" t="s">
        <v>21</v>
      </c>
    </row>
    <row r="454">
      <c r="A454" s="5">
        <v>44459.363912037035</v>
      </c>
      <c r="B454" s="4" t="s">
        <v>22</v>
      </c>
      <c r="C454" s="4" t="s">
        <v>21</v>
      </c>
      <c r="D454" s="4" t="s">
        <v>21</v>
      </c>
    </row>
    <row r="455">
      <c r="A455" s="5">
        <v>44508.536574074074</v>
      </c>
      <c r="B455" s="4" t="s">
        <v>22</v>
      </c>
      <c r="C455" s="4" t="s">
        <v>21</v>
      </c>
      <c r="D455" s="4" t="s">
        <v>21</v>
      </c>
    </row>
    <row r="456">
      <c r="A456" s="5">
        <v>44511.593090277776</v>
      </c>
      <c r="B456" s="4" t="s">
        <v>22</v>
      </c>
      <c r="C456" s="4" t="s">
        <v>21</v>
      </c>
      <c r="D456" s="4" t="s">
        <v>21</v>
      </c>
    </row>
    <row r="457" hidden="1">
      <c r="A457" s="5">
        <v>44512.31055555555</v>
      </c>
      <c r="B457" s="4" t="s">
        <v>20</v>
      </c>
      <c r="C457" s="4" t="s">
        <v>21</v>
      </c>
      <c r="D457" s="4" t="s">
        <v>21</v>
      </c>
    </row>
    <row r="458">
      <c r="A458" s="5">
        <v>44518.44364583334</v>
      </c>
      <c r="B458" s="4" t="s">
        <v>22</v>
      </c>
      <c r="C458" s="4" t="s">
        <v>21</v>
      </c>
      <c r="D458" s="4" t="s">
        <v>21</v>
      </c>
    </row>
    <row r="459">
      <c r="A459" s="5">
        <v>44531.790925925925</v>
      </c>
      <c r="B459" s="4" t="s">
        <v>22</v>
      </c>
      <c r="C459" s="4" t="s">
        <v>21</v>
      </c>
      <c r="D459" s="4" t="s">
        <v>21</v>
      </c>
    </row>
    <row r="460">
      <c r="A460" s="5">
        <v>44539.55465277778</v>
      </c>
      <c r="B460" s="4" t="s">
        <v>22</v>
      </c>
      <c r="C460" s="4" t="s">
        <v>21</v>
      </c>
      <c r="D460" s="4" t="s">
        <v>21</v>
      </c>
    </row>
    <row r="461">
      <c r="A461" s="5">
        <v>44565.333402777775</v>
      </c>
      <c r="B461" s="4" t="s">
        <v>22</v>
      </c>
      <c r="C461" s="4" t="s">
        <v>23</v>
      </c>
      <c r="D461" s="4" t="s">
        <v>21</v>
      </c>
    </row>
    <row r="462" hidden="1">
      <c r="A462" s="5">
        <v>44578.380740740744</v>
      </c>
      <c r="B462" s="4" t="s">
        <v>20</v>
      </c>
      <c r="C462" s="4" t="s">
        <v>21</v>
      </c>
      <c r="D462" s="4" t="s">
        <v>21</v>
      </c>
    </row>
    <row r="463">
      <c r="A463" s="5">
        <v>44588.37267361111</v>
      </c>
      <c r="B463" s="4" t="s">
        <v>22</v>
      </c>
      <c r="C463" s="4" t="s">
        <v>21</v>
      </c>
      <c r="D463" s="4" t="s">
        <v>21</v>
      </c>
    </row>
    <row r="464">
      <c r="A464" s="5">
        <v>44588.376493055555</v>
      </c>
      <c r="B464" s="4" t="s">
        <v>22</v>
      </c>
      <c r="C464" s="4" t="s">
        <v>21</v>
      </c>
      <c r="D464" s="4" t="s">
        <v>21</v>
      </c>
    </row>
    <row r="465" hidden="1">
      <c r="A465" s="5">
        <v>44588.931967592594</v>
      </c>
      <c r="B465" s="4" t="s">
        <v>20</v>
      </c>
      <c r="C465" s="4" t="s">
        <v>21</v>
      </c>
      <c r="D465" s="4" t="s">
        <v>21</v>
      </c>
    </row>
    <row r="466" hidden="1">
      <c r="A466" s="5">
        <v>44588.93748842592</v>
      </c>
      <c r="B466" s="4" t="s">
        <v>20</v>
      </c>
      <c r="C466" s="4" t="s">
        <v>21</v>
      </c>
      <c r="D466" s="4" t="s">
        <v>21</v>
      </c>
    </row>
    <row r="467">
      <c r="A467" s="5">
        <v>44603.95438657407</v>
      </c>
      <c r="B467" s="4" t="s">
        <v>22</v>
      </c>
      <c r="C467" s="4" t="s">
        <v>21</v>
      </c>
      <c r="D467" s="4" t="s">
        <v>21</v>
      </c>
    </row>
    <row r="468" hidden="1">
      <c r="A468" s="5">
        <v>44610.748506944445</v>
      </c>
      <c r="B468" s="4" t="s">
        <v>20</v>
      </c>
      <c r="C468" s="4" t="s">
        <v>21</v>
      </c>
      <c r="D468" s="4" t="s">
        <v>21</v>
      </c>
    </row>
    <row r="469">
      <c r="A469" s="5">
        <v>44629.45259259259</v>
      </c>
      <c r="B469" s="4" t="s">
        <v>22</v>
      </c>
      <c r="C469" s="4" t="s">
        <v>21</v>
      </c>
      <c r="D469" s="4" t="s">
        <v>21</v>
      </c>
    </row>
    <row r="470">
      <c r="A470" s="5">
        <v>44637.616423611114</v>
      </c>
      <c r="B470" s="4" t="s">
        <v>22</v>
      </c>
      <c r="C470" s="4" t="s">
        <v>21</v>
      </c>
      <c r="D470" s="4" t="s">
        <v>21</v>
      </c>
    </row>
    <row r="471">
      <c r="A471" s="5">
        <v>44657.48096064815</v>
      </c>
      <c r="B471" s="4" t="s">
        <v>22</v>
      </c>
      <c r="C471" s="4" t="s">
        <v>21</v>
      </c>
      <c r="D471" s="4" t="s">
        <v>21</v>
      </c>
    </row>
    <row r="472">
      <c r="A472" s="5">
        <v>44657.52193287037</v>
      </c>
      <c r="B472" s="4" t="s">
        <v>22</v>
      </c>
      <c r="C472" s="4" t="s">
        <v>21</v>
      </c>
      <c r="D472" s="4" t="s">
        <v>21</v>
      </c>
    </row>
    <row r="473">
      <c r="A473" s="5">
        <v>44658.63380787037</v>
      </c>
      <c r="B473" s="4" t="s">
        <v>22</v>
      </c>
      <c r="C473" s="4" t="s">
        <v>21</v>
      </c>
      <c r="D473" s="4" t="s">
        <v>21</v>
      </c>
    </row>
    <row r="474">
      <c r="A474" s="5">
        <v>44670.50261574074</v>
      </c>
      <c r="B474" s="4" t="s">
        <v>22</v>
      </c>
      <c r="C474" s="4" t="s">
        <v>21</v>
      </c>
      <c r="D474" s="4" t="s">
        <v>21</v>
      </c>
    </row>
    <row r="475" hidden="1">
      <c r="A475" s="5">
        <v>44678.48978009259</v>
      </c>
      <c r="B475" s="4" t="s">
        <v>20</v>
      </c>
      <c r="C475" s="4" t="s">
        <v>21</v>
      </c>
      <c r="D475" s="4" t="s">
        <v>21</v>
      </c>
    </row>
    <row r="476">
      <c r="A476" s="5">
        <v>44687.36900462963</v>
      </c>
      <c r="B476" s="4" t="s">
        <v>22</v>
      </c>
      <c r="C476" s="4" t="s">
        <v>21</v>
      </c>
      <c r="D476" s="4" t="s">
        <v>21</v>
      </c>
    </row>
    <row r="477">
      <c r="A477" s="5">
        <v>44692.38214120371</v>
      </c>
      <c r="B477" s="4" t="s">
        <v>22</v>
      </c>
      <c r="C477" s="4" t="s">
        <v>21</v>
      </c>
      <c r="D477" s="4" t="s">
        <v>21</v>
      </c>
    </row>
    <row r="478">
      <c r="A478" s="5">
        <v>44701.42533564815</v>
      </c>
      <c r="B478" s="4" t="s">
        <v>22</v>
      </c>
      <c r="C478" s="4" t="s">
        <v>21</v>
      </c>
      <c r="D478" s="4" t="s">
        <v>21</v>
      </c>
    </row>
    <row r="479">
      <c r="A479" s="5">
        <v>44725.22988425926</v>
      </c>
      <c r="B479" s="4" t="s">
        <v>22</v>
      </c>
      <c r="C479" s="4" t="s">
        <v>21</v>
      </c>
      <c r="D479" s="4" t="s">
        <v>21</v>
      </c>
    </row>
    <row r="480" hidden="1">
      <c r="A480" s="5">
        <v>44725.3459375</v>
      </c>
      <c r="B480" s="4" t="s">
        <v>25</v>
      </c>
      <c r="C480" s="4" t="s">
        <v>21</v>
      </c>
      <c r="D480" s="4" t="s">
        <v>21</v>
      </c>
    </row>
    <row r="481">
      <c r="A481" s="5">
        <v>44637.66903935185</v>
      </c>
      <c r="B481" s="4" t="s">
        <v>22</v>
      </c>
      <c r="C481" s="4" t="s">
        <v>21</v>
      </c>
      <c r="D481" s="4" t="s">
        <v>21</v>
      </c>
    </row>
    <row r="482">
      <c r="A482" s="5">
        <v>44519.64394675926</v>
      </c>
      <c r="B482" s="4" t="s">
        <v>22</v>
      </c>
      <c r="C482" s="4" t="s">
        <v>21</v>
      </c>
      <c r="D482" s="4" t="s">
        <v>21</v>
      </c>
    </row>
    <row r="483">
      <c r="A483" s="5">
        <v>44663.6397337963</v>
      </c>
      <c r="B483" s="4" t="s">
        <v>22</v>
      </c>
      <c r="C483" s="4" t="s">
        <v>21</v>
      </c>
      <c r="D483" s="4" t="s">
        <v>21</v>
      </c>
    </row>
    <row r="484">
      <c r="A484" s="5">
        <v>44663.692291666666</v>
      </c>
      <c r="B484" s="4" t="s">
        <v>22</v>
      </c>
      <c r="C484" s="4" t="s">
        <v>21</v>
      </c>
      <c r="D484" s="4" t="s">
        <v>21</v>
      </c>
    </row>
    <row r="485">
      <c r="A485" s="5">
        <v>44663.70042824074</v>
      </c>
      <c r="B485" s="4" t="s">
        <v>22</v>
      </c>
      <c r="C485" s="4" t="s">
        <v>21</v>
      </c>
      <c r="D485" s="4" t="s">
        <v>21</v>
      </c>
    </row>
    <row r="486">
      <c r="A486" s="5">
        <v>44698.54381944444</v>
      </c>
      <c r="B486" s="4" t="s">
        <v>22</v>
      </c>
      <c r="C486" s="4" t="s">
        <v>21</v>
      </c>
      <c r="D486" s="4" t="s">
        <v>21</v>
      </c>
    </row>
    <row r="487">
      <c r="A487" s="5">
        <v>44698.5652662037</v>
      </c>
      <c r="B487" s="4" t="s">
        <v>22</v>
      </c>
      <c r="C487" s="4" t="s">
        <v>21</v>
      </c>
      <c r="D487" s="4" t="s">
        <v>21</v>
      </c>
    </row>
    <row r="488">
      <c r="A488" s="5">
        <v>44704.62946759259</v>
      </c>
      <c r="B488" s="4" t="s">
        <v>22</v>
      </c>
      <c r="C488" s="4" t="s">
        <v>21</v>
      </c>
      <c r="D488" s="4" t="s">
        <v>21</v>
      </c>
    </row>
    <row r="489">
      <c r="A489" s="5">
        <v>44719.623148148145</v>
      </c>
      <c r="B489" s="4" t="s">
        <v>22</v>
      </c>
      <c r="C489" s="4" t="s">
        <v>21</v>
      </c>
      <c r="D489" s="4" t="s">
        <v>21</v>
      </c>
    </row>
    <row r="490">
      <c r="A490" s="5">
        <v>44394.63528935185</v>
      </c>
      <c r="B490" s="4" t="s">
        <v>22</v>
      </c>
      <c r="C490" s="4" t="s">
        <v>21</v>
      </c>
      <c r="D490" s="4" t="s">
        <v>21</v>
      </c>
    </row>
    <row r="491">
      <c r="A491" s="5">
        <v>44441.52185185185</v>
      </c>
      <c r="B491" s="4" t="s">
        <v>22</v>
      </c>
      <c r="C491" s="4" t="s">
        <v>21</v>
      </c>
      <c r="D491" s="4" t="s">
        <v>21</v>
      </c>
    </row>
    <row r="492">
      <c r="A492" s="5">
        <v>44523.48353009259</v>
      </c>
      <c r="B492" s="4" t="s">
        <v>22</v>
      </c>
      <c r="C492" s="4" t="s">
        <v>21</v>
      </c>
      <c r="D492" s="4" t="s">
        <v>21</v>
      </c>
    </row>
    <row r="493">
      <c r="A493" s="5">
        <v>44663.35592592593</v>
      </c>
      <c r="B493" s="4" t="s">
        <v>22</v>
      </c>
      <c r="C493" s="4" t="s">
        <v>21</v>
      </c>
      <c r="D493" s="4" t="s">
        <v>21</v>
      </c>
    </row>
    <row r="494">
      <c r="A494" s="5">
        <v>44543.89144675926</v>
      </c>
      <c r="B494" s="4" t="s">
        <v>22</v>
      </c>
      <c r="C494" s="4" t="s">
        <v>21</v>
      </c>
      <c r="D494" s="4" t="s">
        <v>21</v>
      </c>
    </row>
    <row r="495">
      <c r="A495" s="5">
        <v>44467.447847222225</v>
      </c>
      <c r="B495" s="4" t="s">
        <v>22</v>
      </c>
      <c r="C495" s="4" t="s">
        <v>21</v>
      </c>
      <c r="D495" s="4" t="s">
        <v>21</v>
      </c>
    </row>
    <row r="496">
      <c r="A496" s="5">
        <v>44525.42592592593</v>
      </c>
      <c r="B496" s="4" t="s">
        <v>22</v>
      </c>
      <c r="C496" s="4" t="s">
        <v>21</v>
      </c>
      <c r="D496" s="4" t="s">
        <v>21</v>
      </c>
    </row>
    <row r="497">
      <c r="A497" s="5">
        <v>44480.05019675926</v>
      </c>
      <c r="B497" s="4" t="s">
        <v>22</v>
      </c>
      <c r="C497" s="4" t="s">
        <v>21</v>
      </c>
      <c r="D497" s="4" t="s">
        <v>21</v>
      </c>
    </row>
    <row r="498">
      <c r="A498" s="5">
        <v>44264.47335648148</v>
      </c>
      <c r="B498" s="4" t="s">
        <v>27</v>
      </c>
      <c r="C498" s="4" t="s">
        <v>21</v>
      </c>
      <c r="D498" s="4" t="s">
        <v>21</v>
      </c>
    </row>
    <row r="499" hidden="1">
      <c r="A499" s="5">
        <v>44137.867314814815</v>
      </c>
      <c r="B499" s="4" t="s">
        <v>28</v>
      </c>
      <c r="C499" s="4" t="s">
        <v>21</v>
      </c>
      <c r="D499" s="4" t="s">
        <v>21</v>
      </c>
    </row>
    <row r="500">
      <c r="A500" s="5">
        <v>44274.13695601852</v>
      </c>
      <c r="B500" s="4" t="s">
        <v>27</v>
      </c>
      <c r="C500" s="4" t="s">
        <v>21</v>
      </c>
      <c r="D500" s="4" t="s">
        <v>21</v>
      </c>
    </row>
    <row r="501">
      <c r="A501" s="5">
        <v>44231.4184375</v>
      </c>
      <c r="B501" s="4" t="s">
        <v>27</v>
      </c>
      <c r="C501" s="4" t="s">
        <v>21</v>
      </c>
      <c r="D501" s="4" t="s">
        <v>21</v>
      </c>
    </row>
    <row r="502">
      <c r="A502" s="5">
        <v>44116.53461805556</v>
      </c>
      <c r="B502" s="4" t="s">
        <v>27</v>
      </c>
      <c r="C502" s="4" t="s">
        <v>21</v>
      </c>
      <c r="D502" s="4" t="s">
        <v>21</v>
      </c>
    </row>
    <row r="503">
      <c r="A503" s="5">
        <v>44266.563206018516</v>
      </c>
      <c r="B503" s="4" t="s">
        <v>27</v>
      </c>
      <c r="C503" s="4" t="s">
        <v>21</v>
      </c>
      <c r="D503" s="4" t="s">
        <v>21</v>
      </c>
    </row>
    <row r="504">
      <c r="A504" s="5">
        <v>44103.60344907407</v>
      </c>
      <c r="B504" s="4" t="s">
        <v>27</v>
      </c>
      <c r="C504" s="4" t="s">
        <v>21</v>
      </c>
      <c r="D504" s="4" t="s">
        <v>21</v>
      </c>
    </row>
    <row r="505">
      <c r="A505" s="5">
        <v>44293.86105324074</v>
      </c>
      <c r="B505" s="4" t="s">
        <v>27</v>
      </c>
      <c r="C505" s="4" t="s">
        <v>21</v>
      </c>
      <c r="D505" s="4" t="s">
        <v>21</v>
      </c>
    </row>
    <row r="506">
      <c r="A506" s="5">
        <v>44209.56334490741</v>
      </c>
      <c r="B506" s="4" t="s">
        <v>27</v>
      </c>
      <c r="C506" s="4" t="s">
        <v>21</v>
      </c>
      <c r="D506" s="4" t="s">
        <v>21</v>
      </c>
    </row>
    <row r="507">
      <c r="A507" s="5">
        <v>44105.46145833333</v>
      </c>
      <c r="B507" s="4" t="s">
        <v>27</v>
      </c>
      <c r="C507" s="4" t="s">
        <v>21</v>
      </c>
      <c r="D507" s="4" t="s">
        <v>21</v>
      </c>
    </row>
    <row r="508">
      <c r="A508" s="5">
        <v>44138.70230324074</v>
      </c>
      <c r="B508" s="4" t="s">
        <v>27</v>
      </c>
      <c r="C508" s="4" t="s">
        <v>21</v>
      </c>
      <c r="D508" s="4" t="s">
        <v>21</v>
      </c>
    </row>
    <row r="509">
      <c r="A509" s="5">
        <v>44190.1544212963</v>
      </c>
      <c r="B509" s="4" t="s">
        <v>27</v>
      </c>
      <c r="C509" s="4" t="s">
        <v>23</v>
      </c>
      <c r="D509" s="4" t="s">
        <v>21</v>
      </c>
    </row>
    <row r="510">
      <c r="A510" s="5">
        <v>44244.310381944444</v>
      </c>
      <c r="B510" s="4" t="s">
        <v>27</v>
      </c>
      <c r="C510" s="4" t="s">
        <v>21</v>
      </c>
      <c r="D510" s="4" t="s">
        <v>21</v>
      </c>
    </row>
    <row r="511">
      <c r="A511" s="5">
        <v>44271.384722222225</v>
      </c>
      <c r="B511" s="4" t="s">
        <v>27</v>
      </c>
      <c r="C511" s="4" t="s">
        <v>21</v>
      </c>
      <c r="D511" s="4" t="s">
        <v>21</v>
      </c>
    </row>
    <row r="512">
      <c r="A512" s="5">
        <v>44284.38381944445</v>
      </c>
      <c r="B512" s="4" t="s">
        <v>27</v>
      </c>
      <c r="C512" s="4" t="s">
        <v>21</v>
      </c>
      <c r="D512" s="4" t="s">
        <v>21</v>
      </c>
    </row>
    <row r="513">
      <c r="A513" s="5">
        <v>44306.75568287037</v>
      </c>
      <c r="B513" s="4" t="s">
        <v>27</v>
      </c>
      <c r="C513" s="4" t="s">
        <v>21</v>
      </c>
      <c r="D513" s="4" t="s">
        <v>21</v>
      </c>
    </row>
    <row r="514">
      <c r="A514" s="5">
        <v>44326.418217592596</v>
      </c>
      <c r="B514" s="4" t="s">
        <v>27</v>
      </c>
      <c r="C514" s="4" t="s">
        <v>21</v>
      </c>
      <c r="D514" s="4" t="s">
        <v>21</v>
      </c>
    </row>
    <row r="515">
      <c r="A515" s="5">
        <v>44372.385243055556</v>
      </c>
      <c r="B515" s="4" t="s">
        <v>27</v>
      </c>
      <c r="C515" s="4" t="s">
        <v>21</v>
      </c>
      <c r="D515" s="4" t="s">
        <v>21</v>
      </c>
    </row>
    <row r="516" hidden="1">
      <c r="A516" s="5">
        <v>44375.33888888889</v>
      </c>
      <c r="B516" s="4" t="s">
        <v>29</v>
      </c>
      <c r="C516" s="4" t="s">
        <v>21</v>
      </c>
      <c r="D516" s="4" t="s">
        <v>21</v>
      </c>
    </row>
    <row r="517" hidden="1">
      <c r="A517" s="5">
        <v>44375.347083333334</v>
      </c>
      <c r="B517" s="4" t="s">
        <v>29</v>
      </c>
      <c r="C517" s="4" t="s">
        <v>21</v>
      </c>
      <c r="D517" s="4" t="s">
        <v>21</v>
      </c>
    </row>
    <row r="518">
      <c r="A518" s="5">
        <v>44174.82440972222</v>
      </c>
      <c r="B518" s="4" t="s">
        <v>27</v>
      </c>
      <c r="C518" s="4" t="s">
        <v>21</v>
      </c>
      <c r="D518" s="4" t="s">
        <v>21</v>
      </c>
    </row>
    <row r="519">
      <c r="A519" s="5">
        <v>44251.647997685184</v>
      </c>
      <c r="B519" s="4" t="s">
        <v>27</v>
      </c>
      <c r="C519" s="4" t="s">
        <v>21</v>
      </c>
      <c r="D519" s="4" t="s">
        <v>21</v>
      </c>
    </row>
    <row r="520">
      <c r="A520" s="5">
        <v>44110.93696759259</v>
      </c>
      <c r="B520" s="4" t="s">
        <v>27</v>
      </c>
      <c r="C520" s="4" t="s">
        <v>21</v>
      </c>
      <c r="D520" s="4" t="s">
        <v>21</v>
      </c>
    </row>
    <row r="521">
      <c r="A521" s="5">
        <v>44114.625972222224</v>
      </c>
      <c r="B521" s="4" t="s">
        <v>27</v>
      </c>
      <c r="C521" s="4" t="s">
        <v>21</v>
      </c>
      <c r="D521" s="4" t="s">
        <v>21</v>
      </c>
    </row>
    <row r="522">
      <c r="A522" s="5">
        <v>44246.4037962963</v>
      </c>
      <c r="B522" s="4" t="s">
        <v>27</v>
      </c>
      <c r="C522" s="4" t="s">
        <v>21</v>
      </c>
      <c r="D522" s="4" t="s">
        <v>21</v>
      </c>
    </row>
    <row r="523">
      <c r="A523" s="5">
        <v>44250.417546296296</v>
      </c>
      <c r="B523" s="4" t="s">
        <v>27</v>
      </c>
      <c r="C523" s="4" t="s">
        <v>21</v>
      </c>
      <c r="D523" s="4" t="s">
        <v>21</v>
      </c>
    </row>
    <row r="524">
      <c r="A524" s="5">
        <v>44250.875601851854</v>
      </c>
      <c r="B524" s="4" t="s">
        <v>27</v>
      </c>
      <c r="C524" s="4" t="s">
        <v>21</v>
      </c>
      <c r="D524" s="4" t="s">
        <v>21</v>
      </c>
    </row>
    <row r="525">
      <c r="A525" s="5">
        <v>44259.4590625</v>
      </c>
      <c r="B525" s="4" t="s">
        <v>27</v>
      </c>
      <c r="C525" s="4" t="s">
        <v>21</v>
      </c>
      <c r="D525" s="4" t="s">
        <v>21</v>
      </c>
    </row>
    <row r="526">
      <c r="A526" s="5">
        <v>44265.38964120371</v>
      </c>
      <c r="B526" s="4" t="s">
        <v>27</v>
      </c>
      <c r="C526" s="4" t="s">
        <v>21</v>
      </c>
      <c r="D526" s="4" t="s">
        <v>21</v>
      </c>
    </row>
    <row r="527">
      <c r="A527" s="5">
        <v>44277.731944444444</v>
      </c>
      <c r="B527" s="4" t="s">
        <v>27</v>
      </c>
      <c r="C527" s="4" t="s">
        <v>21</v>
      </c>
      <c r="D527" s="4" t="s">
        <v>21</v>
      </c>
    </row>
    <row r="528">
      <c r="A528" s="5">
        <v>44296.34116898148</v>
      </c>
      <c r="B528" s="4" t="s">
        <v>27</v>
      </c>
      <c r="C528" s="4" t="s">
        <v>21</v>
      </c>
      <c r="D528" s="4" t="s">
        <v>21</v>
      </c>
    </row>
    <row r="529">
      <c r="A529" s="5">
        <v>44299.3212037037</v>
      </c>
      <c r="B529" s="4" t="s">
        <v>27</v>
      </c>
      <c r="C529" s="4" t="s">
        <v>21</v>
      </c>
      <c r="D529" s="4" t="s">
        <v>21</v>
      </c>
    </row>
    <row r="530">
      <c r="A530" s="5">
        <v>44146.27128472222</v>
      </c>
      <c r="B530" s="4" t="s">
        <v>27</v>
      </c>
      <c r="C530" s="4" t="s">
        <v>21</v>
      </c>
      <c r="D530" s="4" t="s">
        <v>21</v>
      </c>
    </row>
    <row r="531">
      <c r="A531" s="5">
        <v>44139.35466435185</v>
      </c>
      <c r="B531" s="4" t="s">
        <v>27</v>
      </c>
      <c r="C531" s="4" t="s">
        <v>21</v>
      </c>
      <c r="D531" s="4" t="s">
        <v>21</v>
      </c>
    </row>
    <row r="532">
      <c r="A532" s="5">
        <v>44265.30743055556</v>
      </c>
      <c r="B532" s="4" t="s">
        <v>27</v>
      </c>
      <c r="C532" s="4" t="s">
        <v>21</v>
      </c>
      <c r="D532" s="4" t="s">
        <v>21</v>
      </c>
    </row>
    <row r="533">
      <c r="A533" s="5">
        <v>44257.202048611114</v>
      </c>
      <c r="B533" s="4" t="s">
        <v>27</v>
      </c>
      <c r="C533" s="4" t="s">
        <v>21</v>
      </c>
      <c r="D533" s="4" t="s">
        <v>21</v>
      </c>
    </row>
    <row r="534">
      <c r="A534" s="5">
        <v>44274.42085648148</v>
      </c>
      <c r="B534" s="4" t="s">
        <v>27</v>
      </c>
      <c r="C534" s="4" t="s">
        <v>21</v>
      </c>
      <c r="D534" s="4" t="s">
        <v>21</v>
      </c>
    </row>
    <row r="535">
      <c r="A535" s="5">
        <v>44132.95584490741</v>
      </c>
      <c r="B535" s="4" t="s">
        <v>27</v>
      </c>
      <c r="C535" s="4" t="s">
        <v>21</v>
      </c>
      <c r="D535" s="4" t="s">
        <v>21</v>
      </c>
    </row>
    <row r="536">
      <c r="A536" s="5">
        <v>44299.77793981481</v>
      </c>
      <c r="B536" s="4" t="s">
        <v>27</v>
      </c>
      <c r="C536" s="4" t="s">
        <v>21</v>
      </c>
      <c r="D536" s="4" t="s">
        <v>21</v>
      </c>
    </row>
    <row r="537">
      <c r="A537" s="5">
        <v>44217.459965277776</v>
      </c>
      <c r="B537" s="4" t="s">
        <v>27</v>
      </c>
      <c r="C537" s="4" t="s">
        <v>21</v>
      </c>
      <c r="D537" s="4" t="s">
        <v>21</v>
      </c>
    </row>
    <row r="538">
      <c r="A538" s="5">
        <v>44169.33383101852</v>
      </c>
      <c r="B538" s="4" t="s">
        <v>27</v>
      </c>
      <c r="C538" s="4" t="s">
        <v>21</v>
      </c>
      <c r="D538" s="4" t="s">
        <v>21</v>
      </c>
    </row>
    <row r="539">
      <c r="A539" s="5">
        <v>44274.3621875</v>
      </c>
      <c r="B539" s="4" t="s">
        <v>27</v>
      </c>
      <c r="C539" s="4" t="s">
        <v>21</v>
      </c>
      <c r="D539" s="4" t="s">
        <v>21</v>
      </c>
    </row>
    <row r="540">
      <c r="A540" s="5">
        <v>44165.634884259256</v>
      </c>
      <c r="B540" s="4" t="s">
        <v>27</v>
      </c>
      <c r="C540" s="4" t="s">
        <v>21</v>
      </c>
      <c r="D540" s="4" t="s">
        <v>21</v>
      </c>
    </row>
    <row r="541">
      <c r="A541" s="5">
        <v>44111.57340277778</v>
      </c>
      <c r="B541" s="4" t="s">
        <v>27</v>
      </c>
      <c r="C541" s="4" t="s">
        <v>21</v>
      </c>
      <c r="D541" s="4" t="s">
        <v>21</v>
      </c>
    </row>
    <row r="542">
      <c r="A542" s="5">
        <v>44091.116006944445</v>
      </c>
      <c r="B542" s="4" t="s">
        <v>27</v>
      </c>
      <c r="C542" s="4" t="s">
        <v>21</v>
      </c>
      <c r="D542" s="4" t="s">
        <v>21</v>
      </c>
    </row>
    <row r="543">
      <c r="A543" s="5">
        <v>44111.388865740744</v>
      </c>
      <c r="B543" s="4" t="s">
        <v>27</v>
      </c>
      <c r="C543" s="4" t="s">
        <v>21</v>
      </c>
      <c r="D543" s="4" t="s">
        <v>21</v>
      </c>
    </row>
    <row r="544">
      <c r="A544" s="5">
        <v>44111.599594907406</v>
      </c>
      <c r="B544" s="4" t="s">
        <v>27</v>
      </c>
      <c r="C544" s="4" t="s">
        <v>21</v>
      </c>
      <c r="D544" s="4" t="s">
        <v>21</v>
      </c>
    </row>
    <row r="545">
      <c r="A545" s="5">
        <v>44116.565474537034</v>
      </c>
      <c r="B545" s="4" t="s">
        <v>27</v>
      </c>
      <c r="C545" s="4" t="s">
        <v>21</v>
      </c>
      <c r="D545" s="4" t="s">
        <v>21</v>
      </c>
    </row>
    <row r="546">
      <c r="A546" s="5">
        <v>44218.50744212963</v>
      </c>
      <c r="B546" s="4" t="s">
        <v>27</v>
      </c>
      <c r="C546" s="4" t="s">
        <v>21</v>
      </c>
      <c r="D546" s="4" t="s">
        <v>21</v>
      </c>
    </row>
    <row r="547">
      <c r="A547" s="5">
        <v>44235.3090625</v>
      </c>
      <c r="B547" s="4" t="s">
        <v>27</v>
      </c>
      <c r="C547" s="4" t="s">
        <v>21</v>
      </c>
      <c r="D547" s="4" t="s">
        <v>21</v>
      </c>
    </row>
    <row r="548">
      <c r="A548" s="5">
        <v>44326.56361111111</v>
      </c>
      <c r="B548" s="4" t="s">
        <v>27</v>
      </c>
      <c r="C548" s="4" t="s">
        <v>21</v>
      </c>
      <c r="D548" s="4" t="s">
        <v>21</v>
      </c>
    </row>
    <row r="549">
      <c r="A549" s="5">
        <v>44138.33864583333</v>
      </c>
      <c r="B549" s="4" t="s">
        <v>27</v>
      </c>
      <c r="C549" s="4" t="s">
        <v>21</v>
      </c>
      <c r="D549" s="4" t="s">
        <v>21</v>
      </c>
    </row>
    <row r="550">
      <c r="A550" s="5">
        <v>44182.58997685185</v>
      </c>
      <c r="B550" s="4" t="s">
        <v>27</v>
      </c>
      <c r="C550" s="4" t="s">
        <v>21</v>
      </c>
      <c r="D550" s="4" t="s">
        <v>21</v>
      </c>
    </row>
    <row r="551">
      <c r="A551" s="5">
        <v>44225.84519675926</v>
      </c>
      <c r="B551" s="4" t="s">
        <v>27</v>
      </c>
      <c r="C551" s="4" t="s">
        <v>21</v>
      </c>
      <c r="D551" s="4" t="s">
        <v>21</v>
      </c>
    </row>
    <row r="552">
      <c r="A552" s="5">
        <v>44249.5287962963</v>
      </c>
      <c r="B552" s="4" t="s">
        <v>27</v>
      </c>
      <c r="C552" s="4" t="s">
        <v>21</v>
      </c>
      <c r="D552" s="4" t="s">
        <v>21</v>
      </c>
    </row>
    <row r="553">
      <c r="A553" s="5">
        <v>44114.4225</v>
      </c>
      <c r="B553" s="4" t="s">
        <v>27</v>
      </c>
      <c r="C553" s="4" t="s">
        <v>21</v>
      </c>
      <c r="D553" s="4" t="s">
        <v>21</v>
      </c>
    </row>
    <row r="554">
      <c r="A554" s="5">
        <v>44210.11976851852</v>
      </c>
      <c r="B554" s="4" t="s">
        <v>27</v>
      </c>
      <c r="C554" s="4" t="s">
        <v>21</v>
      </c>
      <c r="D554" s="4" t="s">
        <v>21</v>
      </c>
    </row>
    <row r="555">
      <c r="A555" s="5">
        <v>44351.777719907404</v>
      </c>
      <c r="B555" s="4" t="s">
        <v>27</v>
      </c>
      <c r="C555" s="4" t="s">
        <v>21</v>
      </c>
      <c r="D555" s="4" t="s">
        <v>21</v>
      </c>
    </row>
    <row r="556">
      <c r="A556" s="5">
        <v>44091.28204861111</v>
      </c>
      <c r="B556" s="4" t="s">
        <v>27</v>
      </c>
      <c r="C556" s="4" t="s">
        <v>21</v>
      </c>
      <c r="D556" s="4" t="s">
        <v>21</v>
      </c>
    </row>
    <row r="557">
      <c r="A557" s="5">
        <v>44266.62099537037</v>
      </c>
      <c r="B557" s="4" t="s">
        <v>27</v>
      </c>
      <c r="C557" s="4" t="s">
        <v>21</v>
      </c>
      <c r="D557" s="4" t="s">
        <v>21</v>
      </c>
    </row>
    <row r="558">
      <c r="A558" s="5">
        <v>44266.624398148146</v>
      </c>
      <c r="B558" s="4" t="s">
        <v>27</v>
      </c>
      <c r="C558" s="4" t="s">
        <v>21</v>
      </c>
      <c r="D558" s="4" t="s">
        <v>21</v>
      </c>
    </row>
    <row r="559">
      <c r="A559" s="5">
        <v>44267.72922453703</v>
      </c>
      <c r="B559" s="4" t="s">
        <v>27</v>
      </c>
      <c r="C559" s="4" t="s">
        <v>21</v>
      </c>
      <c r="D559" s="4" t="s">
        <v>21</v>
      </c>
    </row>
    <row r="560">
      <c r="A560" s="5">
        <v>44370.32833333333</v>
      </c>
      <c r="B560" s="4" t="s">
        <v>27</v>
      </c>
      <c r="C560" s="4" t="s">
        <v>21</v>
      </c>
      <c r="D560" s="4" t="s">
        <v>21</v>
      </c>
    </row>
    <row r="561">
      <c r="A561" s="5">
        <v>44161.43759259259</v>
      </c>
      <c r="B561" s="4" t="s">
        <v>27</v>
      </c>
      <c r="C561" s="4" t="s">
        <v>21</v>
      </c>
      <c r="D561" s="4" t="s">
        <v>21</v>
      </c>
    </row>
    <row r="562">
      <c r="A562" s="5">
        <v>44216.66730324074</v>
      </c>
      <c r="B562" s="4" t="s">
        <v>27</v>
      </c>
      <c r="C562" s="4" t="s">
        <v>21</v>
      </c>
      <c r="D562" s="4" t="s">
        <v>21</v>
      </c>
    </row>
    <row r="563">
      <c r="A563" s="5">
        <v>44139.054131944446</v>
      </c>
      <c r="B563" s="4" t="s">
        <v>27</v>
      </c>
      <c r="C563" s="4" t="s">
        <v>21</v>
      </c>
      <c r="D563" s="4" t="s">
        <v>21</v>
      </c>
    </row>
    <row r="564">
      <c r="A564" s="5">
        <v>44095.478993055556</v>
      </c>
      <c r="B564" s="4" t="s">
        <v>27</v>
      </c>
      <c r="C564" s="4" t="s">
        <v>21</v>
      </c>
      <c r="D564" s="4" t="s">
        <v>21</v>
      </c>
    </row>
    <row r="565">
      <c r="A565" s="5">
        <v>44357.455625</v>
      </c>
      <c r="B565" s="4" t="s">
        <v>27</v>
      </c>
      <c r="C565" s="4" t="s">
        <v>21</v>
      </c>
      <c r="D565" s="4" t="s">
        <v>21</v>
      </c>
    </row>
    <row r="566">
      <c r="A566" s="5">
        <v>44097.40744212963</v>
      </c>
      <c r="B566" s="4" t="s">
        <v>27</v>
      </c>
      <c r="C566" s="4" t="s">
        <v>21</v>
      </c>
      <c r="D566" s="4" t="s">
        <v>21</v>
      </c>
    </row>
    <row r="567">
      <c r="A567" s="5">
        <v>44117.29204861111</v>
      </c>
      <c r="B567" s="4" t="s">
        <v>27</v>
      </c>
      <c r="C567" s="4" t="s">
        <v>21</v>
      </c>
      <c r="D567" s="4" t="s">
        <v>21</v>
      </c>
    </row>
    <row r="568">
      <c r="A568" s="5">
        <v>44148.632199074076</v>
      </c>
      <c r="B568" s="4" t="s">
        <v>27</v>
      </c>
      <c r="C568" s="4" t="s">
        <v>21</v>
      </c>
      <c r="D568" s="4" t="s">
        <v>21</v>
      </c>
    </row>
    <row r="569">
      <c r="A569" s="5">
        <v>44250.3644212963</v>
      </c>
      <c r="B569" s="4" t="s">
        <v>27</v>
      </c>
      <c r="C569" s="4" t="s">
        <v>21</v>
      </c>
      <c r="D569" s="4" t="s">
        <v>21</v>
      </c>
    </row>
    <row r="570">
      <c r="A570" s="5">
        <v>44270.84074074074</v>
      </c>
      <c r="B570" s="4" t="s">
        <v>27</v>
      </c>
      <c r="C570" s="4" t="s">
        <v>21</v>
      </c>
      <c r="D570" s="4" t="s">
        <v>21</v>
      </c>
    </row>
    <row r="571">
      <c r="A571" s="5">
        <v>44291.54157407407</v>
      </c>
      <c r="B571" s="4" t="s">
        <v>27</v>
      </c>
      <c r="C571" s="4" t="s">
        <v>21</v>
      </c>
      <c r="D571" s="4" t="s">
        <v>21</v>
      </c>
    </row>
    <row r="572">
      <c r="A572" s="5">
        <v>44041.42046296296</v>
      </c>
      <c r="B572" s="4" t="s">
        <v>27</v>
      </c>
      <c r="C572" s="4" t="s">
        <v>21</v>
      </c>
      <c r="D572" s="4" t="s">
        <v>21</v>
      </c>
    </row>
    <row r="573">
      <c r="A573" s="5">
        <v>44207.421319444446</v>
      </c>
      <c r="B573" s="4" t="s">
        <v>27</v>
      </c>
      <c r="C573" s="4" t="s">
        <v>21</v>
      </c>
      <c r="D573" s="4" t="s">
        <v>21</v>
      </c>
    </row>
    <row r="574" hidden="1">
      <c r="A574" s="5">
        <v>44322.33592592592</v>
      </c>
      <c r="B574" s="4" t="s">
        <v>29</v>
      </c>
      <c r="C574" s="4" t="s">
        <v>21</v>
      </c>
      <c r="D574" s="4" t="s">
        <v>21</v>
      </c>
    </row>
    <row r="575">
      <c r="A575" s="5">
        <v>44311.35799768518</v>
      </c>
      <c r="B575" s="4" t="s">
        <v>27</v>
      </c>
      <c r="C575" s="4" t="s">
        <v>21</v>
      </c>
      <c r="D575" s="4" t="s">
        <v>21</v>
      </c>
    </row>
    <row r="576">
      <c r="A576" s="5">
        <v>44321.66111111111</v>
      </c>
      <c r="B576" s="4" t="s">
        <v>27</v>
      </c>
      <c r="C576" s="4" t="s">
        <v>21</v>
      </c>
      <c r="D576" s="4" t="s">
        <v>21</v>
      </c>
    </row>
    <row r="577">
      <c r="A577" s="5">
        <v>44266.60988425926</v>
      </c>
      <c r="B577" s="4" t="s">
        <v>27</v>
      </c>
      <c r="C577" s="4" t="s">
        <v>21</v>
      </c>
      <c r="D577" s="4" t="s">
        <v>21</v>
      </c>
    </row>
    <row r="578">
      <c r="A578" s="5">
        <v>44349.22001157407</v>
      </c>
      <c r="B578" s="4" t="s">
        <v>27</v>
      </c>
      <c r="C578" s="4" t="s">
        <v>21</v>
      </c>
      <c r="D578" s="4" t="s">
        <v>21</v>
      </c>
    </row>
    <row r="579">
      <c r="A579" s="5">
        <v>44252.60061342592</v>
      </c>
      <c r="B579" s="4" t="s">
        <v>27</v>
      </c>
      <c r="C579" s="4" t="s">
        <v>21</v>
      </c>
      <c r="D579" s="4" t="s">
        <v>21</v>
      </c>
    </row>
    <row r="580">
      <c r="A580" s="5">
        <v>44119.29180555556</v>
      </c>
      <c r="B580" s="4" t="s">
        <v>27</v>
      </c>
      <c r="C580" s="4" t="s">
        <v>21</v>
      </c>
      <c r="D580" s="4" t="s">
        <v>21</v>
      </c>
    </row>
    <row r="581">
      <c r="A581" s="5">
        <v>44145.34516203704</v>
      </c>
      <c r="B581" s="4" t="s">
        <v>27</v>
      </c>
      <c r="C581" s="4" t="s">
        <v>21</v>
      </c>
      <c r="D581" s="4" t="s">
        <v>21</v>
      </c>
    </row>
    <row r="582">
      <c r="A582" s="5">
        <v>44217.58023148148</v>
      </c>
      <c r="B582" s="4" t="s">
        <v>27</v>
      </c>
      <c r="C582" s="4" t="s">
        <v>21</v>
      </c>
      <c r="D582" s="4" t="s">
        <v>21</v>
      </c>
    </row>
    <row r="583">
      <c r="A583" s="5">
        <v>44218.64571759259</v>
      </c>
      <c r="B583" s="4" t="s">
        <v>27</v>
      </c>
      <c r="C583" s="4" t="s">
        <v>21</v>
      </c>
      <c r="D583" s="4" t="s">
        <v>21</v>
      </c>
    </row>
    <row r="584">
      <c r="A584" s="5">
        <v>44218.68987268519</v>
      </c>
      <c r="B584" s="4" t="s">
        <v>27</v>
      </c>
      <c r="C584" s="4" t="s">
        <v>21</v>
      </c>
      <c r="D584" s="4" t="s">
        <v>21</v>
      </c>
    </row>
    <row r="585">
      <c r="A585" s="5">
        <v>44228.22969907407</v>
      </c>
      <c r="B585" s="4" t="s">
        <v>27</v>
      </c>
      <c r="C585" s="4" t="s">
        <v>21</v>
      </c>
      <c r="D585" s="4" t="s">
        <v>21</v>
      </c>
    </row>
    <row r="586">
      <c r="A586" s="5">
        <v>44326.382268518515</v>
      </c>
      <c r="B586" s="4" t="s">
        <v>27</v>
      </c>
      <c r="C586" s="4" t="s">
        <v>21</v>
      </c>
      <c r="D586" s="4" t="s">
        <v>21</v>
      </c>
    </row>
    <row r="587">
      <c r="A587" s="5">
        <v>44274.6709837963</v>
      </c>
      <c r="B587" s="4" t="s">
        <v>27</v>
      </c>
      <c r="C587" s="4" t="s">
        <v>21</v>
      </c>
      <c r="D587" s="4" t="s">
        <v>21</v>
      </c>
    </row>
    <row r="588">
      <c r="A588" s="5">
        <v>44183.596863425926</v>
      </c>
      <c r="B588" s="4" t="s">
        <v>27</v>
      </c>
      <c r="C588" s="4" t="s">
        <v>21</v>
      </c>
      <c r="D588" s="4" t="s">
        <v>21</v>
      </c>
    </row>
    <row r="589">
      <c r="A589" s="5">
        <v>44319.63400462963</v>
      </c>
      <c r="B589" s="4" t="s">
        <v>27</v>
      </c>
      <c r="C589" s="4" t="s">
        <v>21</v>
      </c>
      <c r="D589" s="4" t="s">
        <v>21</v>
      </c>
    </row>
    <row r="590">
      <c r="A590" s="5">
        <v>44019.58431712963</v>
      </c>
      <c r="B590" s="4" t="s">
        <v>27</v>
      </c>
      <c r="C590" s="4" t="s">
        <v>21</v>
      </c>
      <c r="D590" s="4" t="s">
        <v>21</v>
      </c>
    </row>
    <row r="591">
      <c r="A591" s="5">
        <v>44022.591215277775</v>
      </c>
      <c r="B591" s="4" t="s">
        <v>27</v>
      </c>
      <c r="C591" s="4" t="s">
        <v>21</v>
      </c>
      <c r="D591" s="4" t="s">
        <v>21</v>
      </c>
    </row>
    <row r="592">
      <c r="A592" s="5">
        <v>44077.82496527778</v>
      </c>
      <c r="B592" s="4" t="s">
        <v>27</v>
      </c>
      <c r="C592" s="4" t="s">
        <v>21</v>
      </c>
      <c r="D592" s="4" t="s">
        <v>21</v>
      </c>
    </row>
    <row r="593">
      <c r="A593" s="5">
        <v>44172.388344907406</v>
      </c>
      <c r="B593" s="4" t="s">
        <v>27</v>
      </c>
      <c r="C593" s="4" t="s">
        <v>21</v>
      </c>
      <c r="D593" s="4" t="s">
        <v>21</v>
      </c>
    </row>
    <row r="594" hidden="1">
      <c r="A594" s="5">
        <v>44175.841782407406</v>
      </c>
      <c r="B594" s="4" t="s">
        <v>29</v>
      </c>
      <c r="C594" s="4" t="s">
        <v>21</v>
      </c>
      <c r="D594" s="4" t="s">
        <v>21</v>
      </c>
    </row>
    <row r="595">
      <c r="A595" s="5">
        <v>44186.63748842593</v>
      </c>
      <c r="B595" s="4" t="s">
        <v>27</v>
      </c>
      <c r="C595" s="4" t="s">
        <v>21</v>
      </c>
      <c r="D595" s="4" t="s">
        <v>21</v>
      </c>
    </row>
    <row r="596">
      <c r="A596" s="5">
        <v>44209.60493055556</v>
      </c>
      <c r="B596" s="4" t="s">
        <v>27</v>
      </c>
      <c r="C596" s="4" t="s">
        <v>21</v>
      </c>
      <c r="D596" s="4" t="s">
        <v>21</v>
      </c>
    </row>
    <row r="597">
      <c r="A597" s="5">
        <v>44228.63253472222</v>
      </c>
      <c r="B597" s="4" t="s">
        <v>27</v>
      </c>
      <c r="C597" s="4" t="s">
        <v>21</v>
      </c>
      <c r="D597" s="4" t="s">
        <v>21</v>
      </c>
    </row>
    <row r="598">
      <c r="A598" s="5">
        <v>44232.01054398148</v>
      </c>
      <c r="B598" s="4" t="s">
        <v>27</v>
      </c>
      <c r="C598" s="4" t="s">
        <v>21</v>
      </c>
      <c r="D598" s="4" t="s">
        <v>21</v>
      </c>
    </row>
    <row r="599">
      <c r="A599" s="5">
        <v>44235.68824074074</v>
      </c>
      <c r="B599" s="4" t="s">
        <v>27</v>
      </c>
      <c r="C599" s="4" t="s">
        <v>21</v>
      </c>
      <c r="D599" s="4" t="s">
        <v>21</v>
      </c>
    </row>
    <row r="600">
      <c r="A600" s="5">
        <v>44237.79211805556</v>
      </c>
      <c r="B600" s="4" t="s">
        <v>27</v>
      </c>
      <c r="C600" s="4" t="s">
        <v>21</v>
      </c>
      <c r="D600" s="4" t="s">
        <v>21</v>
      </c>
    </row>
    <row r="601">
      <c r="A601" s="5">
        <v>44245.81701388889</v>
      </c>
      <c r="B601" s="4" t="s">
        <v>27</v>
      </c>
      <c r="C601" s="4" t="s">
        <v>21</v>
      </c>
      <c r="D601" s="4" t="s">
        <v>21</v>
      </c>
    </row>
    <row r="602">
      <c r="A602" s="5">
        <v>44249.696284722224</v>
      </c>
      <c r="B602" s="4" t="s">
        <v>27</v>
      </c>
      <c r="C602" s="4" t="s">
        <v>21</v>
      </c>
      <c r="D602" s="4" t="s">
        <v>21</v>
      </c>
    </row>
    <row r="603">
      <c r="A603" s="5">
        <v>44258.93809027778</v>
      </c>
      <c r="B603" s="4" t="s">
        <v>27</v>
      </c>
      <c r="C603" s="4" t="s">
        <v>21</v>
      </c>
      <c r="D603" s="4" t="s">
        <v>21</v>
      </c>
    </row>
    <row r="604">
      <c r="A604" s="5">
        <v>44280.18104166666</v>
      </c>
      <c r="B604" s="4" t="s">
        <v>27</v>
      </c>
      <c r="C604" s="4" t="s">
        <v>21</v>
      </c>
      <c r="D604" s="4" t="s">
        <v>21</v>
      </c>
    </row>
    <row r="605">
      <c r="A605" s="5">
        <v>44302.84722222222</v>
      </c>
      <c r="B605" s="4" t="s">
        <v>27</v>
      </c>
      <c r="C605" s="4" t="s">
        <v>21</v>
      </c>
      <c r="D605" s="4" t="s">
        <v>21</v>
      </c>
    </row>
    <row r="606">
      <c r="A606" s="5">
        <v>44306.621342592596</v>
      </c>
      <c r="B606" s="4" t="s">
        <v>27</v>
      </c>
      <c r="C606" s="4" t="s">
        <v>21</v>
      </c>
      <c r="D606" s="4" t="s">
        <v>21</v>
      </c>
    </row>
    <row r="607">
      <c r="A607" s="5">
        <v>44313.703194444446</v>
      </c>
      <c r="B607" s="4" t="s">
        <v>27</v>
      </c>
      <c r="C607" s="4" t="s">
        <v>21</v>
      </c>
      <c r="D607" s="4" t="s">
        <v>21</v>
      </c>
    </row>
    <row r="608" hidden="1">
      <c r="A608" s="5">
        <v>44316.05295138889</v>
      </c>
      <c r="B608" s="4" t="s">
        <v>29</v>
      </c>
      <c r="C608" s="4" t="s">
        <v>21</v>
      </c>
      <c r="D608" s="4" t="s">
        <v>21</v>
      </c>
    </row>
    <row r="609">
      <c r="A609" s="5">
        <v>44323.335023148145</v>
      </c>
      <c r="B609" s="4" t="s">
        <v>27</v>
      </c>
      <c r="C609" s="4" t="s">
        <v>21</v>
      </c>
      <c r="D609" s="4" t="s">
        <v>21</v>
      </c>
    </row>
    <row r="610">
      <c r="A610" s="5">
        <v>44348.232777777775</v>
      </c>
      <c r="B610" s="4" t="s">
        <v>27</v>
      </c>
      <c r="C610" s="4" t="s">
        <v>21</v>
      </c>
      <c r="D610" s="4" t="s">
        <v>21</v>
      </c>
    </row>
    <row r="611">
      <c r="A611" s="5">
        <v>44239.36243055556</v>
      </c>
      <c r="B611" s="4" t="s">
        <v>27</v>
      </c>
      <c r="C611" s="4" t="s">
        <v>21</v>
      </c>
      <c r="D611" s="4" t="s">
        <v>23</v>
      </c>
    </row>
    <row r="612" hidden="1">
      <c r="A612" s="5">
        <v>44335.7133912037</v>
      </c>
      <c r="B612" s="4" t="s">
        <v>29</v>
      </c>
      <c r="C612" s="4" t="s">
        <v>21</v>
      </c>
      <c r="D612" s="4" t="s">
        <v>21</v>
      </c>
    </row>
    <row r="613">
      <c r="A613" s="5">
        <v>44237.79960648148</v>
      </c>
      <c r="B613" s="4" t="s">
        <v>27</v>
      </c>
      <c r="C613" s="4" t="s">
        <v>21</v>
      </c>
      <c r="D613" s="4" t="s">
        <v>21</v>
      </c>
    </row>
    <row r="614">
      <c r="A614" s="5">
        <v>44307.36275462963</v>
      </c>
      <c r="B614" s="4" t="s">
        <v>27</v>
      </c>
      <c r="C614" s="4" t="s">
        <v>21</v>
      </c>
      <c r="D614" s="4" t="s">
        <v>21</v>
      </c>
    </row>
    <row r="615">
      <c r="A615" s="5">
        <v>44162.96894675926</v>
      </c>
      <c r="B615" s="4" t="s">
        <v>27</v>
      </c>
      <c r="C615" s="4" t="s">
        <v>21</v>
      </c>
      <c r="D615" s="4" t="s">
        <v>21</v>
      </c>
    </row>
    <row r="616">
      <c r="A616" s="5">
        <v>44313.522731481484</v>
      </c>
      <c r="B616" s="4" t="s">
        <v>27</v>
      </c>
      <c r="C616" s="4" t="s">
        <v>21</v>
      </c>
      <c r="D616" s="4" t="s">
        <v>21</v>
      </c>
    </row>
    <row r="617">
      <c r="A617" s="5">
        <v>44244.68802083333</v>
      </c>
      <c r="B617" s="4" t="s">
        <v>27</v>
      </c>
      <c r="C617" s="4" t="s">
        <v>21</v>
      </c>
      <c r="D617" s="4" t="s">
        <v>21</v>
      </c>
    </row>
    <row r="618">
      <c r="A618" s="5">
        <v>44356.24256944445</v>
      </c>
      <c r="B618" s="4" t="s">
        <v>27</v>
      </c>
      <c r="C618" s="4" t="s">
        <v>21</v>
      </c>
      <c r="D618" s="4" t="s">
        <v>21</v>
      </c>
    </row>
    <row r="619">
      <c r="A619" s="5">
        <v>44222.03113425926</v>
      </c>
      <c r="B619" s="4" t="s">
        <v>27</v>
      </c>
      <c r="C619" s="4" t="s">
        <v>21</v>
      </c>
      <c r="D619" s="4" t="s">
        <v>21</v>
      </c>
    </row>
    <row r="620">
      <c r="A620" s="5">
        <v>44201.948333333334</v>
      </c>
      <c r="B620" s="4" t="s">
        <v>27</v>
      </c>
      <c r="C620" s="4" t="s">
        <v>23</v>
      </c>
      <c r="D620" s="4" t="s">
        <v>21</v>
      </c>
    </row>
    <row r="621">
      <c r="A621" s="5">
        <v>44109.3134375</v>
      </c>
      <c r="B621" s="4" t="s">
        <v>27</v>
      </c>
      <c r="C621" s="4" t="s">
        <v>21</v>
      </c>
      <c r="D621" s="4" t="s">
        <v>21</v>
      </c>
    </row>
    <row r="622">
      <c r="A622" s="5">
        <v>44109.31363425926</v>
      </c>
      <c r="B622" s="4" t="s">
        <v>27</v>
      </c>
      <c r="C622" s="4" t="s">
        <v>21</v>
      </c>
      <c r="D622" s="4" t="s">
        <v>21</v>
      </c>
    </row>
    <row r="623">
      <c r="A623" s="5">
        <v>44109.31384259259</v>
      </c>
      <c r="B623" s="4" t="s">
        <v>27</v>
      </c>
      <c r="C623" s="4" t="s">
        <v>21</v>
      </c>
      <c r="D623" s="4" t="s">
        <v>21</v>
      </c>
    </row>
    <row r="624">
      <c r="A624" s="5">
        <v>44109.314050925925</v>
      </c>
      <c r="B624" s="4" t="s">
        <v>27</v>
      </c>
      <c r="C624" s="4" t="s">
        <v>21</v>
      </c>
      <c r="D624" s="4" t="s">
        <v>21</v>
      </c>
    </row>
    <row r="625">
      <c r="A625" s="5">
        <v>44109.382523148146</v>
      </c>
      <c r="B625" s="4" t="s">
        <v>27</v>
      </c>
      <c r="C625" s="4" t="s">
        <v>21</v>
      </c>
      <c r="D625" s="4" t="s">
        <v>21</v>
      </c>
    </row>
    <row r="626">
      <c r="A626" s="5">
        <v>44265.67037037037</v>
      </c>
      <c r="B626" s="4" t="s">
        <v>27</v>
      </c>
      <c r="C626" s="4" t="s">
        <v>21</v>
      </c>
      <c r="D626" s="4" t="s">
        <v>21</v>
      </c>
    </row>
    <row r="627">
      <c r="A627" s="5">
        <v>44265.67055555555</v>
      </c>
      <c r="B627" s="4" t="s">
        <v>27</v>
      </c>
      <c r="C627" s="4" t="s">
        <v>21</v>
      </c>
      <c r="D627" s="4" t="s">
        <v>21</v>
      </c>
    </row>
    <row r="628">
      <c r="A628" s="5">
        <v>44265.67077546296</v>
      </c>
      <c r="B628" s="4" t="s">
        <v>27</v>
      </c>
      <c r="C628" s="4" t="s">
        <v>21</v>
      </c>
      <c r="D628" s="4" t="s">
        <v>21</v>
      </c>
    </row>
    <row r="629">
      <c r="A629" s="5">
        <v>44265.6709837963</v>
      </c>
      <c r="B629" s="4" t="s">
        <v>27</v>
      </c>
      <c r="C629" s="4" t="s">
        <v>21</v>
      </c>
      <c r="D629" s="4" t="s">
        <v>21</v>
      </c>
    </row>
    <row r="630">
      <c r="A630" s="5">
        <v>44265.67119212963</v>
      </c>
      <c r="B630" s="4" t="s">
        <v>27</v>
      </c>
      <c r="C630" s="4" t="s">
        <v>21</v>
      </c>
      <c r="D630" s="4" t="s">
        <v>21</v>
      </c>
    </row>
    <row r="631">
      <c r="A631" s="5">
        <v>44265.67144675926</v>
      </c>
      <c r="B631" s="4" t="s">
        <v>27</v>
      </c>
      <c r="C631" s="4" t="s">
        <v>21</v>
      </c>
      <c r="D631" s="4" t="s">
        <v>21</v>
      </c>
    </row>
    <row r="632">
      <c r="A632" s="5">
        <v>44265.67167824074</v>
      </c>
      <c r="B632" s="4" t="s">
        <v>27</v>
      </c>
      <c r="C632" s="4" t="s">
        <v>21</v>
      </c>
      <c r="D632" s="4" t="s">
        <v>21</v>
      </c>
    </row>
    <row r="633">
      <c r="A633" s="5">
        <v>44265.671875</v>
      </c>
      <c r="B633" s="4" t="s">
        <v>27</v>
      </c>
      <c r="C633" s="4" t="s">
        <v>21</v>
      </c>
      <c r="D633" s="4" t="s">
        <v>21</v>
      </c>
    </row>
    <row r="634">
      <c r="A634" s="5">
        <v>44265.67207175926</v>
      </c>
      <c r="B634" s="4" t="s">
        <v>27</v>
      </c>
      <c r="C634" s="4" t="s">
        <v>21</v>
      </c>
      <c r="D634" s="4" t="s">
        <v>21</v>
      </c>
    </row>
    <row r="635">
      <c r="A635" s="5">
        <v>44265.67225694445</v>
      </c>
      <c r="B635" s="4" t="s">
        <v>27</v>
      </c>
      <c r="C635" s="4" t="s">
        <v>21</v>
      </c>
      <c r="D635" s="4" t="s">
        <v>21</v>
      </c>
    </row>
    <row r="636">
      <c r="A636" s="5">
        <v>44265.67244212963</v>
      </c>
      <c r="B636" s="4" t="s">
        <v>27</v>
      </c>
      <c r="C636" s="4" t="s">
        <v>21</v>
      </c>
      <c r="D636" s="4" t="s">
        <v>21</v>
      </c>
    </row>
    <row r="637">
      <c r="A637" s="5">
        <v>44265.672638888886</v>
      </c>
      <c r="B637" s="4" t="s">
        <v>27</v>
      </c>
      <c r="C637" s="4" t="s">
        <v>21</v>
      </c>
      <c r="D637" s="4" t="s">
        <v>21</v>
      </c>
    </row>
    <row r="638">
      <c r="A638" s="5">
        <v>44265.67283564815</v>
      </c>
      <c r="B638" s="4" t="s">
        <v>27</v>
      </c>
      <c r="C638" s="4" t="s">
        <v>21</v>
      </c>
      <c r="D638" s="4" t="s">
        <v>21</v>
      </c>
    </row>
    <row r="639">
      <c r="A639" s="5">
        <v>44265.67302083333</v>
      </c>
      <c r="B639" s="4" t="s">
        <v>27</v>
      </c>
      <c r="C639" s="4" t="s">
        <v>21</v>
      </c>
      <c r="D639" s="4" t="s">
        <v>21</v>
      </c>
    </row>
    <row r="640">
      <c r="A640" s="5">
        <v>44265.67322916666</v>
      </c>
      <c r="B640" s="4" t="s">
        <v>27</v>
      </c>
      <c r="C640" s="4" t="s">
        <v>21</v>
      </c>
      <c r="D640" s="4" t="s">
        <v>21</v>
      </c>
    </row>
    <row r="641">
      <c r="A641" s="5">
        <v>44265.67340277778</v>
      </c>
      <c r="B641" s="4" t="s">
        <v>27</v>
      </c>
      <c r="C641" s="4" t="s">
        <v>21</v>
      </c>
      <c r="D641" s="4" t="s">
        <v>21</v>
      </c>
    </row>
    <row r="642">
      <c r="A642" s="5">
        <v>44265.67358796296</v>
      </c>
      <c r="B642" s="4" t="s">
        <v>27</v>
      </c>
      <c r="C642" s="4" t="s">
        <v>21</v>
      </c>
      <c r="D642" s="4" t="s">
        <v>21</v>
      </c>
    </row>
    <row r="643">
      <c r="A643" s="5">
        <v>44266.433912037035</v>
      </c>
      <c r="B643" s="4" t="s">
        <v>27</v>
      </c>
      <c r="C643" s="4" t="s">
        <v>21</v>
      </c>
      <c r="D643" s="4" t="s">
        <v>21</v>
      </c>
    </row>
    <row r="644">
      <c r="A644" s="5">
        <v>44270.692465277774</v>
      </c>
      <c r="B644" s="4" t="s">
        <v>27</v>
      </c>
      <c r="C644" s="4" t="s">
        <v>21</v>
      </c>
      <c r="D644" s="4" t="s">
        <v>21</v>
      </c>
    </row>
    <row r="645">
      <c r="A645" s="5">
        <v>44270.69263888889</v>
      </c>
      <c r="B645" s="4" t="s">
        <v>27</v>
      </c>
      <c r="C645" s="4" t="s">
        <v>21</v>
      </c>
      <c r="D645" s="4" t="s">
        <v>21</v>
      </c>
    </row>
    <row r="646">
      <c r="A646" s="5">
        <v>44270.6928125</v>
      </c>
      <c r="B646" s="4" t="s">
        <v>27</v>
      </c>
      <c r="C646" s="4" t="s">
        <v>21</v>
      </c>
      <c r="D646" s="4" t="s">
        <v>21</v>
      </c>
    </row>
    <row r="647">
      <c r="A647" s="5">
        <v>44295.5919212963</v>
      </c>
      <c r="B647" s="4" t="s">
        <v>27</v>
      </c>
      <c r="C647" s="4" t="s">
        <v>21</v>
      </c>
      <c r="D647" s="4" t="s">
        <v>21</v>
      </c>
    </row>
    <row r="648">
      <c r="A648" s="5">
        <v>44118.70537037037</v>
      </c>
      <c r="B648" s="4" t="s">
        <v>27</v>
      </c>
      <c r="C648" s="4" t="s">
        <v>21</v>
      </c>
      <c r="D648" s="4" t="s">
        <v>21</v>
      </c>
    </row>
    <row r="649">
      <c r="A649" s="5">
        <v>44208.58243055556</v>
      </c>
      <c r="B649" s="4" t="s">
        <v>27</v>
      </c>
      <c r="C649" s="4" t="s">
        <v>21</v>
      </c>
      <c r="D649" s="4" t="s">
        <v>21</v>
      </c>
    </row>
    <row r="650">
      <c r="A650" s="5">
        <v>44048.5184375</v>
      </c>
      <c r="B650" s="4" t="s">
        <v>27</v>
      </c>
      <c r="C650" s="4" t="s">
        <v>21</v>
      </c>
      <c r="D650" s="4" t="s">
        <v>21</v>
      </c>
    </row>
    <row r="651">
      <c r="A651" s="5">
        <v>44092.291921296295</v>
      </c>
      <c r="B651" s="4" t="s">
        <v>27</v>
      </c>
      <c r="C651" s="4" t="s">
        <v>21</v>
      </c>
      <c r="D651" s="4" t="s">
        <v>21</v>
      </c>
    </row>
    <row r="652">
      <c r="A652" s="5">
        <v>44095.38903935185</v>
      </c>
      <c r="B652" s="4" t="s">
        <v>27</v>
      </c>
      <c r="C652" s="4" t="s">
        <v>21</v>
      </c>
      <c r="D652" s="4" t="s">
        <v>21</v>
      </c>
    </row>
    <row r="653">
      <c r="A653" s="5">
        <v>44098.513090277775</v>
      </c>
      <c r="B653" s="4" t="s">
        <v>27</v>
      </c>
      <c r="C653" s="4" t="s">
        <v>21</v>
      </c>
      <c r="D653" s="4" t="s">
        <v>21</v>
      </c>
    </row>
    <row r="654">
      <c r="A654" s="5">
        <v>44098.513553240744</v>
      </c>
      <c r="B654" s="4" t="s">
        <v>27</v>
      </c>
      <c r="C654" s="4" t="s">
        <v>21</v>
      </c>
      <c r="D654" s="4" t="s">
        <v>21</v>
      </c>
    </row>
    <row r="655">
      <c r="A655" s="5">
        <v>44104.523125</v>
      </c>
      <c r="B655" s="4" t="s">
        <v>27</v>
      </c>
      <c r="C655" s="4" t="s">
        <v>21</v>
      </c>
      <c r="D655" s="4" t="s">
        <v>21</v>
      </c>
    </row>
    <row r="656">
      <c r="A656" s="5">
        <v>44130.66587962963</v>
      </c>
      <c r="B656" s="4" t="s">
        <v>27</v>
      </c>
      <c r="C656" s="4" t="s">
        <v>21</v>
      </c>
      <c r="D656" s="4" t="s">
        <v>21</v>
      </c>
    </row>
    <row r="657">
      <c r="A657" s="5">
        <v>44165.382835648146</v>
      </c>
      <c r="B657" s="4" t="s">
        <v>27</v>
      </c>
      <c r="C657" s="4" t="s">
        <v>21</v>
      </c>
      <c r="D657" s="4" t="s">
        <v>21</v>
      </c>
    </row>
    <row r="658">
      <c r="A658" s="5">
        <v>44166.646527777775</v>
      </c>
      <c r="B658" s="4" t="s">
        <v>27</v>
      </c>
      <c r="C658" s="4" t="s">
        <v>21</v>
      </c>
      <c r="D658" s="4" t="s">
        <v>21</v>
      </c>
    </row>
    <row r="659">
      <c r="A659" s="5">
        <v>44168.661307870374</v>
      </c>
      <c r="B659" s="4" t="s">
        <v>27</v>
      </c>
      <c r="C659" s="4" t="s">
        <v>21</v>
      </c>
      <c r="D659" s="4" t="s">
        <v>21</v>
      </c>
    </row>
    <row r="660">
      <c r="A660" s="5">
        <v>44182.588217592594</v>
      </c>
      <c r="B660" s="4" t="s">
        <v>27</v>
      </c>
      <c r="C660" s="4" t="s">
        <v>21</v>
      </c>
      <c r="D660" s="4" t="s">
        <v>21</v>
      </c>
    </row>
    <row r="661">
      <c r="A661" s="5">
        <v>44229.67427083333</v>
      </c>
      <c r="B661" s="4" t="s">
        <v>27</v>
      </c>
      <c r="C661" s="4" t="s">
        <v>21</v>
      </c>
      <c r="D661" s="4" t="s">
        <v>21</v>
      </c>
    </row>
    <row r="662">
      <c r="A662" s="5">
        <v>44256.600173611114</v>
      </c>
      <c r="B662" s="4" t="s">
        <v>27</v>
      </c>
      <c r="C662" s="4" t="s">
        <v>21</v>
      </c>
      <c r="D662" s="4" t="s">
        <v>21</v>
      </c>
    </row>
    <row r="663">
      <c r="A663" s="5">
        <v>44265.99122685185</v>
      </c>
      <c r="B663" s="4" t="s">
        <v>27</v>
      </c>
      <c r="C663" s="4" t="s">
        <v>21</v>
      </c>
      <c r="D663" s="4" t="s">
        <v>21</v>
      </c>
    </row>
    <row r="664">
      <c r="A664" s="5">
        <v>44266.73</v>
      </c>
      <c r="B664" s="4" t="s">
        <v>27</v>
      </c>
      <c r="C664" s="4" t="s">
        <v>21</v>
      </c>
      <c r="D664" s="4" t="s">
        <v>21</v>
      </c>
    </row>
    <row r="665">
      <c r="A665" s="5">
        <v>44272.726793981485</v>
      </c>
      <c r="B665" s="4" t="s">
        <v>27</v>
      </c>
      <c r="C665" s="4" t="s">
        <v>21</v>
      </c>
      <c r="D665" s="4" t="s">
        <v>21</v>
      </c>
    </row>
    <row r="666">
      <c r="A666" s="5">
        <v>44279.664189814815</v>
      </c>
      <c r="B666" s="4" t="s">
        <v>27</v>
      </c>
      <c r="C666" s="4" t="s">
        <v>21</v>
      </c>
      <c r="D666" s="4" t="s">
        <v>21</v>
      </c>
    </row>
    <row r="667">
      <c r="A667" s="5">
        <v>44284.94509259259</v>
      </c>
      <c r="B667" s="4" t="s">
        <v>27</v>
      </c>
      <c r="C667" s="4" t="s">
        <v>21</v>
      </c>
      <c r="D667" s="4" t="s">
        <v>21</v>
      </c>
    </row>
    <row r="668" hidden="1">
      <c r="A668" s="5">
        <v>44288.091840277775</v>
      </c>
      <c r="B668" s="4" t="s">
        <v>29</v>
      </c>
      <c r="C668" s="4" t="s">
        <v>21</v>
      </c>
      <c r="D668" s="4" t="s">
        <v>21</v>
      </c>
    </row>
    <row r="669">
      <c r="A669" s="5">
        <v>44300.367106481484</v>
      </c>
      <c r="B669" s="4" t="s">
        <v>27</v>
      </c>
      <c r="C669" s="4" t="s">
        <v>21</v>
      </c>
      <c r="D669" s="4" t="s">
        <v>21</v>
      </c>
    </row>
    <row r="670">
      <c r="A670" s="5">
        <v>44300.915983796294</v>
      </c>
      <c r="B670" s="4" t="s">
        <v>27</v>
      </c>
      <c r="C670" s="4" t="s">
        <v>21</v>
      </c>
      <c r="D670" s="4" t="s">
        <v>21</v>
      </c>
    </row>
    <row r="671">
      <c r="A671" s="5">
        <v>44307.77244212963</v>
      </c>
      <c r="B671" s="4" t="s">
        <v>27</v>
      </c>
      <c r="C671" s="4" t="s">
        <v>21</v>
      </c>
      <c r="D671" s="4" t="s">
        <v>21</v>
      </c>
    </row>
    <row r="672">
      <c r="A672" s="5">
        <v>44308.453194444446</v>
      </c>
      <c r="B672" s="4" t="s">
        <v>27</v>
      </c>
      <c r="C672" s="4" t="s">
        <v>21</v>
      </c>
      <c r="D672" s="4" t="s">
        <v>21</v>
      </c>
    </row>
    <row r="673">
      <c r="A673" s="5">
        <v>44322.37021990741</v>
      </c>
      <c r="B673" s="4" t="s">
        <v>27</v>
      </c>
      <c r="C673" s="4" t="s">
        <v>21</v>
      </c>
      <c r="D673" s="4" t="s">
        <v>21</v>
      </c>
    </row>
    <row r="674">
      <c r="A674" s="5">
        <v>44329.74420138889</v>
      </c>
      <c r="B674" s="4" t="s">
        <v>27</v>
      </c>
      <c r="C674" s="4" t="s">
        <v>21</v>
      </c>
      <c r="D674" s="4" t="s">
        <v>21</v>
      </c>
    </row>
    <row r="675" hidden="1">
      <c r="A675" s="5">
        <v>44330.71472222222</v>
      </c>
      <c r="B675" s="4" t="s">
        <v>29</v>
      </c>
      <c r="C675" s="4" t="s">
        <v>21</v>
      </c>
      <c r="D675" s="4" t="s">
        <v>21</v>
      </c>
    </row>
    <row r="676" hidden="1">
      <c r="A676" s="5">
        <v>44334.22209490741</v>
      </c>
      <c r="B676" s="4" t="s">
        <v>29</v>
      </c>
      <c r="C676" s="4" t="s">
        <v>21</v>
      </c>
      <c r="D676" s="4" t="s">
        <v>21</v>
      </c>
    </row>
    <row r="677">
      <c r="A677" s="5">
        <v>44336.37774305556</v>
      </c>
      <c r="B677" s="4" t="s">
        <v>27</v>
      </c>
      <c r="C677" s="4" t="s">
        <v>21</v>
      </c>
      <c r="D677" s="4" t="s">
        <v>21</v>
      </c>
    </row>
    <row r="678">
      <c r="A678" s="5">
        <v>44358.31570601852</v>
      </c>
      <c r="B678" s="4" t="s">
        <v>27</v>
      </c>
      <c r="C678" s="4" t="s">
        <v>21</v>
      </c>
      <c r="D678" s="4" t="s">
        <v>21</v>
      </c>
    </row>
    <row r="679">
      <c r="A679" s="5">
        <v>44360.43585648148</v>
      </c>
      <c r="B679" s="4" t="s">
        <v>27</v>
      </c>
      <c r="C679" s="4" t="s">
        <v>21</v>
      </c>
      <c r="D679" s="4" t="s">
        <v>21</v>
      </c>
    </row>
    <row r="680">
      <c r="A680" s="5">
        <v>44365.50640046296</v>
      </c>
      <c r="B680" s="4" t="s">
        <v>27</v>
      </c>
      <c r="C680" s="4" t="s">
        <v>21</v>
      </c>
      <c r="D680" s="4" t="s">
        <v>21</v>
      </c>
    </row>
    <row r="681">
      <c r="A681" s="5">
        <v>44112.42196759259</v>
      </c>
      <c r="B681" s="4" t="s">
        <v>27</v>
      </c>
      <c r="C681" s="4" t="s">
        <v>21</v>
      </c>
      <c r="D681" s="4" t="s">
        <v>21</v>
      </c>
    </row>
    <row r="682">
      <c r="A682" s="5">
        <v>44125.595347222225</v>
      </c>
      <c r="B682" s="4" t="s">
        <v>27</v>
      </c>
      <c r="C682" s="4" t="s">
        <v>21</v>
      </c>
      <c r="D682" s="4" t="s">
        <v>21</v>
      </c>
    </row>
    <row r="683">
      <c r="A683" s="5">
        <v>44183.60140046296</v>
      </c>
      <c r="B683" s="4" t="s">
        <v>27</v>
      </c>
      <c r="C683" s="4" t="s">
        <v>21</v>
      </c>
      <c r="D683" s="4" t="s">
        <v>21</v>
      </c>
    </row>
    <row r="684">
      <c r="A684" s="5">
        <v>44292.38822916667</v>
      </c>
      <c r="B684" s="4" t="s">
        <v>27</v>
      </c>
      <c r="C684" s="4" t="s">
        <v>21</v>
      </c>
      <c r="D684" s="4" t="s">
        <v>21</v>
      </c>
    </row>
    <row r="685">
      <c r="A685" s="5">
        <v>44328.35962962963</v>
      </c>
      <c r="B685" s="4" t="s">
        <v>27</v>
      </c>
      <c r="C685" s="4" t="s">
        <v>21</v>
      </c>
      <c r="D685" s="4" t="s">
        <v>21</v>
      </c>
    </row>
    <row r="686">
      <c r="A686" s="5">
        <v>44342.62946759259</v>
      </c>
      <c r="B686" s="4" t="s">
        <v>27</v>
      </c>
      <c r="C686" s="4" t="s">
        <v>21</v>
      </c>
      <c r="D686" s="4" t="s">
        <v>21</v>
      </c>
    </row>
    <row r="687">
      <c r="A687" s="5">
        <v>44206.61849537037</v>
      </c>
      <c r="B687" s="4" t="s">
        <v>27</v>
      </c>
      <c r="C687" s="4" t="s">
        <v>21</v>
      </c>
      <c r="D687" s="4" t="s">
        <v>21</v>
      </c>
    </row>
    <row r="688">
      <c r="A688" s="5">
        <v>44223.03364583333</v>
      </c>
      <c r="B688" s="4" t="s">
        <v>27</v>
      </c>
      <c r="C688" s="4" t="s">
        <v>21</v>
      </c>
      <c r="D688" s="4" t="s">
        <v>21</v>
      </c>
    </row>
    <row r="689">
      <c r="A689" s="5">
        <v>44256.66693287037</v>
      </c>
      <c r="B689" s="4" t="s">
        <v>27</v>
      </c>
      <c r="C689" s="4" t="s">
        <v>21</v>
      </c>
      <c r="D689" s="4" t="s">
        <v>21</v>
      </c>
    </row>
    <row r="690">
      <c r="A690" s="5">
        <v>44285.70238425926</v>
      </c>
      <c r="B690" s="4" t="s">
        <v>27</v>
      </c>
      <c r="C690" s="4" t="s">
        <v>21</v>
      </c>
      <c r="D690" s="4" t="s">
        <v>21</v>
      </c>
    </row>
    <row r="691" hidden="1">
      <c r="A691" s="5">
        <v>44316.189467592594</v>
      </c>
      <c r="B691" s="4" t="s">
        <v>29</v>
      </c>
      <c r="C691" s="4" t="s">
        <v>21</v>
      </c>
      <c r="D691" s="4" t="s">
        <v>21</v>
      </c>
    </row>
    <row r="692">
      <c r="A692" s="5">
        <v>44356.347974537035</v>
      </c>
      <c r="B692" s="4" t="s">
        <v>27</v>
      </c>
      <c r="C692" s="4" t="s">
        <v>21</v>
      </c>
      <c r="D692" s="4" t="s">
        <v>21</v>
      </c>
    </row>
    <row r="693">
      <c r="A693" s="5">
        <v>44300.681655092594</v>
      </c>
      <c r="B693" s="4" t="s">
        <v>27</v>
      </c>
      <c r="C693" s="4" t="s">
        <v>21</v>
      </c>
      <c r="D693" s="4" t="s">
        <v>21</v>
      </c>
    </row>
    <row r="694">
      <c r="A694" s="5">
        <v>44209.16872685185</v>
      </c>
      <c r="B694" s="4" t="s">
        <v>27</v>
      </c>
      <c r="C694" s="4" t="s">
        <v>21</v>
      </c>
      <c r="D694" s="4" t="s">
        <v>21</v>
      </c>
    </row>
    <row r="695">
      <c r="A695" s="5">
        <v>44301.34349537037</v>
      </c>
      <c r="B695" s="4" t="s">
        <v>27</v>
      </c>
      <c r="C695" s="4" t="s">
        <v>21</v>
      </c>
      <c r="D695" s="4" t="s">
        <v>21</v>
      </c>
    </row>
    <row r="696">
      <c r="A696" s="5">
        <v>44151.744780092595</v>
      </c>
      <c r="B696" s="4" t="s">
        <v>27</v>
      </c>
      <c r="C696" s="4" t="s">
        <v>21</v>
      </c>
      <c r="D696" s="4" t="s">
        <v>21</v>
      </c>
    </row>
    <row r="697">
      <c r="A697" s="5">
        <v>44090.37596064815</v>
      </c>
      <c r="B697" s="4" t="s">
        <v>27</v>
      </c>
      <c r="C697" s="4" t="s">
        <v>21</v>
      </c>
      <c r="D697" s="4" t="s">
        <v>21</v>
      </c>
    </row>
    <row r="698">
      <c r="A698" s="5">
        <v>44186.49549768519</v>
      </c>
      <c r="B698" s="4" t="s">
        <v>27</v>
      </c>
      <c r="C698" s="4" t="s">
        <v>21</v>
      </c>
      <c r="D698" s="4" t="s">
        <v>21</v>
      </c>
    </row>
    <row r="699">
      <c r="A699" s="5">
        <v>44053.41888888889</v>
      </c>
      <c r="B699" s="4" t="s">
        <v>27</v>
      </c>
      <c r="C699" s="4" t="s">
        <v>21</v>
      </c>
      <c r="D699" s="4" t="s">
        <v>21</v>
      </c>
    </row>
    <row r="700">
      <c r="A700" s="5">
        <v>44098.51400462963</v>
      </c>
      <c r="B700" s="4" t="s">
        <v>27</v>
      </c>
      <c r="C700" s="4" t="s">
        <v>21</v>
      </c>
      <c r="D700" s="4" t="s">
        <v>21</v>
      </c>
    </row>
    <row r="701">
      <c r="A701" s="5">
        <v>44098.514872685184</v>
      </c>
      <c r="B701" s="4" t="s">
        <v>27</v>
      </c>
      <c r="C701" s="4" t="s">
        <v>21</v>
      </c>
      <c r="D701" s="4" t="s">
        <v>21</v>
      </c>
    </row>
    <row r="702">
      <c r="A702" s="5">
        <v>44161.410208333335</v>
      </c>
      <c r="B702" s="4" t="s">
        <v>27</v>
      </c>
      <c r="C702" s="4" t="s">
        <v>21</v>
      </c>
      <c r="D702" s="4" t="s">
        <v>21</v>
      </c>
    </row>
    <row r="703">
      <c r="A703" s="5">
        <v>44175.50780092592</v>
      </c>
      <c r="B703" s="4" t="s">
        <v>27</v>
      </c>
      <c r="C703" s="4" t="s">
        <v>21</v>
      </c>
      <c r="D703" s="4" t="s">
        <v>21</v>
      </c>
    </row>
    <row r="704">
      <c r="A704" s="5">
        <v>44175.51467592592</v>
      </c>
      <c r="B704" s="4" t="s">
        <v>27</v>
      </c>
      <c r="C704" s="4" t="s">
        <v>21</v>
      </c>
      <c r="D704" s="4" t="s">
        <v>21</v>
      </c>
    </row>
    <row r="705">
      <c r="A705" s="5">
        <v>44175.59789351852</v>
      </c>
      <c r="B705" s="4" t="s">
        <v>27</v>
      </c>
      <c r="C705" s="4" t="s">
        <v>21</v>
      </c>
      <c r="D705" s="4" t="s">
        <v>21</v>
      </c>
    </row>
    <row r="706">
      <c r="A706" s="5">
        <v>44176.362222222226</v>
      </c>
      <c r="B706" s="4" t="s">
        <v>27</v>
      </c>
      <c r="C706" s="4" t="s">
        <v>21</v>
      </c>
      <c r="D706" s="4" t="s">
        <v>21</v>
      </c>
    </row>
    <row r="707">
      <c r="A707" s="5">
        <v>44176.55642361111</v>
      </c>
      <c r="B707" s="4" t="s">
        <v>27</v>
      </c>
      <c r="C707" s="4" t="s">
        <v>21</v>
      </c>
      <c r="D707" s="4" t="s">
        <v>21</v>
      </c>
    </row>
    <row r="708">
      <c r="A708" s="5">
        <v>44181.0490625</v>
      </c>
      <c r="B708" s="4" t="s">
        <v>27</v>
      </c>
      <c r="C708" s="4" t="s">
        <v>21</v>
      </c>
      <c r="D708" s="4" t="s">
        <v>21</v>
      </c>
    </row>
    <row r="709">
      <c r="A709" s="5">
        <v>44181.45211805555</v>
      </c>
      <c r="B709" s="4" t="s">
        <v>27</v>
      </c>
      <c r="C709" s="4" t="s">
        <v>21</v>
      </c>
      <c r="D709" s="4" t="s">
        <v>21</v>
      </c>
    </row>
    <row r="710">
      <c r="A710" s="5">
        <v>44201.44552083333</v>
      </c>
      <c r="B710" s="4" t="s">
        <v>27</v>
      </c>
      <c r="C710" s="4" t="s">
        <v>23</v>
      </c>
      <c r="D710" s="4" t="s">
        <v>21</v>
      </c>
    </row>
    <row r="711">
      <c r="A711" s="5">
        <v>44201.57019675926</v>
      </c>
      <c r="B711" s="4" t="s">
        <v>27</v>
      </c>
      <c r="C711" s="4" t="s">
        <v>23</v>
      </c>
      <c r="D711" s="4" t="s">
        <v>21</v>
      </c>
    </row>
    <row r="712">
      <c r="A712" s="5">
        <v>44208.41768518519</v>
      </c>
      <c r="B712" s="4" t="s">
        <v>27</v>
      </c>
      <c r="C712" s="4" t="s">
        <v>21</v>
      </c>
      <c r="D712" s="4" t="s">
        <v>21</v>
      </c>
    </row>
    <row r="713">
      <c r="A713" s="5">
        <v>44216.3269212963</v>
      </c>
      <c r="B713" s="4" t="s">
        <v>27</v>
      </c>
      <c r="C713" s="4" t="s">
        <v>21</v>
      </c>
      <c r="D713" s="4" t="s">
        <v>21</v>
      </c>
    </row>
    <row r="714">
      <c r="A714" s="5">
        <v>44216.41079861111</v>
      </c>
      <c r="B714" s="4" t="s">
        <v>27</v>
      </c>
      <c r="C714" s="4" t="s">
        <v>21</v>
      </c>
      <c r="D714" s="4" t="s">
        <v>21</v>
      </c>
    </row>
    <row r="715">
      <c r="A715" s="5">
        <v>44217.369259259256</v>
      </c>
      <c r="B715" s="4" t="s">
        <v>27</v>
      </c>
      <c r="C715" s="4" t="s">
        <v>21</v>
      </c>
      <c r="D715" s="4" t="s">
        <v>21</v>
      </c>
    </row>
    <row r="716">
      <c r="A716" s="5">
        <v>44235.376076388886</v>
      </c>
      <c r="B716" s="4" t="s">
        <v>27</v>
      </c>
      <c r="C716" s="4" t="s">
        <v>21</v>
      </c>
      <c r="D716" s="4" t="s">
        <v>21</v>
      </c>
    </row>
    <row r="717">
      <c r="A717" s="5">
        <v>44235.722858796296</v>
      </c>
      <c r="B717" s="4" t="s">
        <v>27</v>
      </c>
      <c r="C717" s="4" t="s">
        <v>21</v>
      </c>
      <c r="D717" s="4" t="s">
        <v>21</v>
      </c>
    </row>
    <row r="718">
      <c r="A718" s="5">
        <v>44236.425578703704</v>
      </c>
      <c r="B718" s="4" t="s">
        <v>27</v>
      </c>
      <c r="C718" s="4" t="s">
        <v>21</v>
      </c>
      <c r="D718" s="4" t="s">
        <v>21</v>
      </c>
    </row>
    <row r="719">
      <c r="A719" s="5">
        <v>44272.68341435185</v>
      </c>
      <c r="B719" s="4" t="s">
        <v>27</v>
      </c>
      <c r="C719" s="4" t="s">
        <v>21</v>
      </c>
      <c r="D719" s="4" t="s">
        <v>21</v>
      </c>
    </row>
    <row r="720">
      <c r="A720" s="5">
        <v>44286.419537037036</v>
      </c>
      <c r="B720" s="4" t="s">
        <v>27</v>
      </c>
      <c r="C720" s="4" t="s">
        <v>21</v>
      </c>
      <c r="D720" s="4" t="s">
        <v>21</v>
      </c>
    </row>
    <row r="721">
      <c r="A721" s="5">
        <v>44292.340995370374</v>
      </c>
      <c r="B721" s="4" t="s">
        <v>27</v>
      </c>
      <c r="C721" s="4" t="s">
        <v>21</v>
      </c>
      <c r="D721" s="4" t="s">
        <v>21</v>
      </c>
    </row>
    <row r="722">
      <c r="A722" s="5">
        <v>44298.536412037036</v>
      </c>
      <c r="B722" s="4" t="s">
        <v>27</v>
      </c>
      <c r="C722" s="4" t="s">
        <v>21</v>
      </c>
      <c r="D722" s="4" t="s">
        <v>21</v>
      </c>
    </row>
    <row r="723">
      <c r="A723" s="5">
        <v>44319.32760416667</v>
      </c>
      <c r="B723" s="4" t="s">
        <v>27</v>
      </c>
      <c r="C723" s="4" t="s">
        <v>21</v>
      </c>
      <c r="D723" s="4" t="s">
        <v>21</v>
      </c>
    </row>
    <row r="724">
      <c r="A724" s="5">
        <v>44342.3203125</v>
      </c>
      <c r="B724" s="4" t="s">
        <v>27</v>
      </c>
      <c r="C724" s="4" t="s">
        <v>21</v>
      </c>
      <c r="D724" s="4" t="s">
        <v>21</v>
      </c>
    </row>
    <row r="725">
      <c r="A725" s="5">
        <v>44368.438425925924</v>
      </c>
      <c r="B725" s="4" t="s">
        <v>27</v>
      </c>
      <c r="C725" s="4" t="s">
        <v>21</v>
      </c>
      <c r="D725" s="4" t="s">
        <v>21</v>
      </c>
    </row>
    <row r="726">
      <c r="A726" s="5">
        <v>44166.62287037037</v>
      </c>
      <c r="B726" s="4" t="s">
        <v>27</v>
      </c>
      <c r="C726" s="4" t="s">
        <v>21</v>
      </c>
      <c r="D726" s="4" t="s">
        <v>21</v>
      </c>
    </row>
    <row r="727">
      <c r="A727" s="5">
        <v>44196.428148148145</v>
      </c>
      <c r="B727" s="4" t="s">
        <v>27</v>
      </c>
      <c r="C727" s="4" t="s">
        <v>23</v>
      </c>
      <c r="D727" s="4" t="s">
        <v>21</v>
      </c>
    </row>
    <row r="728">
      <c r="A728" s="5">
        <v>44092.86591435185</v>
      </c>
      <c r="B728" s="4" t="s">
        <v>27</v>
      </c>
      <c r="C728" s="4" t="s">
        <v>21</v>
      </c>
      <c r="D728" s="4" t="s">
        <v>21</v>
      </c>
    </row>
    <row r="729">
      <c r="A729" s="5">
        <v>44284.554502314815</v>
      </c>
      <c r="B729" s="4" t="s">
        <v>27</v>
      </c>
      <c r="C729" s="4" t="s">
        <v>21</v>
      </c>
      <c r="D729" s="4" t="s">
        <v>21</v>
      </c>
    </row>
    <row r="730">
      <c r="A730" s="5">
        <v>44300.3621412037</v>
      </c>
      <c r="B730" s="4" t="s">
        <v>27</v>
      </c>
      <c r="C730" s="4" t="s">
        <v>21</v>
      </c>
      <c r="D730" s="4" t="s">
        <v>21</v>
      </c>
    </row>
    <row r="731">
      <c r="A731" s="5">
        <v>44258.3403125</v>
      </c>
      <c r="B731" s="4" t="s">
        <v>27</v>
      </c>
      <c r="C731" s="4" t="s">
        <v>21</v>
      </c>
      <c r="D731" s="4" t="s">
        <v>21</v>
      </c>
    </row>
    <row r="732">
      <c r="A732" s="5">
        <v>44230.300833333335</v>
      </c>
      <c r="B732" s="4" t="s">
        <v>27</v>
      </c>
      <c r="C732" s="4" t="s">
        <v>21</v>
      </c>
      <c r="D732" s="4" t="s">
        <v>21</v>
      </c>
    </row>
    <row r="733">
      <c r="A733" s="5">
        <v>44139.52730324074</v>
      </c>
      <c r="B733" s="4" t="s">
        <v>27</v>
      </c>
      <c r="C733" s="4" t="s">
        <v>21</v>
      </c>
      <c r="D733" s="4" t="s">
        <v>21</v>
      </c>
    </row>
    <row r="734">
      <c r="A734" s="5">
        <v>44341.52291666667</v>
      </c>
      <c r="B734" s="4" t="s">
        <v>27</v>
      </c>
      <c r="C734" s="4" t="s">
        <v>21</v>
      </c>
      <c r="D734" s="4" t="s">
        <v>21</v>
      </c>
    </row>
    <row r="735">
      <c r="A735" s="5">
        <v>44159.29814814815</v>
      </c>
      <c r="B735" s="4" t="s">
        <v>27</v>
      </c>
      <c r="C735" s="4" t="s">
        <v>21</v>
      </c>
      <c r="D735" s="4" t="s">
        <v>21</v>
      </c>
    </row>
    <row r="736">
      <c r="A736" s="5">
        <v>44159.33068287037</v>
      </c>
      <c r="B736" s="4" t="s">
        <v>27</v>
      </c>
      <c r="C736" s="4" t="s">
        <v>21</v>
      </c>
      <c r="D736" s="4" t="s">
        <v>21</v>
      </c>
    </row>
    <row r="737" hidden="1">
      <c r="A737" s="5">
        <v>44231.40881944444</v>
      </c>
      <c r="B737" s="4" t="s">
        <v>29</v>
      </c>
      <c r="C737" s="4" t="s">
        <v>21</v>
      </c>
      <c r="D737" s="4" t="s">
        <v>21</v>
      </c>
    </row>
    <row r="738">
      <c r="A738" s="5">
        <v>44302.54371527778</v>
      </c>
      <c r="B738" s="4" t="s">
        <v>27</v>
      </c>
      <c r="C738" s="4" t="s">
        <v>21</v>
      </c>
      <c r="D738" s="4" t="s">
        <v>21</v>
      </c>
    </row>
    <row r="739">
      <c r="A739" s="5">
        <v>44103.83461805555</v>
      </c>
      <c r="B739" s="4" t="s">
        <v>27</v>
      </c>
      <c r="C739" s="4" t="s">
        <v>21</v>
      </c>
      <c r="D739" s="4" t="s">
        <v>21</v>
      </c>
    </row>
    <row r="740">
      <c r="A740" s="5">
        <v>44216.98537037037</v>
      </c>
      <c r="B740" s="4" t="s">
        <v>27</v>
      </c>
      <c r="C740" s="4" t="s">
        <v>21</v>
      </c>
      <c r="D740" s="4" t="s">
        <v>21</v>
      </c>
    </row>
    <row r="741">
      <c r="A741" s="5">
        <v>44286.709710648145</v>
      </c>
      <c r="B741" s="4" t="s">
        <v>27</v>
      </c>
      <c r="C741" s="4" t="s">
        <v>21</v>
      </c>
      <c r="D741" s="4" t="s">
        <v>21</v>
      </c>
    </row>
    <row r="742">
      <c r="A742" s="5">
        <v>44026.475694444445</v>
      </c>
      <c r="B742" s="4" t="s">
        <v>27</v>
      </c>
      <c r="C742" s="4" t="s">
        <v>21</v>
      </c>
      <c r="D742" s="4" t="s">
        <v>21</v>
      </c>
    </row>
    <row r="743">
      <c r="A743" s="5">
        <v>44062.65702546296</v>
      </c>
      <c r="B743" s="4" t="s">
        <v>27</v>
      </c>
      <c r="C743" s="4" t="s">
        <v>21</v>
      </c>
      <c r="D743" s="4" t="s">
        <v>21</v>
      </c>
    </row>
    <row r="744">
      <c r="A744" s="5">
        <v>44095.54443287037</v>
      </c>
      <c r="B744" s="4" t="s">
        <v>27</v>
      </c>
      <c r="C744" s="4" t="s">
        <v>21</v>
      </c>
      <c r="D744" s="4" t="s">
        <v>21</v>
      </c>
    </row>
    <row r="745">
      <c r="A745" s="5">
        <v>44118.4718287037</v>
      </c>
      <c r="B745" s="4" t="s">
        <v>27</v>
      </c>
      <c r="C745" s="4" t="s">
        <v>21</v>
      </c>
      <c r="D745" s="4" t="s">
        <v>21</v>
      </c>
    </row>
    <row r="746">
      <c r="A746" s="5">
        <v>44140.4284837963</v>
      </c>
      <c r="B746" s="4" t="s">
        <v>27</v>
      </c>
      <c r="C746" s="4" t="s">
        <v>21</v>
      </c>
      <c r="D746" s="4" t="s">
        <v>21</v>
      </c>
    </row>
    <row r="747">
      <c r="A747" s="5">
        <v>44210.70087962963</v>
      </c>
      <c r="B747" s="4" t="s">
        <v>27</v>
      </c>
      <c r="C747" s="4" t="s">
        <v>21</v>
      </c>
      <c r="D747" s="4" t="s">
        <v>21</v>
      </c>
    </row>
    <row r="748">
      <c r="A748" s="5">
        <v>44216.268159722225</v>
      </c>
      <c r="B748" s="4" t="s">
        <v>27</v>
      </c>
      <c r="C748" s="4" t="s">
        <v>21</v>
      </c>
      <c r="D748" s="4" t="s">
        <v>21</v>
      </c>
    </row>
    <row r="749">
      <c r="A749" s="5">
        <v>44354.58965277778</v>
      </c>
      <c r="B749" s="4" t="s">
        <v>27</v>
      </c>
      <c r="C749" s="4" t="s">
        <v>21</v>
      </c>
      <c r="D749" s="4" t="s">
        <v>21</v>
      </c>
    </row>
    <row r="750">
      <c r="A750" s="5">
        <v>44031.439780092594</v>
      </c>
      <c r="B750" s="4" t="s">
        <v>27</v>
      </c>
      <c r="C750" s="4" t="s">
        <v>21</v>
      </c>
      <c r="D750" s="4" t="s">
        <v>21</v>
      </c>
    </row>
    <row r="751">
      <c r="A751" s="5">
        <v>44039.30299768518</v>
      </c>
      <c r="B751" s="4" t="s">
        <v>27</v>
      </c>
      <c r="C751" s="4" t="s">
        <v>21</v>
      </c>
      <c r="D751" s="4" t="s">
        <v>21</v>
      </c>
    </row>
    <row r="752">
      <c r="A752" s="5">
        <v>44098.51600694445</v>
      </c>
      <c r="B752" s="4" t="s">
        <v>27</v>
      </c>
      <c r="C752" s="4" t="s">
        <v>21</v>
      </c>
      <c r="D752" s="4" t="s">
        <v>21</v>
      </c>
    </row>
    <row r="753">
      <c r="A753" s="5">
        <v>44132.23876157407</v>
      </c>
      <c r="B753" s="4" t="s">
        <v>27</v>
      </c>
      <c r="C753" s="4" t="s">
        <v>21</v>
      </c>
      <c r="D753" s="4" t="s">
        <v>21</v>
      </c>
    </row>
    <row r="754">
      <c r="A754" s="5">
        <v>44135.82554398148</v>
      </c>
      <c r="B754" s="4" t="s">
        <v>27</v>
      </c>
      <c r="C754" s="4" t="s">
        <v>21</v>
      </c>
      <c r="D754" s="4" t="s">
        <v>21</v>
      </c>
    </row>
    <row r="755">
      <c r="A755" s="5">
        <v>44201.409108796295</v>
      </c>
      <c r="B755" s="4" t="s">
        <v>27</v>
      </c>
      <c r="C755" s="4" t="s">
        <v>23</v>
      </c>
      <c r="D755" s="4" t="s">
        <v>21</v>
      </c>
    </row>
    <row r="756">
      <c r="A756" s="5">
        <v>44277.401354166665</v>
      </c>
      <c r="B756" s="4" t="s">
        <v>27</v>
      </c>
      <c r="C756" s="4" t="s">
        <v>21</v>
      </c>
      <c r="D756" s="4" t="s">
        <v>21</v>
      </c>
    </row>
    <row r="757">
      <c r="A757" s="5">
        <v>44139.43809027778</v>
      </c>
      <c r="B757" s="4" t="s">
        <v>27</v>
      </c>
      <c r="C757" s="4" t="s">
        <v>21</v>
      </c>
      <c r="D757" s="4" t="s">
        <v>21</v>
      </c>
    </row>
    <row r="758">
      <c r="A758" s="5">
        <v>44159.66392361111</v>
      </c>
      <c r="B758" s="4" t="s">
        <v>27</v>
      </c>
      <c r="C758" s="4" t="s">
        <v>21</v>
      </c>
      <c r="D758" s="4" t="s">
        <v>21</v>
      </c>
    </row>
    <row r="759">
      <c r="A759" s="5">
        <v>44183.52065972222</v>
      </c>
      <c r="B759" s="4" t="s">
        <v>27</v>
      </c>
      <c r="C759" s="4" t="s">
        <v>21</v>
      </c>
      <c r="D759" s="4" t="s">
        <v>21</v>
      </c>
    </row>
    <row r="760">
      <c r="A760" s="5">
        <v>44237.496342592596</v>
      </c>
      <c r="B760" s="4" t="s">
        <v>27</v>
      </c>
      <c r="C760" s="4" t="s">
        <v>21</v>
      </c>
      <c r="D760" s="4" t="s">
        <v>21</v>
      </c>
    </row>
    <row r="761">
      <c r="A761" s="5">
        <v>44263.46337962963</v>
      </c>
      <c r="B761" s="4" t="s">
        <v>27</v>
      </c>
      <c r="C761" s="4" t="s">
        <v>21</v>
      </c>
      <c r="D761" s="4" t="s">
        <v>21</v>
      </c>
    </row>
    <row r="762">
      <c r="A762" s="5">
        <v>44292.55671296296</v>
      </c>
      <c r="B762" s="4" t="s">
        <v>27</v>
      </c>
      <c r="C762" s="4" t="s">
        <v>21</v>
      </c>
      <c r="D762" s="4" t="s">
        <v>21</v>
      </c>
    </row>
    <row r="763">
      <c r="A763" s="5">
        <v>44179.12359953704</v>
      </c>
      <c r="B763" s="4" t="s">
        <v>27</v>
      </c>
      <c r="C763" s="4" t="s">
        <v>21</v>
      </c>
      <c r="D763" s="4" t="s">
        <v>21</v>
      </c>
    </row>
    <row r="764">
      <c r="A764" s="5">
        <v>44166.58415509259</v>
      </c>
      <c r="B764" s="4" t="s">
        <v>27</v>
      </c>
      <c r="C764" s="4" t="s">
        <v>21</v>
      </c>
      <c r="D764" s="4" t="s">
        <v>21</v>
      </c>
    </row>
    <row r="765">
      <c r="A765" s="5">
        <v>44286.460011574076</v>
      </c>
      <c r="B765" s="4" t="s">
        <v>27</v>
      </c>
      <c r="C765" s="4" t="s">
        <v>21</v>
      </c>
      <c r="D765" s="4" t="s">
        <v>21</v>
      </c>
    </row>
    <row r="766">
      <c r="A766" s="5">
        <v>44181.45930555555</v>
      </c>
      <c r="B766" s="4" t="s">
        <v>27</v>
      </c>
      <c r="C766" s="4" t="s">
        <v>21</v>
      </c>
      <c r="D766" s="4" t="s">
        <v>21</v>
      </c>
    </row>
    <row r="767" hidden="1">
      <c r="A767" s="5">
        <v>44148.338229166664</v>
      </c>
      <c r="B767" s="4" t="s">
        <v>29</v>
      </c>
      <c r="C767" s="4" t="s">
        <v>21</v>
      </c>
      <c r="D767" s="4" t="s">
        <v>21</v>
      </c>
    </row>
    <row r="768">
      <c r="A768" s="5">
        <v>44286.79108796296</v>
      </c>
      <c r="B768" s="4" t="s">
        <v>27</v>
      </c>
      <c r="C768" s="4" t="s">
        <v>21</v>
      </c>
      <c r="D768" s="4" t="s">
        <v>21</v>
      </c>
    </row>
    <row r="769">
      <c r="A769" s="5">
        <v>44304.68133101852</v>
      </c>
      <c r="B769" s="4" t="s">
        <v>27</v>
      </c>
      <c r="C769" s="4" t="s">
        <v>21</v>
      </c>
      <c r="D769" s="4" t="s">
        <v>21</v>
      </c>
    </row>
    <row r="770">
      <c r="A770" s="5">
        <v>44321.41769675926</v>
      </c>
      <c r="B770" s="4" t="s">
        <v>27</v>
      </c>
      <c r="C770" s="4" t="s">
        <v>21</v>
      </c>
      <c r="D770" s="4" t="s">
        <v>21</v>
      </c>
    </row>
    <row r="771" hidden="1">
      <c r="A771" s="5">
        <v>44243.54116898148</v>
      </c>
      <c r="B771" s="4" t="s">
        <v>29</v>
      </c>
      <c r="C771" s="4" t="s">
        <v>21</v>
      </c>
      <c r="D771" s="4" t="s">
        <v>23</v>
      </c>
    </row>
    <row r="772">
      <c r="A772" s="5">
        <v>44166.39677083334</v>
      </c>
      <c r="B772" s="4" t="s">
        <v>27</v>
      </c>
      <c r="C772" s="4" t="s">
        <v>21</v>
      </c>
      <c r="D772" s="4" t="s">
        <v>21</v>
      </c>
    </row>
    <row r="773">
      <c r="A773" s="5">
        <v>44229.313159722224</v>
      </c>
      <c r="B773" s="4" t="s">
        <v>27</v>
      </c>
      <c r="C773" s="4" t="s">
        <v>21</v>
      </c>
      <c r="D773" s="4" t="s">
        <v>21</v>
      </c>
    </row>
    <row r="774">
      <c r="A774" s="5">
        <v>44238.521678240744</v>
      </c>
      <c r="B774" s="4" t="s">
        <v>27</v>
      </c>
      <c r="C774" s="4" t="s">
        <v>21</v>
      </c>
      <c r="D774" s="4" t="s">
        <v>23</v>
      </c>
    </row>
    <row r="775">
      <c r="A775" s="5">
        <v>44334.5796412037</v>
      </c>
      <c r="B775" s="4" t="s">
        <v>27</v>
      </c>
      <c r="C775" s="4" t="s">
        <v>21</v>
      </c>
      <c r="D775" s="4" t="s">
        <v>21</v>
      </c>
    </row>
    <row r="776">
      <c r="A776" s="5">
        <v>44099.307291666664</v>
      </c>
      <c r="B776" s="4" t="s">
        <v>27</v>
      </c>
      <c r="C776" s="4" t="s">
        <v>21</v>
      </c>
      <c r="D776" s="4" t="s">
        <v>21</v>
      </c>
    </row>
    <row r="777">
      <c r="A777" s="5">
        <v>44104.29959490741</v>
      </c>
      <c r="B777" s="4" t="s">
        <v>27</v>
      </c>
      <c r="C777" s="4" t="s">
        <v>21</v>
      </c>
      <c r="D777" s="4" t="s">
        <v>21</v>
      </c>
    </row>
    <row r="778">
      <c r="A778" s="5">
        <v>44104.30668981482</v>
      </c>
      <c r="B778" s="4" t="s">
        <v>27</v>
      </c>
      <c r="C778" s="4" t="s">
        <v>21</v>
      </c>
      <c r="D778" s="4" t="s">
        <v>21</v>
      </c>
    </row>
    <row r="779">
      <c r="A779" s="5">
        <v>44138.68136574074</v>
      </c>
      <c r="B779" s="4" t="s">
        <v>27</v>
      </c>
      <c r="C779" s="4" t="s">
        <v>21</v>
      </c>
      <c r="D779" s="4" t="s">
        <v>21</v>
      </c>
    </row>
    <row r="780">
      <c r="A780" s="5">
        <v>44160.598703703705</v>
      </c>
      <c r="B780" s="4" t="s">
        <v>27</v>
      </c>
      <c r="C780" s="4" t="s">
        <v>21</v>
      </c>
      <c r="D780" s="4" t="s">
        <v>21</v>
      </c>
    </row>
    <row r="781">
      <c r="A781" s="5">
        <v>44161.312951388885</v>
      </c>
      <c r="B781" s="4" t="s">
        <v>27</v>
      </c>
      <c r="C781" s="4" t="s">
        <v>21</v>
      </c>
      <c r="D781" s="4" t="s">
        <v>21</v>
      </c>
    </row>
    <row r="782">
      <c r="A782" s="5">
        <v>44168.6465625</v>
      </c>
      <c r="B782" s="4" t="s">
        <v>27</v>
      </c>
      <c r="C782" s="4" t="s">
        <v>21</v>
      </c>
      <c r="D782" s="4" t="s">
        <v>21</v>
      </c>
    </row>
    <row r="783">
      <c r="A783" s="5">
        <v>44169.53537037037</v>
      </c>
      <c r="B783" s="4" t="s">
        <v>27</v>
      </c>
      <c r="C783" s="4" t="s">
        <v>21</v>
      </c>
      <c r="D783" s="4" t="s">
        <v>21</v>
      </c>
    </row>
    <row r="784">
      <c r="A784" s="5">
        <v>44169.60513888889</v>
      </c>
      <c r="B784" s="4" t="s">
        <v>27</v>
      </c>
      <c r="C784" s="4" t="s">
        <v>21</v>
      </c>
      <c r="D784" s="4" t="s">
        <v>21</v>
      </c>
    </row>
    <row r="785">
      <c r="A785" s="5">
        <v>44181.60523148148</v>
      </c>
      <c r="B785" s="4" t="s">
        <v>27</v>
      </c>
      <c r="C785" s="4" t="s">
        <v>21</v>
      </c>
      <c r="D785" s="4" t="s">
        <v>21</v>
      </c>
    </row>
    <row r="786">
      <c r="A786" s="5">
        <v>44214.70207175926</v>
      </c>
      <c r="B786" s="4" t="s">
        <v>27</v>
      </c>
      <c r="C786" s="4" t="s">
        <v>21</v>
      </c>
      <c r="D786" s="4" t="s">
        <v>21</v>
      </c>
    </row>
    <row r="787">
      <c r="A787" s="5">
        <v>44214.70899305555</v>
      </c>
      <c r="B787" s="4" t="s">
        <v>27</v>
      </c>
      <c r="C787" s="4" t="s">
        <v>21</v>
      </c>
      <c r="D787" s="4" t="s">
        <v>21</v>
      </c>
    </row>
    <row r="788">
      <c r="A788" s="5">
        <v>44214.716365740744</v>
      </c>
      <c r="B788" s="4" t="s">
        <v>27</v>
      </c>
      <c r="C788" s="4" t="s">
        <v>21</v>
      </c>
      <c r="D788" s="4" t="s">
        <v>21</v>
      </c>
    </row>
    <row r="789">
      <c r="A789" s="5">
        <v>44238.591157407405</v>
      </c>
      <c r="B789" s="4" t="s">
        <v>27</v>
      </c>
      <c r="C789" s="4" t="s">
        <v>21</v>
      </c>
      <c r="D789" s="4" t="s">
        <v>23</v>
      </c>
    </row>
    <row r="790">
      <c r="A790" s="5">
        <v>44328.59311342592</v>
      </c>
      <c r="B790" s="4" t="s">
        <v>27</v>
      </c>
      <c r="C790" s="4" t="s">
        <v>21</v>
      </c>
      <c r="D790" s="4" t="s">
        <v>21</v>
      </c>
    </row>
    <row r="791">
      <c r="A791" s="5">
        <v>44342.495416666665</v>
      </c>
      <c r="B791" s="4" t="s">
        <v>27</v>
      </c>
      <c r="C791" s="4" t="s">
        <v>21</v>
      </c>
      <c r="D791" s="4" t="s">
        <v>21</v>
      </c>
    </row>
    <row r="792">
      <c r="A792" s="5">
        <v>44176.462534722225</v>
      </c>
      <c r="B792" s="4" t="s">
        <v>27</v>
      </c>
      <c r="C792" s="4" t="s">
        <v>21</v>
      </c>
      <c r="D792" s="4" t="s">
        <v>21</v>
      </c>
    </row>
    <row r="793">
      <c r="A793" s="5">
        <v>44211.4741087963</v>
      </c>
      <c r="B793" s="4" t="s">
        <v>27</v>
      </c>
      <c r="C793" s="4" t="s">
        <v>21</v>
      </c>
      <c r="D793" s="4" t="s">
        <v>21</v>
      </c>
    </row>
    <row r="794">
      <c r="A794" s="5">
        <v>44155.34689814815</v>
      </c>
      <c r="B794" s="4" t="s">
        <v>27</v>
      </c>
      <c r="C794" s="4" t="s">
        <v>21</v>
      </c>
      <c r="D794" s="4" t="s">
        <v>21</v>
      </c>
    </row>
    <row r="795">
      <c r="A795" s="5">
        <v>44211.618726851855</v>
      </c>
      <c r="B795" s="4" t="s">
        <v>27</v>
      </c>
      <c r="C795" s="4" t="s">
        <v>21</v>
      </c>
      <c r="D795" s="4" t="s">
        <v>21</v>
      </c>
    </row>
    <row r="796">
      <c r="A796" s="5">
        <v>44218.666655092595</v>
      </c>
      <c r="B796" s="4" t="s">
        <v>27</v>
      </c>
      <c r="C796" s="4" t="s">
        <v>21</v>
      </c>
      <c r="D796" s="4" t="s">
        <v>21</v>
      </c>
    </row>
    <row r="797">
      <c r="A797" s="5">
        <v>44130.60369212963</v>
      </c>
      <c r="B797" s="4" t="s">
        <v>27</v>
      </c>
      <c r="C797" s="4" t="s">
        <v>21</v>
      </c>
      <c r="D797" s="4" t="s">
        <v>21</v>
      </c>
    </row>
    <row r="798">
      <c r="A798" s="5">
        <v>44267.56365740741</v>
      </c>
      <c r="B798" s="4" t="s">
        <v>27</v>
      </c>
      <c r="C798" s="4" t="s">
        <v>21</v>
      </c>
      <c r="D798" s="4" t="s">
        <v>21</v>
      </c>
    </row>
    <row r="799">
      <c r="A799" s="5">
        <v>44029.386145833334</v>
      </c>
      <c r="B799" s="4" t="s">
        <v>27</v>
      </c>
      <c r="C799" s="4" t="s">
        <v>21</v>
      </c>
      <c r="D799" s="4" t="s">
        <v>21</v>
      </c>
    </row>
    <row r="800">
      <c r="A800" s="5">
        <v>44265.88010416667</v>
      </c>
      <c r="B800" s="4" t="s">
        <v>27</v>
      </c>
      <c r="C800" s="4" t="s">
        <v>21</v>
      </c>
      <c r="D800" s="4" t="s">
        <v>21</v>
      </c>
    </row>
    <row r="801">
      <c r="A801" s="5">
        <v>44298.32167824074</v>
      </c>
      <c r="B801" s="4" t="s">
        <v>27</v>
      </c>
      <c r="C801" s="4" t="s">
        <v>21</v>
      </c>
      <c r="D801" s="4" t="s">
        <v>21</v>
      </c>
    </row>
    <row r="802">
      <c r="A802" s="5">
        <v>44302.45972222222</v>
      </c>
      <c r="B802" s="4" t="s">
        <v>27</v>
      </c>
      <c r="C802" s="4" t="s">
        <v>21</v>
      </c>
      <c r="D802" s="4" t="s">
        <v>21</v>
      </c>
    </row>
    <row r="803">
      <c r="A803" s="5">
        <v>44316.95364583333</v>
      </c>
      <c r="B803" s="4" t="s">
        <v>27</v>
      </c>
      <c r="C803" s="4" t="s">
        <v>21</v>
      </c>
      <c r="D803" s="4" t="s">
        <v>21</v>
      </c>
    </row>
    <row r="804">
      <c r="A804" s="5">
        <v>44077.76866898148</v>
      </c>
      <c r="B804" s="4" t="s">
        <v>27</v>
      </c>
      <c r="C804" s="4" t="s">
        <v>21</v>
      </c>
      <c r="D804" s="4" t="s">
        <v>21</v>
      </c>
    </row>
    <row r="805">
      <c r="A805" s="5">
        <v>44139.389340277776</v>
      </c>
      <c r="B805" s="4" t="s">
        <v>27</v>
      </c>
      <c r="C805" s="4" t="s">
        <v>21</v>
      </c>
      <c r="D805" s="4" t="s">
        <v>21</v>
      </c>
    </row>
    <row r="806">
      <c r="A806" s="5">
        <v>44139.391435185185</v>
      </c>
      <c r="B806" s="4" t="s">
        <v>27</v>
      </c>
      <c r="C806" s="4" t="s">
        <v>21</v>
      </c>
      <c r="D806" s="4" t="s">
        <v>21</v>
      </c>
    </row>
    <row r="807">
      <c r="A807" s="5">
        <v>44361.319398148145</v>
      </c>
      <c r="B807" s="4" t="s">
        <v>27</v>
      </c>
      <c r="C807" s="4" t="s">
        <v>21</v>
      </c>
      <c r="D807" s="4" t="s">
        <v>21</v>
      </c>
    </row>
    <row r="808">
      <c r="A808" s="5">
        <v>44130.66075231481</v>
      </c>
      <c r="B808" s="4" t="s">
        <v>27</v>
      </c>
      <c r="C808" s="4" t="s">
        <v>21</v>
      </c>
      <c r="D808" s="4" t="s">
        <v>21</v>
      </c>
    </row>
    <row r="809">
      <c r="A809" s="5">
        <v>44257.73118055556</v>
      </c>
      <c r="B809" s="4" t="s">
        <v>27</v>
      </c>
      <c r="C809" s="4" t="s">
        <v>21</v>
      </c>
      <c r="D809" s="4" t="s">
        <v>21</v>
      </c>
    </row>
    <row r="810">
      <c r="A810" s="5">
        <v>44299.49795138889</v>
      </c>
      <c r="B810" s="4" t="s">
        <v>27</v>
      </c>
      <c r="C810" s="4" t="s">
        <v>21</v>
      </c>
      <c r="D810" s="4" t="s">
        <v>21</v>
      </c>
    </row>
    <row r="811">
      <c r="A811" s="5">
        <v>44202.32168981482</v>
      </c>
      <c r="B811" s="4" t="s">
        <v>27</v>
      </c>
      <c r="C811" s="4" t="s">
        <v>21</v>
      </c>
      <c r="D811" s="4" t="s">
        <v>21</v>
      </c>
    </row>
    <row r="812">
      <c r="A812" s="5">
        <v>44259.48226851852</v>
      </c>
      <c r="B812" s="4" t="s">
        <v>27</v>
      </c>
      <c r="C812" s="4" t="s">
        <v>21</v>
      </c>
      <c r="D812" s="4" t="s">
        <v>21</v>
      </c>
    </row>
    <row r="813">
      <c r="A813" s="5">
        <v>44216.37074074074</v>
      </c>
      <c r="B813" s="4" t="s">
        <v>27</v>
      </c>
      <c r="C813" s="4" t="s">
        <v>21</v>
      </c>
      <c r="D813" s="4" t="s">
        <v>21</v>
      </c>
    </row>
    <row r="814">
      <c r="A814" s="5">
        <v>44211.53325231482</v>
      </c>
      <c r="B814" s="4" t="s">
        <v>27</v>
      </c>
      <c r="C814" s="4" t="s">
        <v>21</v>
      </c>
      <c r="D814" s="4" t="s">
        <v>21</v>
      </c>
    </row>
    <row r="815">
      <c r="A815" s="5">
        <v>44211.546956018516</v>
      </c>
      <c r="B815" s="4" t="s">
        <v>27</v>
      </c>
      <c r="C815" s="4" t="s">
        <v>21</v>
      </c>
      <c r="D815" s="4" t="s">
        <v>21</v>
      </c>
    </row>
    <row r="816">
      <c r="A816" s="5">
        <v>44159.61907407407</v>
      </c>
      <c r="B816" s="4" t="s">
        <v>27</v>
      </c>
      <c r="C816" s="4" t="s">
        <v>21</v>
      </c>
      <c r="D816" s="4" t="s">
        <v>21</v>
      </c>
    </row>
    <row r="817">
      <c r="A817" s="5">
        <v>44264.01489583333</v>
      </c>
      <c r="B817" s="4" t="s">
        <v>27</v>
      </c>
      <c r="C817" s="4" t="s">
        <v>21</v>
      </c>
      <c r="D817" s="4" t="s">
        <v>21</v>
      </c>
    </row>
    <row r="818">
      <c r="A818" s="5">
        <v>44323.73453703704</v>
      </c>
      <c r="B818" s="4" t="s">
        <v>27</v>
      </c>
      <c r="C818" s="4" t="s">
        <v>21</v>
      </c>
      <c r="D818" s="4" t="s">
        <v>21</v>
      </c>
    </row>
    <row r="819">
      <c r="A819" s="5">
        <v>44240.42366898148</v>
      </c>
      <c r="B819" s="4" t="s">
        <v>27</v>
      </c>
      <c r="C819" s="4" t="s">
        <v>21</v>
      </c>
      <c r="D819" s="4" t="s">
        <v>23</v>
      </c>
    </row>
    <row r="820">
      <c r="A820" s="5">
        <v>44187.31119212963</v>
      </c>
      <c r="B820" s="4" t="s">
        <v>27</v>
      </c>
      <c r="C820" s="4" t="s">
        <v>21</v>
      </c>
      <c r="D820" s="4" t="s">
        <v>21</v>
      </c>
    </row>
    <row r="821">
      <c r="A821" s="5">
        <v>44075.45346064815</v>
      </c>
      <c r="B821" s="4" t="s">
        <v>27</v>
      </c>
      <c r="C821" s="4" t="s">
        <v>21</v>
      </c>
      <c r="D821" s="4" t="s">
        <v>21</v>
      </c>
    </row>
    <row r="822">
      <c r="A822" s="5">
        <v>44329.33094907407</v>
      </c>
      <c r="B822" s="4" t="s">
        <v>27</v>
      </c>
      <c r="C822" s="4" t="s">
        <v>21</v>
      </c>
      <c r="D822" s="4" t="s">
        <v>21</v>
      </c>
    </row>
    <row r="823">
      <c r="A823" s="5">
        <v>44343.61987268519</v>
      </c>
      <c r="B823" s="4" t="s">
        <v>27</v>
      </c>
      <c r="C823" s="4" t="s">
        <v>21</v>
      </c>
      <c r="D823" s="4" t="s">
        <v>21</v>
      </c>
    </row>
    <row r="824">
      <c r="A824" s="5">
        <v>44056.766180555554</v>
      </c>
      <c r="B824" s="4" t="s">
        <v>27</v>
      </c>
      <c r="C824" s="4" t="s">
        <v>21</v>
      </c>
      <c r="D824" s="4" t="s">
        <v>21</v>
      </c>
    </row>
    <row r="825">
      <c r="A825" s="5">
        <v>44068.39805555555</v>
      </c>
      <c r="B825" s="4" t="s">
        <v>27</v>
      </c>
      <c r="C825" s="4" t="s">
        <v>21</v>
      </c>
      <c r="D825" s="4" t="s">
        <v>21</v>
      </c>
    </row>
    <row r="826">
      <c r="A826" s="5">
        <v>44217.38418981482</v>
      </c>
      <c r="B826" s="4" t="s">
        <v>27</v>
      </c>
      <c r="C826" s="4" t="s">
        <v>21</v>
      </c>
      <c r="D826" s="4" t="s">
        <v>21</v>
      </c>
    </row>
    <row r="827">
      <c r="A827" s="5">
        <v>44217.384363425925</v>
      </c>
      <c r="B827" s="4" t="s">
        <v>27</v>
      </c>
      <c r="C827" s="4" t="s">
        <v>21</v>
      </c>
      <c r="D827" s="4" t="s">
        <v>21</v>
      </c>
    </row>
    <row r="828">
      <c r="A828" s="5">
        <v>44217.38453703704</v>
      </c>
      <c r="B828" s="4" t="s">
        <v>27</v>
      </c>
      <c r="C828" s="4" t="s">
        <v>21</v>
      </c>
      <c r="D828" s="4" t="s">
        <v>21</v>
      </c>
    </row>
    <row r="829">
      <c r="A829" s="5">
        <v>44217.384722222225</v>
      </c>
      <c r="B829" s="4" t="s">
        <v>27</v>
      </c>
      <c r="C829" s="4" t="s">
        <v>21</v>
      </c>
      <c r="D829" s="4" t="s">
        <v>21</v>
      </c>
    </row>
    <row r="830">
      <c r="A830" s="5">
        <v>44217.38489583333</v>
      </c>
      <c r="B830" s="4" t="s">
        <v>27</v>
      </c>
      <c r="C830" s="4" t="s">
        <v>21</v>
      </c>
      <c r="D830" s="4" t="s">
        <v>21</v>
      </c>
    </row>
    <row r="831">
      <c r="A831" s="5">
        <v>44217.38506944444</v>
      </c>
      <c r="B831" s="4" t="s">
        <v>27</v>
      </c>
      <c r="C831" s="4" t="s">
        <v>21</v>
      </c>
      <c r="D831" s="4" t="s">
        <v>21</v>
      </c>
    </row>
    <row r="832">
      <c r="A832" s="5">
        <v>44217.385243055556</v>
      </c>
      <c r="B832" s="4" t="s">
        <v>27</v>
      </c>
      <c r="C832" s="4" t="s">
        <v>21</v>
      </c>
      <c r="D832" s="4" t="s">
        <v>21</v>
      </c>
    </row>
    <row r="833">
      <c r="A833" s="5">
        <v>44217.38543981482</v>
      </c>
      <c r="B833" s="4" t="s">
        <v>27</v>
      </c>
      <c r="C833" s="4" t="s">
        <v>21</v>
      </c>
      <c r="D833" s="4" t="s">
        <v>21</v>
      </c>
    </row>
    <row r="834">
      <c r="A834" s="5">
        <v>44217.38563657407</v>
      </c>
      <c r="B834" s="4" t="s">
        <v>27</v>
      </c>
      <c r="C834" s="4" t="s">
        <v>21</v>
      </c>
      <c r="D834" s="4" t="s">
        <v>21</v>
      </c>
    </row>
    <row r="835">
      <c r="A835" s="5">
        <v>44217.38582175926</v>
      </c>
      <c r="B835" s="4" t="s">
        <v>27</v>
      </c>
      <c r="C835" s="4" t="s">
        <v>21</v>
      </c>
      <c r="D835" s="4" t="s">
        <v>21</v>
      </c>
    </row>
    <row r="836">
      <c r="A836" s="5">
        <v>44152.70481481482</v>
      </c>
      <c r="B836" s="4" t="s">
        <v>27</v>
      </c>
      <c r="C836" s="4" t="s">
        <v>21</v>
      </c>
      <c r="D836" s="4" t="s">
        <v>21</v>
      </c>
    </row>
    <row r="837">
      <c r="A837" s="5">
        <v>44046.33770833333</v>
      </c>
      <c r="B837" s="4" t="s">
        <v>27</v>
      </c>
      <c r="C837" s="4" t="s">
        <v>21</v>
      </c>
      <c r="D837" s="4" t="s">
        <v>21</v>
      </c>
    </row>
    <row r="838">
      <c r="A838" s="5">
        <v>44067.34951388889</v>
      </c>
      <c r="B838" s="4" t="s">
        <v>27</v>
      </c>
      <c r="C838" s="4" t="s">
        <v>21</v>
      </c>
      <c r="D838" s="4" t="s">
        <v>21</v>
      </c>
    </row>
    <row r="839">
      <c r="A839" s="5">
        <v>44067.73045138889</v>
      </c>
      <c r="B839" s="4" t="s">
        <v>27</v>
      </c>
      <c r="C839" s="4" t="s">
        <v>21</v>
      </c>
      <c r="D839" s="4" t="s">
        <v>21</v>
      </c>
    </row>
    <row r="840">
      <c r="A840" s="5">
        <v>44117.43519675926</v>
      </c>
      <c r="B840" s="4" t="s">
        <v>27</v>
      </c>
      <c r="C840" s="4" t="s">
        <v>21</v>
      </c>
      <c r="D840" s="4" t="s">
        <v>21</v>
      </c>
    </row>
    <row r="841">
      <c r="A841" s="5">
        <v>44147.15611111111</v>
      </c>
      <c r="B841" s="4" t="s">
        <v>27</v>
      </c>
      <c r="C841" s="4" t="s">
        <v>21</v>
      </c>
      <c r="D841" s="4" t="s">
        <v>21</v>
      </c>
    </row>
    <row r="842">
      <c r="A842" s="5">
        <v>44165.41055555556</v>
      </c>
      <c r="B842" s="4" t="s">
        <v>27</v>
      </c>
      <c r="C842" s="4" t="s">
        <v>21</v>
      </c>
      <c r="D842" s="4" t="s">
        <v>21</v>
      </c>
    </row>
    <row r="843">
      <c r="A843" s="5">
        <v>44165.56306712963</v>
      </c>
      <c r="B843" s="4" t="s">
        <v>27</v>
      </c>
      <c r="C843" s="4" t="s">
        <v>21</v>
      </c>
      <c r="D843" s="4" t="s">
        <v>21</v>
      </c>
    </row>
    <row r="844">
      <c r="A844" s="5">
        <v>44181.185891203706</v>
      </c>
      <c r="B844" s="4" t="s">
        <v>27</v>
      </c>
      <c r="C844" s="4" t="s">
        <v>21</v>
      </c>
      <c r="D844" s="4" t="s">
        <v>21</v>
      </c>
    </row>
    <row r="845">
      <c r="A845" s="5">
        <v>44181.401712962965</v>
      </c>
      <c r="B845" s="4" t="s">
        <v>27</v>
      </c>
      <c r="C845" s="4" t="s">
        <v>21</v>
      </c>
      <c r="D845" s="4" t="s">
        <v>21</v>
      </c>
    </row>
    <row r="846">
      <c r="A846" s="5">
        <v>44182.16643518519</v>
      </c>
      <c r="B846" s="4" t="s">
        <v>27</v>
      </c>
      <c r="C846" s="4" t="s">
        <v>21</v>
      </c>
      <c r="D846" s="4" t="s">
        <v>21</v>
      </c>
    </row>
    <row r="847">
      <c r="A847" s="5">
        <v>44194.17041666667</v>
      </c>
      <c r="B847" s="4" t="s">
        <v>27</v>
      </c>
      <c r="C847" s="4" t="s">
        <v>23</v>
      </c>
      <c r="D847" s="4" t="s">
        <v>21</v>
      </c>
    </row>
    <row r="848" hidden="1">
      <c r="A848" s="5">
        <v>44230.545636574076</v>
      </c>
      <c r="B848" s="4" t="s">
        <v>29</v>
      </c>
      <c r="C848" s="4" t="s">
        <v>21</v>
      </c>
      <c r="D848" s="4" t="s">
        <v>21</v>
      </c>
    </row>
    <row r="849">
      <c r="A849" s="5">
        <v>44258.753217592595</v>
      </c>
      <c r="B849" s="4" t="s">
        <v>27</v>
      </c>
      <c r="C849" s="4" t="s">
        <v>21</v>
      </c>
      <c r="D849" s="4" t="s">
        <v>21</v>
      </c>
    </row>
    <row r="850">
      <c r="A850" s="5">
        <v>44264.45445601852</v>
      </c>
      <c r="B850" s="4" t="s">
        <v>27</v>
      </c>
      <c r="C850" s="4" t="s">
        <v>21</v>
      </c>
      <c r="D850" s="4" t="s">
        <v>21</v>
      </c>
    </row>
    <row r="851" hidden="1">
      <c r="A851" s="5">
        <v>44277.14807870371</v>
      </c>
      <c r="B851" s="4" t="s">
        <v>29</v>
      </c>
      <c r="C851" s="4" t="s">
        <v>21</v>
      </c>
      <c r="D851" s="4" t="s">
        <v>21</v>
      </c>
    </row>
    <row r="852">
      <c r="A852" s="5">
        <v>44293.8491087963</v>
      </c>
      <c r="B852" s="4" t="s">
        <v>27</v>
      </c>
      <c r="C852" s="4" t="s">
        <v>21</v>
      </c>
      <c r="D852" s="4" t="s">
        <v>21</v>
      </c>
    </row>
    <row r="853">
      <c r="A853" s="5">
        <v>44298.59925925926</v>
      </c>
      <c r="B853" s="4" t="s">
        <v>27</v>
      </c>
      <c r="C853" s="4" t="s">
        <v>21</v>
      </c>
      <c r="D853" s="4" t="s">
        <v>21</v>
      </c>
    </row>
    <row r="854">
      <c r="A854" s="5">
        <v>44319.252916666665</v>
      </c>
      <c r="B854" s="4" t="s">
        <v>27</v>
      </c>
      <c r="C854" s="4" t="s">
        <v>21</v>
      </c>
      <c r="D854" s="4" t="s">
        <v>21</v>
      </c>
    </row>
    <row r="855">
      <c r="A855" s="5">
        <v>44336.61760416667</v>
      </c>
      <c r="B855" s="4" t="s">
        <v>27</v>
      </c>
      <c r="C855" s="4" t="s">
        <v>21</v>
      </c>
      <c r="D855" s="4" t="s">
        <v>21</v>
      </c>
    </row>
    <row r="856">
      <c r="A856" s="5">
        <v>44355.42884259259</v>
      </c>
      <c r="B856" s="4" t="s">
        <v>27</v>
      </c>
      <c r="C856" s="4" t="s">
        <v>21</v>
      </c>
      <c r="D856" s="4" t="s">
        <v>21</v>
      </c>
    </row>
    <row r="857">
      <c r="A857" s="5">
        <v>44337.75200231482</v>
      </c>
      <c r="B857" s="4" t="s">
        <v>27</v>
      </c>
      <c r="C857" s="4" t="s">
        <v>21</v>
      </c>
      <c r="D857" s="4" t="s">
        <v>21</v>
      </c>
    </row>
    <row r="858">
      <c r="A858" s="5">
        <v>44337.752071759256</v>
      </c>
      <c r="B858" s="4" t="s">
        <v>27</v>
      </c>
      <c r="C858" s="4" t="s">
        <v>21</v>
      </c>
      <c r="D858" s="4" t="s">
        <v>21</v>
      </c>
    </row>
    <row r="859">
      <c r="A859" s="5">
        <v>44337.7521412037</v>
      </c>
      <c r="B859" s="4" t="s">
        <v>27</v>
      </c>
      <c r="C859" s="4" t="s">
        <v>21</v>
      </c>
      <c r="D859" s="4" t="s">
        <v>21</v>
      </c>
    </row>
    <row r="860">
      <c r="A860" s="5">
        <v>44337.75221064815</v>
      </c>
      <c r="B860" s="4" t="s">
        <v>27</v>
      </c>
      <c r="C860" s="4" t="s">
        <v>21</v>
      </c>
      <c r="D860" s="4" t="s">
        <v>21</v>
      </c>
    </row>
    <row r="861">
      <c r="A861" s="5">
        <v>44337.752280092594</v>
      </c>
      <c r="B861" s="4" t="s">
        <v>27</v>
      </c>
      <c r="C861" s="4" t="s">
        <v>21</v>
      </c>
      <c r="D861" s="4" t="s">
        <v>21</v>
      </c>
    </row>
    <row r="862">
      <c r="A862" s="5">
        <v>44337.75236111111</v>
      </c>
      <c r="B862" s="4" t="s">
        <v>27</v>
      </c>
      <c r="C862" s="4" t="s">
        <v>21</v>
      </c>
      <c r="D862" s="4" t="s">
        <v>21</v>
      </c>
    </row>
    <row r="863">
      <c r="A863" s="5">
        <v>44256.48616898148</v>
      </c>
      <c r="B863" s="4" t="s">
        <v>27</v>
      </c>
      <c r="C863" s="4" t="s">
        <v>21</v>
      </c>
      <c r="D863" s="4" t="s">
        <v>21</v>
      </c>
    </row>
    <row r="864">
      <c r="A864" s="5">
        <v>44256.50423611111</v>
      </c>
      <c r="B864" s="4" t="s">
        <v>27</v>
      </c>
      <c r="C864" s="4" t="s">
        <v>21</v>
      </c>
      <c r="D864" s="4" t="s">
        <v>21</v>
      </c>
    </row>
    <row r="865">
      <c r="A865" s="5">
        <v>44319.37841435185</v>
      </c>
      <c r="B865" s="4" t="s">
        <v>27</v>
      </c>
      <c r="C865" s="4" t="s">
        <v>21</v>
      </c>
      <c r="D865" s="4" t="s">
        <v>21</v>
      </c>
    </row>
    <row r="866">
      <c r="A866" s="5">
        <v>44319.567557870374</v>
      </c>
      <c r="B866" s="4" t="s">
        <v>27</v>
      </c>
      <c r="C866" s="4" t="s">
        <v>21</v>
      </c>
      <c r="D866" s="4" t="s">
        <v>21</v>
      </c>
    </row>
    <row r="867">
      <c r="A867" s="5">
        <v>44249.458599537036</v>
      </c>
      <c r="B867" s="4" t="s">
        <v>27</v>
      </c>
      <c r="C867" s="4" t="s">
        <v>21</v>
      </c>
      <c r="D867" s="4" t="s">
        <v>21</v>
      </c>
    </row>
    <row r="868">
      <c r="A868" s="5">
        <v>44355.49700231481</v>
      </c>
      <c r="B868" s="4" t="s">
        <v>27</v>
      </c>
      <c r="C868" s="4" t="s">
        <v>21</v>
      </c>
      <c r="D868" s="4" t="s">
        <v>21</v>
      </c>
    </row>
    <row r="869">
      <c r="A869" s="5">
        <v>44301.23003472222</v>
      </c>
      <c r="B869" s="4" t="s">
        <v>27</v>
      </c>
      <c r="C869" s="4" t="s">
        <v>21</v>
      </c>
      <c r="D869" s="4" t="s">
        <v>21</v>
      </c>
    </row>
    <row r="870">
      <c r="A870" s="5">
        <v>44217.584756944445</v>
      </c>
      <c r="B870" s="4" t="s">
        <v>27</v>
      </c>
      <c r="C870" s="4" t="s">
        <v>21</v>
      </c>
      <c r="D870" s="4" t="s">
        <v>21</v>
      </c>
    </row>
    <row r="871">
      <c r="A871" s="5">
        <v>44091.24165509259</v>
      </c>
      <c r="B871" s="4" t="s">
        <v>27</v>
      </c>
      <c r="C871" s="4" t="s">
        <v>21</v>
      </c>
      <c r="D871" s="4" t="s">
        <v>21</v>
      </c>
    </row>
    <row r="872">
      <c r="A872" s="5">
        <v>44180.31313657408</v>
      </c>
      <c r="B872" s="4" t="s">
        <v>27</v>
      </c>
      <c r="C872" s="4" t="s">
        <v>21</v>
      </c>
      <c r="D872" s="4" t="s">
        <v>21</v>
      </c>
    </row>
    <row r="873">
      <c r="A873" s="5">
        <v>44239.44519675926</v>
      </c>
      <c r="B873" s="4" t="s">
        <v>27</v>
      </c>
      <c r="C873" s="4" t="s">
        <v>21</v>
      </c>
      <c r="D873" s="4" t="s">
        <v>23</v>
      </c>
    </row>
    <row r="874">
      <c r="A874" s="5">
        <v>44300.33645833333</v>
      </c>
      <c r="B874" s="4" t="s">
        <v>27</v>
      </c>
      <c r="C874" s="4" t="s">
        <v>21</v>
      </c>
      <c r="D874" s="4" t="s">
        <v>21</v>
      </c>
    </row>
    <row r="875">
      <c r="A875" s="5">
        <v>44182.90550925926</v>
      </c>
      <c r="B875" s="4" t="s">
        <v>27</v>
      </c>
      <c r="C875" s="4" t="s">
        <v>21</v>
      </c>
      <c r="D875" s="4" t="s">
        <v>21</v>
      </c>
    </row>
    <row r="876">
      <c r="A876" s="5">
        <v>44167.58483796296</v>
      </c>
      <c r="B876" s="4" t="s">
        <v>27</v>
      </c>
      <c r="C876" s="4" t="s">
        <v>21</v>
      </c>
      <c r="D876" s="4" t="s">
        <v>21</v>
      </c>
    </row>
    <row r="877">
      <c r="A877" s="5">
        <v>44118.51766203704</v>
      </c>
      <c r="B877" s="4" t="s">
        <v>27</v>
      </c>
      <c r="C877" s="4" t="s">
        <v>21</v>
      </c>
      <c r="D877" s="4" t="s">
        <v>21</v>
      </c>
    </row>
    <row r="878">
      <c r="A878" s="5">
        <v>44204.61809027778</v>
      </c>
      <c r="B878" s="4" t="s">
        <v>27</v>
      </c>
      <c r="C878" s="4" t="s">
        <v>21</v>
      </c>
      <c r="D878" s="4" t="s">
        <v>21</v>
      </c>
    </row>
    <row r="879">
      <c r="A879" s="5">
        <v>44206.61153935185</v>
      </c>
      <c r="B879" s="4" t="s">
        <v>27</v>
      </c>
      <c r="C879" s="4" t="s">
        <v>21</v>
      </c>
      <c r="D879" s="4" t="s">
        <v>21</v>
      </c>
    </row>
    <row r="880">
      <c r="A880" s="5">
        <v>44148.62621527778</v>
      </c>
      <c r="B880" s="4" t="s">
        <v>27</v>
      </c>
      <c r="C880" s="4" t="s">
        <v>21</v>
      </c>
      <c r="D880" s="4" t="s">
        <v>21</v>
      </c>
    </row>
    <row r="881">
      <c r="A881" s="5">
        <v>44175.42574074074</v>
      </c>
      <c r="B881" s="4" t="s">
        <v>27</v>
      </c>
      <c r="C881" s="4" t="s">
        <v>21</v>
      </c>
      <c r="D881" s="4" t="s">
        <v>21</v>
      </c>
    </row>
    <row r="882" hidden="1">
      <c r="A882" s="5">
        <v>44294.30207175926</v>
      </c>
      <c r="B882" s="4" t="s">
        <v>29</v>
      </c>
      <c r="C882" s="4" t="s">
        <v>21</v>
      </c>
      <c r="D882" s="4" t="s">
        <v>21</v>
      </c>
    </row>
    <row r="883">
      <c r="A883" s="5">
        <v>44162.09947916667</v>
      </c>
      <c r="B883" s="4" t="s">
        <v>27</v>
      </c>
      <c r="C883" s="4" t="s">
        <v>21</v>
      </c>
      <c r="D883" s="4" t="s">
        <v>21</v>
      </c>
    </row>
    <row r="884">
      <c r="A884" s="5">
        <v>44085.56787037037</v>
      </c>
      <c r="B884" s="4" t="s">
        <v>27</v>
      </c>
      <c r="C884" s="4" t="s">
        <v>21</v>
      </c>
      <c r="D884" s="4" t="s">
        <v>21</v>
      </c>
    </row>
    <row r="885">
      <c r="A885" s="5">
        <v>44145.844826388886</v>
      </c>
      <c r="B885" s="4" t="s">
        <v>27</v>
      </c>
      <c r="C885" s="4" t="s">
        <v>21</v>
      </c>
      <c r="D885" s="4" t="s">
        <v>21</v>
      </c>
    </row>
    <row r="886">
      <c r="A886" s="5">
        <v>44117.55578703704</v>
      </c>
      <c r="B886" s="4" t="s">
        <v>27</v>
      </c>
      <c r="C886" s="4" t="s">
        <v>21</v>
      </c>
      <c r="D886" s="4" t="s">
        <v>21</v>
      </c>
    </row>
    <row r="887">
      <c r="A887" s="5">
        <v>44159.47141203703</v>
      </c>
      <c r="B887" s="4" t="s">
        <v>27</v>
      </c>
      <c r="C887" s="4" t="s">
        <v>21</v>
      </c>
      <c r="D887" s="4" t="s">
        <v>21</v>
      </c>
    </row>
    <row r="888">
      <c r="A888" s="5">
        <v>44162.68965277778</v>
      </c>
      <c r="B888" s="4" t="s">
        <v>27</v>
      </c>
      <c r="C888" s="4" t="s">
        <v>21</v>
      </c>
      <c r="D888" s="4" t="s">
        <v>21</v>
      </c>
    </row>
    <row r="889">
      <c r="A889" s="5">
        <v>44169.45575231482</v>
      </c>
      <c r="B889" s="4" t="s">
        <v>27</v>
      </c>
      <c r="C889" s="4" t="s">
        <v>21</v>
      </c>
      <c r="D889" s="4" t="s">
        <v>21</v>
      </c>
    </row>
    <row r="890">
      <c r="A890" s="5">
        <v>44182.547060185185</v>
      </c>
      <c r="B890" s="4" t="s">
        <v>27</v>
      </c>
      <c r="C890" s="4" t="s">
        <v>21</v>
      </c>
      <c r="D890" s="4" t="s">
        <v>21</v>
      </c>
    </row>
    <row r="891">
      <c r="A891" s="5">
        <v>44204.67388888889</v>
      </c>
      <c r="B891" s="4" t="s">
        <v>27</v>
      </c>
      <c r="C891" s="4" t="s">
        <v>21</v>
      </c>
      <c r="D891" s="4" t="s">
        <v>21</v>
      </c>
    </row>
    <row r="892">
      <c r="A892" s="5">
        <v>44252.5131712963</v>
      </c>
      <c r="B892" s="4" t="s">
        <v>27</v>
      </c>
      <c r="C892" s="4" t="s">
        <v>21</v>
      </c>
      <c r="D892" s="4" t="s">
        <v>21</v>
      </c>
    </row>
    <row r="893">
      <c r="A893" s="5">
        <v>44287.38898148148</v>
      </c>
      <c r="B893" s="4" t="s">
        <v>27</v>
      </c>
      <c r="C893" s="4" t="s">
        <v>21</v>
      </c>
      <c r="D893" s="4" t="s">
        <v>21</v>
      </c>
    </row>
    <row r="894">
      <c r="A894" s="5">
        <v>44302.52407407408</v>
      </c>
      <c r="B894" s="4" t="s">
        <v>27</v>
      </c>
      <c r="C894" s="4" t="s">
        <v>21</v>
      </c>
      <c r="D894" s="4" t="s">
        <v>21</v>
      </c>
    </row>
    <row r="895">
      <c r="A895" s="5">
        <v>44321.59752314815</v>
      </c>
      <c r="B895" s="4" t="s">
        <v>27</v>
      </c>
      <c r="C895" s="4" t="s">
        <v>21</v>
      </c>
      <c r="D895" s="4" t="s">
        <v>21</v>
      </c>
    </row>
    <row r="896">
      <c r="A896" s="5">
        <v>44064.278078703705</v>
      </c>
      <c r="B896" s="4" t="s">
        <v>27</v>
      </c>
      <c r="C896" s="4" t="s">
        <v>21</v>
      </c>
      <c r="D896" s="4" t="s">
        <v>21</v>
      </c>
    </row>
    <row r="897">
      <c r="A897" s="5">
        <v>44140.558171296296</v>
      </c>
      <c r="B897" s="4" t="s">
        <v>27</v>
      </c>
      <c r="C897" s="4" t="s">
        <v>21</v>
      </c>
      <c r="D897" s="4" t="s">
        <v>21</v>
      </c>
    </row>
    <row r="898" hidden="1">
      <c r="A898" s="5">
        <v>44236.649502314816</v>
      </c>
      <c r="B898" s="4" t="s">
        <v>29</v>
      </c>
      <c r="C898" s="4" t="s">
        <v>21</v>
      </c>
      <c r="D898" s="4" t="s">
        <v>21</v>
      </c>
    </row>
    <row r="899">
      <c r="A899" s="5">
        <v>44102.34751157407</v>
      </c>
      <c r="B899" s="4" t="s">
        <v>27</v>
      </c>
      <c r="C899" s="4" t="s">
        <v>21</v>
      </c>
      <c r="D899" s="4" t="s">
        <v>21</v>
      </c>
    </row>
    <row r="900">
      <c r="A900" s="5">
        <v>44261.56707175926</v>
      </c>
      <c r="B900" s="4" t="s">
        <v>27</v>
      </c>
      <c r="C900" s="4" t="s">
        <v>21</v>
      </c>
      <c r="D900" s="4" t="s">
        <v>21</v>
      </c>
    </row>
    <row r="901">
      <c r="A901" s="5">
        <v>44224.787303240744</v>
      </c>
      <c r="B901" s="4" t="s">
        <v>27</v>
      </c>
      <c r="C901" s="4" t="s">
        <v>21</v>
      </c>
      <c r="D901" s="4" t="s">
        <v>21</v>
      </c>
    </row>
    <row r="902">
      <c r="A902" s="5">
        <v>44224.80030092593</v>
      </c>
      <c r="B902" s="4" t="s">
        <v>27</v>
      </c>
      <c r="C902" s="4" t="s">
        <v>21</v>
      </c>
      <c r="D902" s="4" t="s">
        <v>21</v>
      </c>
    </row>
    <row r="903">
      <c r="A903" s="5">
        <v>44224.84991898148</v>
      </c>
      <c r="B903" s="4" t="s">
        <v>27</v>
      </c>
      <c r="C903" s="4" t="s">
        <v>21</v>
      </c>
      <c r="D903" s="4" t="s">
        <v>21</v>
      </c>
    </row>
    <row r="904">
      <c r="A904" s="5">
        <v>44294.320810185185</v>
      </c>
      <c r="B904" s="4" t="s">
        <v>27</v>
      </c>
      <c r="C904" s="4" t="s">
        <v>21</v>
      </c>
      <c r="D904" s="4" t="s">
        <v>21</v>
      </c>
    </row>
    <row r="905">
      <c r="A905" s="5">
        <v>44349.52417824074</v>
      </c>
      <c r="B905" s="4" t="s">
        <v>27</v>
      </c>
      <c r="C905" s="4" t="s">
        <v>21</v>
      </c>
      <c r="D905" s="4" t="s">
        <v>21</v>
      </c>
    </row>
    <row r="906">
      <c r="A906" s="5">
        <v>44237.68251157407</v>
      </c>
      <c r="B906" s="4" t="s">
        <v>27</v>
      </c>
      <c r="C906" s="4" t="s">
        <v>21</v>
      </c>
      <c r="D906" s="4" t="s">
        <v>21</v>
      </c>
    </row>
    <row r="907">
      <c r="A907" s="5">
        <v>44119.394953703704</v>
      </c>
      <c r="B907" s="4" t="s">
        <v>27</v>
      </c>
      <c r="C907" s="4" t="s">
        <v>21</v>
      </c>
      <c r="D907" s="4" t="s">
        <v>21</v>
      </c>
    </row>
    <row r="908">
      <c r="A908" s="5">
        <v>44182.61974537037</v>
      </c>
      <c r="B908" s="4" t="s">
        <v>27</v>
      </c>
      <c r="C908" s="4" t="s">
        <v>21</v>
      </c>
      <c r="D908" s="4" t="s">
        <v>21</v>
      </c>
    </row>
    <row r="909">
      <c r="A909" s="5">
        <v>44238.60282407407</v>
      </c>
      <c r="B909" s="4" t="s">
        <v>27</v>
      </c>
      <c r="C909" s="4" t="s">
        <v>21</v>
      </c>
      <c r="D909" s="4" t="s">
        <v>23</v>
      </c>
    </row>
    <row r="910">
      <c r="A910" s="5">
        <v>44120.35851851852</v>
      </c>
      <c r="B910" s="4" t="s">
        <v>27</v>
      </c>
      <c r="C910" s="4" t="s">
        <v>21</v>
      </c>
      <c r="D910" s="4" t="s">
        <v>21</v>
      </c>
    </row>
    <row r="911">
      <c r="A911" s="5">
        <v>44109.316145833334</v>
      </c>
      <c r="B911" s="4" t="s">
        <v>27</v>
      </c>
      <c r="C911" s="4" t="s">
        <v>21</v>
      </c>
      <c r="D911" s="4" t="s">
        <v>21</v>
      </c>
    </row>
    <row r="912">
      <c r="A912" s="5">
        <v>44350.27258101852</v>
      </c>
      <c r="B912" s="4" t="s">
        <v>27</v>
      </c>
      <c r="C912" s="4" t="s">
        <v>21</v>
      </c>
      <c r="D912" s="4" t="s">
        <v>21</v>
      </c>
    </row>
    <row r="913" hidden="1">
      <c r="A913" s="5">
        <v>44369.67177083333</v>
      </c>
      <c r="B913" s="4" t="s">
        <v>29</v>
      </c>
      <c r="C913" s="4" t="s">
        <v>21</v>
      </c>
      <c r="D913" s="4" t="s">
        <v>21</v>
      </c>
    </row>
    <row r="914">
      <c r="A914" s="5">
        <v>44343.41428240741</v>
      </c>
      <c r="B914" s="4" t="s">
        <v>27</v>
      </c>
      <c r="C914" s="4" t="s">
        <v>21</v>
      </c>
      <c r="D914" s="4" t="s">
        <v>21</v>
      </c>
    </row>
    <row r="915" hidden="1">
      <c r="A915" s="5">
        <v>44369.42431712963</v>
      </c>
      <c r="B915" s="4" t="s">
        <v>29</v>
      </c>
      <c r="C915" s="4" t="s">
        <v>21</v>
      </c>
      <c r="D915" s="4" t="s">
        <v>21</v>
      </c>
    </row>
    <row r="916">
      <c r="A916" s="5">
        <v>44271.80708333333</v>
      </c>
      <c r="B916" s="4" t="s">
        <v>27</v>
      </c>
      <c r="C916" s="4" t="s">
        <v>21</v>
      </c>
      <c r="D916" s="4" t="s">
        <v>21</v>
      </c>
    </row>
    <row r="917">
      <c r="A917" s="5">
        <v>44218.672951388886</v>
      </c>
      <c r="B917" s="4" t="s">
        <v>27</v>
      </c>
      <c r="C917" s="4" t="s">
        <v>21</v>
      </c>
      <c r="D917" s="4" t="s">
        <v>21</v>
      </c>
    </row>
    <row r="918">
      <c r="A918" s="5">
        <v>44218.695868055554</v>
      </c>
      <c r="B918" s="4" t="s">
        <v>27</v>
      </c>
      <c r="C918" s="4" t="s">
        <v>21</v>
      </c>
      <c r="D918" s="4" t="s">
        <v>21</v>
      </c>
    </row>
    <row r="919">
      <c r="A919" s="5">
        <v>44334.89024305555</v>
      </c>
      <c r="B919" s="4" t="s">
        <v>27</v>
      </c>
      <c r="C919" s="4" t="s">
        <v>21</v>
      </c>
      <c r="D919" s="4" t="s">
        <v>21</v>
      </c>
    </row>
    <row r="920">
      <c r="A920" s="5">
        <v>44362.57034722222</v>
      </c>
      <c r="B920" s="4" t="s">
        <v>27</v>
      </c>
      <c r="C920" s="4" t="s">
        <v>21</v>
      </c>
      <c r="D920" s="4" t="s">
        <v>21</v>
      </c>
    </row>
    <row r="921">
      <c r="A921" s="5">
        <v>44022.392534722225</v>
      </c>
      <c r="B921" s="4" t="s">
        <v>27</v>
      </c>
      <c r="C921" s="4" t="s">
        <v>21</v>
      </c>
      <c r="D921" s="4" t="s">
        <v>21</v>
      </c>
    </row>
    <row r="922">
      <c r="A922" s="5">
        <v>44315.62535879629</v>
      </c>
      <c r="B922" s="4" t="s">
        <v>27</v>
      </c>
      <c r="C922" s="4" t="s">
        <v>21</v>
      </c>
      <c r="D922" s="4" t="s">
        <v>21</v>
      </c>
    </row>
    <row r="923">
      <c r="A923" s="5">
        <v>44316.33945601852</v>
      </c>
      <c r="B923" s="4" t="s">
        <v>27</v>
      </c>
      <c r="C923" s="4" t="s">
        <v>21</v>
      </c>
      <c r="D923" s="4" t="s">
        <v>21</v>
      </c>
    </row>
    <row r="924">
      <c r="A924" s="5">
        <v>44341.51082175926</v>
      </c>
      <c r="B924" s="4" t="s">
        <v>27</v>
      </c>
      <c r="C924" s="4" t="s">
        <v>21</v>
      </c>
      <c r="D924" s="4" t="s">
        <v>21</v>
      </c>
    </row>
    <row r="925">
      <c r="A925" s="5">
        <v>44341.845347222225</v>
      </c>
      <c r="B925" s="4" t="s">
        <v>27</v>
      </c>
      <c r="C925" s="4" t="s">
        <v>21</v>
      </c>
      <c r="D925" s="4" t="s">
        <v>21</v>
      </c>
    </row>
    <row r="926">
      <c r="A926" s="5">
        <v>44343.19480324074</v>
      </c>
      <c r="B926" s="4" t="s">
        <v>27</v>
      </c>
      <c r="C926" s="4" t="s">
        <v>21</v>
      </c>
      <c r="D926" s="4" t="s">
        <v>21</v>
      </c>
    </row>
    <row r="927">
      <c r="A927" s="5">
        <v>44174.386145833334</v>
      </c>
      <c r="B927" s="4" t="s">
        <v>27</v>
      </c>
      <c r="C927" s="4" t="s">
        <v>21</v>
      </c>
      <c r="D927" s="4" t="s">
        <v>21</v>
      </c>
    </row>
    <row r="928">
      <c r="A928" s="5">
        <v>44174.38699074074</v>
      </c>
      <c r="B928" s="4" t="s">
        <v>27</v>
      </c>
      <c r="C928" s="4" t="s">
        <v>21</v>
      </c>
      <c r="D928" s="4" t="s">
        <v>21</v>
      </c>
    </row>
    <row r="929">
      <c r="A929" s="5">
        <v>44174.42350694445</v>
      </c>
      <c r="B929" s="4" t="s">
        <v>27</v>
      </c>
      <c r="C929" s="4" t="s">
        <v>21</v>
      </c>
      <c r="D929" s="4" t="s">
        <v>21</v>
      </c>
    </row>
    <row r="930">
      <c r="A930" s="5">
        <v>44250.59296296296</v>
      </c>
      <c r="B930" s="4" t="s">
        <v>27</v>
      </c>
      <c r="C930" s="4" t="s">
        <v>21</v>
      </c>
      <c r="D930" s="4" t="s">
        <v>21</v>
      </c>
    </row>
    <row r="931">
      <c r="A931" s="5">
        <v>44033.23721064815</v>
      </c>
      <c r="B931" s="4" t="s">
        <v>27</v>
      </c>
      <c r="C931" s="4" t="s">
        <v>21</v>
      </c>
      <c r="D931" s="4" t="s">
        <v>21</v>
      </c>
    </row>
    <row r="932">
      <c r="A932" s="5">
        <v>44362.52543981482</v>
      </c>
      <c r="B932" s="4" t="s">
        <v>27</v>
      </c>
      <c r="C932" s="4" t="s">
        <v>21</v>
      </c>
      <c r="D932" s="4" t="s">
        <v>21</v>
      </c>
    </row>
    <row r="933">
      <c r="A933" s="5">
        <v>44362.52564814815</v>
      </c>
      <c r="B933" s="4" t="s">
        <v>27</v>
      </c>
      <c r="C933" s="4" t="s">
        <v>21</v>
      </c>
      <c r="D933" s="4" t="s">
        <v>21</v>
      </c>
    </row>
    <row r="934">
      <c r="A934" s="5">
        <v>44362.52584490741</v>
      </c>
      <c r="B934" s="4" t="s">
        <v>27</v>
      </c>
      <c r="C934" s="4" t="s">
        <v>21</v>
      </c>
      <c r="D934" s="4" t="s">
        <v>21</v>
      </c>
    </row>
    <row r="935">
      <c r="A935" s="5">
        <v>44362.526041666664</v>
      </c>
      <c r="B935" s="4" t="s">
        <v>27</v>
      </c>
      <c r="C935" s="4" t="s">
        <v>21</v>
      </c>
      <c r="D935" s="4" t="s">
        <v>21</v>
      </c>
    </row>
    <row r="936">
      <c r="A936" s="5">
        <v>44362.52627314815</v>
      </c>
      <c r="B936" s="4" t="s">
        <v>27</v>
      </c>
      <c r="C936" s="4" t="s">
        <v>21</v>
      </c>
      <c r="D936" s="4" t="s">
        <v>21</v>
      </c>
    </row>
    <row r="937">
      <c r="A937" s="5">
        <v>44362.52646990741</v>
      </c>
      <c r="B937" s="4" t="s">
        <v>27</v>
      </c>
      <c r="C937" s="4" t="s">
        <v>21</v>
      </c>
      <c r="D937" s="4" t="s">
        <v>21</v>
      </c>
    </row>
    <row r="938">
      <c r="A938" s="5">
        <v>44362.526655092595</v>
      </c>
      <c r="B938" s="4" t="s">
        <v>27</v>
      </c>
      <c r="C938" s="4" t="s">
        <v>21</v>
      </c>
      <c r="D938" s="4" t="s">
        <v>21</v>
      </c>
    </row>
    <row r="939">
      <c r="A939" s="5">
        <v>44362.52685185185</v>
      </c>
      <c r="B939" s="4" t="s">
        <v>27</v>
      </c>
      <c r="C939" s="4" t="s">
        <v>21</v>
      </c>
      <c r="D939" s="4" t="s">
        <v>21</v>
      </c>
    </row>
    <row r="940">
      <c r="A940" s="5">
        <v>44362.52704861111</v>
      </c>
      <c r="B940" s="4" t="s">
        <v>27</v>
      </c>
      <c r="C940" s="4" t="s">
        <v>21</v>
      </c>
      <c r="D940" s="4" t="s">
        <v>21</v>
      </c>
    </row>
    <row r="941">
      <c r="A941" s="5">
        <v>44176.452997685185</v>
      </c>
      <c r="B941" s="4" t="s">
        <v>27</v>
      </c>
      <c r="C941" s="4" t="s">
        <v>21</v>
      </c>
      <c r="D941" s="4" t="s">
        <v>21</v>
      </c>
    </row>
    <row r="942">
      <c r="A942" s="5">
        <v>44215.335868055554</v>
      </c>
      <c r="B942" s="4" t="s">
        <v>27</v>
      </c>
      <c r="C942" s="4" t="s">
        <v>21</v>
      </c>
      <c r="D942" s="4" t="s">
        <v>21</v>
      </c>
    </row>
    <row r="943">
      <c r="A943" s="5">
        <v>44229.45034722222</v>
      </c>
      <c r="B943" s="4" t="s">
        <v>27</v>
      </c>
      <c r="C943" s="4" t="s">
        <v>21</v>
      </c>
      <c r="D943" s="4" t="s">
        <v>21</v>
      </c>
    </row>
    <row r="944" hidden="1">
      <c r="A944" s="5">
        <v>44236.696539351855</v>
      </c>
      <c r="B944" s="4" t="s">
        <v>29</v>
      </c>
      <c r="C944" s="4" t="s">
        <v>21</v>
      </c>
      <c r="D944" s="4" t="s">
        <v>21</v>
      </c>
    </row>
    <row r="945">
      <c r="A945" s="5">
        <v>44250.409363425926</v>
      </c>
      <c r="B945" s="4" t="s">
        <v>27</v>
      </c>
      <c r="C945" s="4" t="s">
        <v>21</v>
      </c>
      <c r="D945" s="4" t="s">
        <v>21</v>
      </c>
    </row>
    <row r="946">
      <c r="A946" s="5">
        <v>44270.6316087963</v>
      </c>
      <c r="B946" s="4" t="s">
        <v>27</v>
      </c>
      <c r="C946" s="4" t="s">
        <v>21</v>
      </c>
      <c r="D946" s="4" t="s">
        <v>21</v>
      </c>
    </row>
    <row r="947" hidden="1">
      <c r="A947" s="5">
        <v>44295.42077546296</v>
      </c>
      <c r="B947" s="4" t="s">
        <v>29</v>
      </c>
      <c r="C947" s="4" t="s">
        <v>21</v>
      </c>
      <c r="D947" s="4" t="s">
        <v>21</v>
      </c>
    </row>
    <row r="948">
      <c r="A948" s="5">
        <v>44333.477013888885</v>
      </c>
      <c r="B948" s="4" t="s">
        <v>27</v>
      </c>
      <c r="C948" s="4" t="s">
        <v>21</v>
      </c>
      <c r="D948" s="4" t="s">
        <v>21</v>
      </c>
    </row>
    <row r="949">
      <c r="A949" s="5">
        <v>44333.707974537036</v>
      </c>
      <c r="B949" s="4" t="s">
        <v>27</v>
      </c>
      <c r="C949" s="4" t="s">
        <v>21</v>
      </c>
      <c r="D949" s="4" t="s">
        <v>21</v>
      </c>
    </row>
    <row r="950">
      <c r="A950" s="5">
        <v>44354.619467592594</v>
      </c>
      <c r="B950" s="4" t="s">
        <v>27</v>
      </c>
      <c r="C950" s="4" t="s">
        <v>21</v>
      </c>
      <c r="D950" s="4" t="s">
        <v>21</v>
      </c>
    </row>
    <row r="951">
      <c r="A951" s="5">
        <v>44361.279652777775</v>
      </c>
      <c r="B951" s="4" t="s">
        <v>27</v>
      </c>
      <c r="C951" s="4" t="s">
        <v>21</v>
      </c>
      <c r="D951" s="4" t="s">
        <v>21</v>
      </c>
    </row>
    <row r="952">
      <c r="A952" s="5">
        <v>44365.32665509259</v>
      </c>
      <c r="B952" s="4" t="s">
        <v>27</v>
      </c>
      <c r="C952" s="4" t="s">
        <v>21</v>
      </c>
      <c r="D952" s="4" t="s">
        <v>21</v>
      </c>
    </row>
    <row r="953">
      <c r="A953" s="5">
        <v>44375.571493055555</v>
      </c>
      <c r="B953" s="4" t="s">
        <v>27</v>
      </c>
      <c r="C953" s="4" t="s">
        <v>21</v>
      </c>
      <c r="D953" s="4" t="s">
        <v>21</v>
      </c>
    </row>
    <row r="954">
      <c r="A954" s="5">
        <v>44343.54304398148</v>
      </c>
      <c r="B954" s="4" t="s">
        <v>27</v>
      </c>
      <c r="C954" s="4" t="s">
        <v>21</v>
      </c>
      <c r="D954" s="4" t="s">
        <v>21</v>
      </c>
    </row>
    <row r="955">
      <c r="A955" s="5">
        <v>44238.49469907407</v>
      </c>
      <c r="B955" s="4" t="s">
        <v>27</v>
      </c>
      <c r="C955" s="4" t="s">
        <v>21</v>
      </c>
      <c r="D955" s="4" t="s">
        <v>23</v>
      </c>
    </row>
    <row r="956">
      <c r="A956" s="5">
        <v>44300.57480324074</v>
      </c>
      <c r="B956" s="4" t="s">
        <v>27</v>
      </c>
      <c r="C956" s="4" t="s">
        <v>21</v>
      </c>
      <c r="D956" s="4" t="s">
        <v>21</v>
      </c>
    </row>
    <row r="957">
      <c r="A957" s="5">
        <v>44267.41736111111</v>
      </c>
      <c r="B957" s="4" t="s">
        <v>27</v>
      </c>
      <c r="C957" s="4" t="s">
        <v>21</v>
      </c>
      <c r="D957" s="4" t="s">
        <v>21</v>
      </c>
    </row>
    <row r="958">
      <c r="A958" s="5">
        <v>44273.39805555555</v>
      </c>
      <c r="B958" s="4" t="s">
        <v>27</v>
      </c>
      <c r="C958" s="4" t="s">
        <v>21</v>
      </c>
      <c r="D958" s="4" t="s">
        <v>21</v>
      </c>
    </row>
    <row r="959">
      <c r="A959" s="5">
        <v>44356.619733796295</v>
      </c>
      <c r="B959" s="4" t="s">
        <v>27</v>
      </c>
      <c r="C959" s="4" t="s">
        <v>21</v>
      </c>
      <c r="D959" s="4" t="s">
        <v>21</v>
      </c>
    </row>
    <row r="960">
      <c r="A960" s="5">
        <v>44039.28564814815</v>
      </c>
      <c r="B960" s="4" t="s">
        <v>27</v>
      </c>
      <c r="C960" s="4" t="s">
        <v>21</v>
      </c>
      <c r="D960" s="4" t="s">
        <v>21</v>
      </c>
    </row>
    <row r="961">
      <c r="A961" s="5">
        <v>44300.44403935185</v>
      </c>
      <c r="B961" s="4" t="s">
        <v>27</v>
      </c>
      <c r="C961" s="4" t="s">
        <v>21</v>
      </c>
      <c r="D961" s="4" t="s">
        <v>21</v>
      </c>
    </row>
    <row r="962">
      <c r="A962" s="5">
        <v>44096.32414351852</v>
      </c>
      <c r="B962" s="4" t="s">
        <v>27</v>
      </c>
      <c r="C962" s="4" t="s">
        <v>21</v>
      </c>
      <c r="D962" s="4" t="s">
        <v>21</v>
      </c>
    </row>
    <row r="963">
      <c r="A963" s="5">
        <v>44249.41799768519</v>
      </c>
      <c r="B963" s="4" t="s">
        <v>27</v>
      </c>
      <c r="C963" s="4" t="s">
        <v>21</v>
      </c>
      <c r="D963" s="4" t="s">
        <v>21</v>
      </c>
    </row>
    <row r="964">
      <c r="A964" s="5">
        <v>44231.517847222225</v>
      </c>
      <c r="B964" s="4" t="s">
        <v>27</v>
      </c>
      <c r="C964" s="4" t="s">
        <v>21</v>
      </c>
      <c r="D964" s="4" t="s">
        <v>21</v>
      </c>
    </row>
    <row r="965">
      <c r="A965" s="5">
        <v>44028.25230324074</v>
      </c>
      <c r="B965" s="4" t="s">
        <v>27</v>
      </c>
      <c r="C965" s="4" t="s">
        <v>21</v>
      </c>
      <c r="D965" s="4" t="s">
        <v>21</v>
      </c>
    </row>
    <row r="966">
      <c r="A966" s="5">
        <v>44112.31375</v>
      </c>
      <c r="B966" s="4" t="s">
        <v>27</v>
      </c>
      <c r="C966" s="4" t="s">
        <v>21</v>
      </c>
      <c r="D966" s="4" t="s">
        <v>21</v>
      </c>
    </row>
    <row r="967" hidden="1">
      <c r="A967" s="5">
        <v>44258.62430555555</v>
      </c>
      <c r="B967" s="4" t="s">
        <v>29</v>
      </c>
      <c r="C967" s="4" t="s">
        <v>21</v>
      </c>
      <c r="D967" s="4" t="s">
        <v>21</v>
      </c>
    </row>
    <row r="968" hidden="1">
      <c r="A968" s="5">
        <v>44329.10716435185</v>
      </c>
      <c r="B968" s="4" t="s">
        <v>29</v>
      </c>
      <c r="C968" s="4" t="s">
        <v>21</v>
      </c>
      <c r="D968" s="4" t="s">
        <v>21</v>
      </c>
    </row>
    <row r="969">
      <c r="A969" s="5">
        <v>44098.51443287037</v>
      </c>
      <c r="B969" s="4" t="s">
        <v>27</v>
      </c>
      <c r="C969" s="4" t="s">
        <v>21</v>
      </c>
      <c r="D969" s="4" t="s">
        <v>21</v>
      </c>
    </row>
    <row r="970">
      <c r="A970" s="5">
        <v>43965.63045138889</v>
      </c>
      <c r="B970" s="4" t="s">
        <v>30</v>
      </c>
      <c r="C970" s="4" t="s">
        <v>21</v>
      </c>
      <c r="D970" s="4" t="s">
        <v>21</v>
      </c>
    </row>
    <row r="971">
      <c r="A971" s="5">
        <v>43839.405173611114</v>
      </c>
      <c r="B971" s="4" t="s">
        <v>30</v>
      </c>
      <c r="C971" s="4" t="s">
        <v>21</v>
      </c>
      <c r="D971" s="4" t="s">
        <v>21</v>
      </c>
    </row>
    <row r="972">
      <c r="A972" s="5">
        <v>43873.40519675926</v>
      </c>
      <c r="B972" s="4" t="s">
        <v>30</v>
      </c>
      <c r="C972" s="4" t="s">
        <v>21</v>
      </c>
      <c r="D972" s="4" t="s">
        <v>21</v>
      </c>
    </row>
    <row r="973">
      <c r="A973" s="5">
        <v>43873.40846064815</v>
      </c>
      <c r="B973" s="4" t="s">
        <v>30</v>
      </c>
      <c r="C973" s="4" t="s">
        <v>21</v>
      </c>
      <c r="D973" s="4" t="s">
        <v>21</v>
      </c>
    </row>
    <row r="974">
      <c r="A974" s="5">
        <v>43888.6021875</v>
      </c>
      <c r="B974" s="4" t="s">
        <v>30</v>
      </c>
      <c r="C974" s="4" t="s">
        <v>21</v>
      </c>
      <c r="D974" s="4" t="s">
        <v>21</v>
      </c>
    </row>
    <row r="975">
      <c r="A975" s="5">
        <v>43795.69045138889</v>
      </c>
      <c r="B975" s="4" t="s">
        <v>30</v>
      </c>
      <c r="C975" s="4" t="s">
        <v>21</v>
      </c>
      <c r="D975" s="4" t="s">
        <v>21</v>
      </c>
    </row>
    <row r="976">
      <c r="A976" s="5">
        <v>43962.32127314815</v>
      </c>
      <c r="B976" s="4" t="s">
        <v>30</v>
      </c>
      <c r="C976" s="4" t="s">
        <v>21</v>
      </c>
      <c r="D976" s="4" t="s">
        <v>21</v>
      </c>
    </row>
    <row r="977">
      <c r="A977" s="5">
        <v>43833.59075231481</v>
      </c>
      <c r="B977" s="4" t="s">
        <v>30</v>
      </c>
      <c r="C977" s="4" t="s">
        <v>23</v>
      </c>
      <c r="D977" s="4" t="s">
        <v>21</v>
      </c>
    </row>
    <row r="978">
      <c r="A978" s="5">
        <v>43838.347974537035</v>
      </c>
      <c r="B978" s="4" t="s">
        <v>30</v>
      </c>
      <c r="C978" s="4" t="s">
        <v>21</v>
      </c>
      <c r="D978" s="4" t="s">
        <v>21</v>
      </c>
    </row>
    <row r="979">
      <c r="A979" s="5">
        <v>43788.46863425926</v>
      </c>
      <c r="B979" s="4" t="s">
        <v>30</v>
      </c>
      <c r="C979" s="4" t="s">
        <v>21</v>
      </c>
      <c r="D979" s="4" t="s">
        <v>21</v>
      </c>
    </row>
    <row r="980">
      <c r="A980" s="5">
        <v>43849.279340277775</v>
      </c>
      <c r="B980" s="4" t="s">
        <v>30</v>
      </c>
      <c r="C980" s="4" t="s">
        <v>21</v>
      </c>
      <c r="D980" s="4" t="s">
        <v>21</v>
      </c>
    </row>
    <row r="981">
      <c r="A981" s="5">
        <v>43851.57</v>
      </c>
      <c r="B981" s="4" t="s">
        <v>30</v>
      </c>
      <c r="C981" s="4" t="s">
        <v>21</v>
      </c>
      <c r="D981" s="4" t="s">
        <v>21</v>
      </c>
    </row>
    <row r="982">
      <c r="A982" s="5">
        <v>43867.409270833334</v>
      </c>
      <c r="B982" s="4" t="s">
        <v>30</v>
      </c>
      <c r="C982" s="4" t="s">
        <v>21</v>
      </c>
      <c r="D982" s="4" t="s">
        <v>21</v>
      </c>
    </row>
    <row r="983">
      <c r="A983" s="5">
        <v>43929.62</v>
      </c>
      <c r="B983" s="4" t="s">
        <v>30</v>
      </c>
      <c r="C983" s="4" t="s">
        <v>21</v>
      </c>
      <c r="D983" s="4" t="s">
        <v>21</v>
      </c>
    </row>
    <row r="984">
      <c r="A984" s="5">
        <v>43893.4865625</v>
      </c>
      <c r="B984" s="4" t="s">
        <v>30</v>
      </c>
      <c r="C984" s="4" t="s">
        <v>21</v>
      </c>
      <c r="D984" s="4" t="s">
        <v>21</v>
      </c>
    </row>
    <row r="985">
      <c r="A985" s="5">
        <v>43916.22704861111</v>
      </c>
      <c r="B985" s="4" t="s">
        <v>30</v>
      </c>
      <c r="C985" s="4" t="s">
        <v>21</v>
      </c>
      <c r="D985" s="4" t="s">
        <v>21</v>
      </c>
    </row>
    <row r="986">
      <c r="A986" s="5">
        <v>43881.3478125</v>
      </c>
      <c r="B986" s="4" t="s">
        <v>30</v>
      </c>
      <c r="C986" s="4" t="s">
        <v>21</v>
      </c>
      <c r="D986" s="4" t="s">
        <v>21</v>
      </c>
    </row>
    <row r="987">
      <c r="A987" s="5">
        <v>43962.394594907404</v>
      </c>
      <c r="B987" s="4" t="s">
        <v>30</v>
      </c>
      <c r="C987" s="4" t="s">
        <v>21</v>
      </c>
      <c r="D987" s="4" t="s">
        <v>21</v>
      </c>
    </row>
    <row r="988">
      <c r="A988" s="5">
        <v>43965.2843287037</v>
      </c>
      <c r="B988" s="4" t="s">
        <v>30</v>
      </c>
      <c r="C988" s="4" t="s">
        <v>21</v>
      </c>
      <c r="D988" s="4" t="s">
        <v>21</v>
      </c>
    </row>
    <row r="989">
      <c r="A989" s="5">
        <v>43965.332766203705</v>
      </c>
      <c r="B989" s="4" t="s">
        <v>30</v>
      </c>
      <c r="C989" s="4" t="s">
        <v>21</v>
      </c>
      <c r="D989" s="4" t="s">
        <v>21</v>
      </c>
    </row>
    <row r="990">
      <c r="A990" s="5">
        <v>43787.13282407408</v>
      </c>
      <c r="B990" s="4" t="s">
        <v>30</v>
      </c>
      <c r="C990" s="4" t="s">
        <v>21</v>
      </c>
      <c r="D990" s="4" t="s">
        <v>21</v>
      </c>
    </row>
    <row r="991">
      <c r="A991" s="5">
        <v>43912.667337962965</v>
      </c>
      <c r="B991" s="4" t="s">
        <v>30</v>
      </c>
      <c r="C991" s="4" t="s">
        <v>21</v>
      </c>
      <c r="D991" s="4" t="s">
        <v>21</v>
      </c>
    </row>
    <row r="992">
      <c r="A992" s="5">
        <v>43930.9278125</v>
      </c>
      <c r="B992" s="4" t="s">
        <v>30</v>
      </c>
      <c r="C992" s="4" t="s">
        <v>21</v>
      </c>
      <c r="D992" s="4" t="s">
        <v>21</v>
      </c>
    </row>
    <row r="993">
      <c r="A993" s="5">
        <v>43805.36035879629</v>
      </c>
      <c r="B993" s="4" t="s">
        <v>30</v>
      </c>
      <c r="C993" s="4" t="s">
        <v>21</v>
      </c>
      <c r="D993" s="4" t="s">
        <v>21</v>
      </c>
    </row>
    <row r="994">
      <c r="A994" s="5">
        <v>43893.41023148148</v>
      </c>
      <c r="B994" s="4" t="s">
        <v>30</v>
      </c>
      <c r="C994" s="4" t="s">
        <v>21</v>
      </c>
      <c r="D994" s="4" t="s">
        <v>21</v>
      </c>
    </row>
    <row r="995">
      <c r="A995" s="5">
        <v>43963.40796296296</v>
      </c>
      <c r="B995" s="4" t="s">
        <v>30</v>
      </c>
      <c r="C995" s="4" t="s">
        <v>21</v>
      </c>
      <c r="D995" s="4" t="s">
        <v>21</v>
      </c>
    </row>
    <row r="996">
      <c r="A996" s="5">
        <v>43910.30662037037</v>
      </c>
      <c r="B996" s="4" t="s">
        <v>30</v>
      </c>
      <c r="C996" s="4" t="s">
        <v>21</v>
      </c>
      <c r="D996" s="4" t="s">
        <v>21</v>
      </c>
    </row>
    <row r="997">
      <c r="A997" s="5">
        <v>43920.58924768519</v>
      </c>
      <c r="B997" s="4" t="s">
        <v>30</v>
      </c>
      <c r="C997" s="4" t="s">
        <v>21</v>
      </c>
      <c r="D997" s="4" t="s">
        <v>21</v>
      </c>
    </row>
    <row r="998">
      <c r="A998" s="5">
        <v>43733.31407407407</v>
      </c>
      <c r="B998" s="4" t="s">
        <v>30</v>
      </c>
      <c r="C998" s="4" t="s">
        <v>21</v>
      </c>
      <c r="D998" s="4" t="s">
        <v>21</v>
      </c>
    </row>
    <row r="999">
      <c r="A999" s="5">
        <v>43901.424780092595</v>
      </c>
      <c r="B999" s="4" t="s">
        <v>30</v>
      </c>
      <c r="C999" s="4" t="s">
        <v>21</v>
      </c>
      <c r="D999" s="4" t="s">
        <v>21</v>
      </c>
    </row>
    <row r="1000">
      <c r="A1000" s="5">
        <v>43852.414513888885</v>
      </c>
      <c r="B1000" s="4" t="s">
        <v>30</v>
      </c>
      <c r="C1000" s="4" t="s">
        <v>21</v>
      </c>
      <c r="D1000" s="4" t="s">
        <v>21</v>
      </c>
    </row>
    <row r="1001">
      <c r="A1001" s="5">
        <v>43816.40982638889</v>
      </c>
      <c r="B1001" s="4" t="s">
        <v>30</v>
      </c>
      <c r="C1001" s="4" t="s">
        <v>21</v>
      </c>
      <c r="D1001" s="4" t="s">
        <v>21</v>
      </c>
    </row>
    <row r="1002">
      <c r="A1002" s="5">
        <v>43728.32494212963</v>
      </c>
      <c r="B1002" s="4" t="s">
        <v>30</v>
      </c>
      <c r="C1002" s="4" t="s">
        <v>21</v>
      </c>
      <c r="D1002" s="4" t="s">
        <v>21</v>
      </c>
    </row>
    <row r="1003">
      <c r="A1003" s="5">
        <v>43970.38953703704</v>
      </c>
      <c r="B1003" s="4" t="s">
        <v>30</v>
      </c>
      <c r="C1003" s="4" t="s">
        <v>21</v>
      </c>
      <c r="D1003" s="4" t="s">
        <v>21</v>
      </c>
    </row>
    <row r="1004">
      <c r="A1004" s="5">
        <v>43852.37326388889</v>
      </c>
      <c r="B1004" s="4" t="s">
        <v>30</v>
      </c>
      <c r="C1004" s="4" t="s">
        <v>21</v>
      </c>
      <c r="D1004" s="4" t="s">
        <v>21</v>
      </c>
    </row>
    <row r="1005">
      <c r="A1005" s="5">
        <v>43853.16960648148</v>
      </c>
      <c r="B1005" s="4" t="s">
        <v>30</v>
      </c>
      <c r="C1005" s="4" t="s">
        <v>21</v>
      </c>
      <c r="D1005" s="4" t="s">
        <v>21</v>
      </c>
    </row>
    <row r="1006">
      <c r="A1006" s="5">
        <v>43892.69118055556</v>
      </c>
      <c r="B1006" s="4" t="s">
        <v>30</v>
      </c>
      <c r="C1006" s="4" t="s">
        <v>21</v>
      </c>
      <c r="D1006" s="4" t="s">
        <v>21</v>
      </c>
    </row>
    <row r="1007">
      <c r="A1007" s="5">
        <v>43808.31287037037</v>
      </c>
      <c r="B1007" s="4" t="s">
        <v>30</v>
      </c>
      <c r="C1007" s="4" t="s">
        <v>21</v>
      </c>
      <c r="D1007" s="4" t="s">
        <v>21</v>
      </c>
    </row>
    <row r="1008">
      <c r="A1008" s="5">
        <v>43965.56925925926</v>
      </c>
      <c r="B1008" s="4" t="s">
        <v>30</v>
      </c>
      <c r="C1008" s="4" t="s">
        <v>21</v>
      </c>
      <c r="D1008" s="4" t="s">
        <v>21</v>
      </c>
    </row>
    <row r="1009">
      <c r="A1009" s="5">
        <v>43892.38990740741</v>
      </c>
      <c r="B1009" s="4" t="s">
        <v>30</v>
      </c>
      <c r="C1009" s="4" t="s">
        <v>21</v>
      </c>
      <c r="D1009" s="4" t="s">
        <v>21</v>
      </c>
    </row>
    <row r="1010">
      <c r="A1010" s="5">
        <v>43804.53108796296</v>
      </c>
      <c r="B1010" s="4" t="s">
        <v>30</v>
      </c>
      <c r="C1010" s="4" t="s">
        <v>21</v>
      </c>
      <c r="D1010" s="4" t="s">
        <v>21</v>
      </c>
    </row>
    <row r="1011">
      <c r="A1011" s="5">
        <v>43755.55810185185</v>
      </c>
      <c r="B1011" s="4" t="s">
        <v>30</v>
      </c>
      <c r="C1011" s="4" t="s">
        <v>21</v>
      </c>
      <c r="D1011" s="4" t="s">
        <v>21</v>
      </c>
    </row>
    <row r="1012">
      <c r="A1012" s="5">
        <v>43824.38369212963</v>
      </c>
      <c r="B1012" s="4" t="s">
        <v>30</v>
      </c>
      <c r="C1012" s="4" t="s">
        <v>23</v>
      </c>
      <c r="D1012" s="4" t="s">
        <v>21</v>
      </c>
    </row>
    <row r="1013">
      <c r="A1013" s="5">
        <v>43929.658634259256</v>
      </c>
      <c r="B1013" s="4" t="s">
        <v>30</v>
      </c>
      <c r="C1013" s="4" t="s">
        <v>21</v>
      </c>
      <c r="D1013" s="4" t="s">
        <v>21</v>
      </c>
    </row>
    <row r="1014">
      <c r="A1014" s="5">
        <v>43943.16521990741</v>
      </c>
      <c r="B1014" s="4" t="s">
        <v>30</v>
      </c>
      <c r="C1014" s="4" t="s">
        <v>21</v>
      </c>
      <c r="D1014" s="4" t="s">
        <v>21</v>
      </c>
    </row>
    <row r="1015">
      <c r="A1015" s="5">
        <v>43964.197430555556</v>
      </c>
      <c r="B1015" s="4" t="s">
        <v>30</v>
      </c>
      <c r="C1015" s="4" t="s">
        <v>21</v>
      </c>
      <c r="D1015" s="4" t="s">
        <v>21</v>
      </c>
    </row>
    <row r="1016">
      <c r="A1016" s="5">
        <v>43881.480787037035</v>
      </c>
      <c r="B1016" s="4" t="s">
        <v>30</v>
      </c>
      <c r="C1016" s="4" t="s">
        <v>21</v>
      </c>
      <c r="D1016" s="4" t="s">
        <v>21</v>
      </c>
    </row>
    <row r="1017">
      <c r="A1017" s="5">
        <v>43945.49234953704</v>
      </c>
      <c r="B1017" s="4" t="s">
        <v>30</v>
      </c>
      <c r="C1017" s="4" t="s">
        <v>21</v>
      </c>
      <c r="D1017" s="4" t="s">
        <v>21</v>
      </c>
    </row>
    <row r="1018">
      <c r="A1018" s="5">
        <v>43950.60857638889</v>
      </c>
      <c r="B1018" s="4" t="s">
        <v>30</v>
      </c>
      <c r="C1018" s="4" t="s">
        <v>21</v>
      </c>
      <c r="D1018" s="4" t="s">
        <v>21</v>
      </c>
    </row>
    <row r="1019">
      <c r="A1019" s="5">
        <v>43699.49208333333</v>
      </c>
      <c r="B1019" s="4" t="s">
        <v>30</v>
      </c>
      <c r="C1019" s="4" t="s">
        <v>21</v>
      </c>
      <c r="D1019" s="4" t="s">
        <v>21</v>
      </c>
    </row>
    <row r="1020">
      <c r="A1020" s="5">
        <v>43875.83814814815</v>
      </c>
      <c r="B1020" s="4" t="s">
        <v>30</v>
      </c>
      <c r="C1020" s="4" t="s">
        <v>21</v>
      </c>
      <c r="D1020" s="4" t="s">
        <v>21</v>
      </c>
    </row>
    <row r="1021">
      <c r="A1021" s="5">
        <v>43946.63893518518</v>
      </c>
      <c r="B1021" s="4" t="s">
        <v>30</v>
      </c>
      <c r="C1021" s="4" t="s">
        <v>21</v>
      </c>
      <c r="D1021" s="4" t="s">
        <v>21</v>
      </c>
    </row>
    <row r="1022">
      <c r="A1022" s="5">
        <v>43955.65002314815</v>
      </c>
      <c r="B1022" s="4" t="s">
        <v>30</v>
      </c>
      <c r="C1022" s="4" t="s">
        <v>21</v>
      </c>
      <c r="D1022" s="4" t="s">
        <v>21</v>
      </c>
    </row>
    <row r="1023">
      <c r="A1023" s="5">
        <v>43963.70701388889</v>
      </c>
      <c r="B1023" s="4" t="s">
        <v>30</v>
      </c>
      <c r="C1023" s="4" t="s">
        <v>21</v>
      </c>
      <c r="D1023" s="4" t="s">
        <v>21</v>
      </c>
    </row>
    <row r="1024">
      <c r="A1024" s="5">
        <v>43978.87252314815</v>
      </c>
      <c r="B1024" s="4" t="s">
        <v>30</v>
      </c>
      <c r="C1024" s="4" t="s">
        <v>21</v>
      </c>
      <c r="D1024" s="4" t="s">
        <v>21</v>
      </c>
    </row>
    <row r="1025">
      <c r="A1025" s="5">
        <v>43990.70991898148</v>
      </c>
      <c r="B1025" s="4" t="s">
        <v>30</v>
      </c>
      <c r="C1025" s="4" t="s">
        <v>21</v>
      </c>
      <c r="D1025" s="4" t="s">
        <v>21</v>
      </c>
    </row>
    <row r="1026">
      <c r="A1026" s="5">
        <v>43991.53184027778</v>
      </c>
      <c r="B1026" s="4" t="s">
        <v>30</v>
      </c>
      <c r="C1026" s="4" t="s">
        <v>21</v>
      </c>
      <c r="D1026" s="4" t="s">
        <v>21</v>
      </c>
    </row>
    <row r="1027">
      <c r="A1027" s="5">
        <v>43993.3650462963</v>
      </c>
      <c r="B1027" s="4" t="s">
        <v>30</v>
      </c>
      <c r="C1027" s="4" t="s">
        <v>21</v>
      </c>
      <c r="D1027" s="4" t="s">
        <v>21</v>
      </c>
    </row>
    <row r="1028" hidden="1">
      <c r="A1028" s="5">
        <v>44007.37150462963</v>
      </c>
      <c r="B1028" s="4" t="s">
        <v>31</v>
      </c>
      <c r="C1028" s="4" t="s">
        <v>21</v>
      </c>
      <c r="D1028" s="4" t="s">
        <v>21</v>
      </c>
    </row>
    <row r="1029">
      <c r="A1029" s="5">
        <v>43908.46402777778</v>
      </c>
      <c r="B1029" s="4" t="s">
        <v>30</v>
      </c>
      <c r="C1029" s="4" t="s">
        <v>21</v>
      </c>
      <c r="D1029" s="4" t="s">
        <v>21</v>
      </c>
    </row>
    <row r="1030">
      <c r="A1030" s="5">
        <v>43935.85265046296</v>
      </c>
      <c r="B1030" s="4" t="s">
        <v>30</v>
      </c>
      <c r="C1030" s="4" t="s">
        <v>21</v>
      </c>
      <c r="D1030" s="4" t="s">
        <v>21</v>
      </c>
    </row>
    <row r="1031">
      <c r="A1031" s="5">
        <v>43859.03737268518</v>
      </c>
      <c r="B1031" s="4" t="s">
        <v>30</v>
      </c>
      <c r="C1031" s="4" t="s">
        <v>21</v>
      </c>
      <c r="D1031" s="4" t="s">
        <v>23</v>
      </c>
    </row>
    <row r="1032">
      <c r="A1032" s="5">
        <v>43860.90159722222</v>
      </c>
      <c r="B1032" s="4" t="s">
        <v>30</v>
      </c>
      <c r="C1032" s="4" t="s">
        <v>21</v>
      </c>
      <c r="D1032" s="4" t="s">
        <v>23</v>
      </c>
    </row>
    <row r="1033">
      <c r="A1033" s="5">
        <v>43874.05961805556</v>
      </c>
      <c r="B1033" s="4" t="s">
        <v>30</v>
      </c>
      <c r="C1033" s="4" t="s">
        <v>21</v>
      </c>
      <c r="D1033" s="4" t="s">
        <v>21</v>
      </c>
    </row>
    <row r="1034">
      <c r="A1034" s="5">
        <v>43998.27637731482</v>
      </c>
      <c r="B1034" s="4" t="s">
        <v>30</v>
      </c>
      <c r="C1034" s="4" t="s">
        <v>21</v>
      </c>
      <c r="D1034" s="4" t="s">
        <v>21</v>
      </c>
    </row>
    <row r="1035">
      <c r="A1035" s="5">
        <v>43998.27800925926</v>
      </c>
      <c r="B1035" s="4" t="s">
        <v>30</v>
      </c>
      <c r="C1035" s="4" t="s">
        <v>21</v>
      </c>
      <c r="D1035" s="4" t="s">
        <v>21</v>
      </c>
    </row>
    <row r="1036">
      <c r="A1036" s="5">
        <v>43999.348125</v>
      </c>
      <c r="B1036" s="4" t="s">
        <v>30</v>
      </c>
      <c r="C1036" s="4" t="s">
        <v>21</v>
      </c>
      <c r="D1036" s="4" t="s">
        <v>21</v>
      </c>
    </row>
    <row r="1037">
      <c r="A1037" s="5">
        <v>43783.62688657407</v>
      </c>
      <c r="B1037" s="4" t="s">
        <v>30</v>
      </c>
      <c r="C1037" s="4" t="s">
        <v>21</v>
      </c>
      <c r="D1037" s="4" t="s">
        <v>21</v>
      </c>
    </row>
    <row r="1038">
      <c r="A1038" s="5">
        <v>43808.2965625</v>
      </c>
      <c r="B1038" s="4" t="s">
        <v>30</v>
      </c>
      <c r="C1038" s="4" t="s">
        <v>21</v>
      </c>
      <c r="D1038" s="4" t="s">
        <v>21</v>
      </c>
    </row>
    <row r="1039">
      <c r="A1039" s="5">
        <v>43808.322118055556</v>
      </c>
      <c r="B1039" s="4" t="s">
        <v>30</v>
      </c>
      <c r="C1039" s="4" t="s">
        <v>21</v>
      </c>
      <c r="D1039" s="4" t="s">
        <v>21</v>
      </c>
    </row>
    <row r="1040">
      <c r="A1040" s="5">
        <v>43873.53979166667</v>
      </c>
      <c r="B1040" s="4" t="s">
        <v>30</v>
      </c>
      <c r="C1040" s="4" t="s">
        <v>21</v>
      </c>
      <c r="D1040" s="4" t="s">
        <v>21</v>
      </c>
    </row>
    <row r="1041">
      <c r="A1041" s="5">
        <v>43906.46776620371</v>
      </c>
      <c r="B1041" s="4" t="s">
        <v>30</v>
      </c>
      <c r="C1041" s="4" t="s">
        <v>21</v>
      </c>
      <c r="D1041" s="4" t="s">
        <v>21</v>
      </c>
    </row>
    <row r="1042">
      <c r="A1042" s="5">
        <v>43805.41416666667</v>
      </c>
      <c r="B1042" s="4" t="s">
        <v>30</v>
      </c>
      <c r="C1042" s="4" t="s">
        <v>21</v>
      </c>
      <c r="D1042" s="4" t="s">
        <v>21</v>
      </c>
    </row>
    <row r="1043">
      <c r="A1043" s="5">
        <v>43780.46954861111</v>
      </c>
      <c r="B1043" s="4" t="s">
        <v>30</v>
      </c>
      <c r="C1043" s="4" t="s">
        <v>21</v>
      </c>
      <c r="D1043" s="4" t="s">
        <v>21</v>
      </c>
    </row>
    <row r="1044">
      <c r="A1044" s="5">
        <v>43851.6375</v>
      </c>
      <c r="B1044" s="4" t="s">
        <v>30</v>
      </c>
      <c r="C1044" s="4" t="s">
        <v>21</v>
      </c>
      <c r="D1044" s="4" t="s">
        <v>21</v>
      </c>
    </row>
    <row r="1045">
      <c r="A1045" s="5">
        <v>43879.1921875</v>
      </c>
      <c r="B1045" s="4" t="s">
        <v>30</v>
      </c>
      <c r="C1045" s="4" t="s">
        <v>21</v>
      </c>
      <c r="D1045" s="4" t="s">
        <v>21</v>
      </c>
    </row>
    <row r="1046">
      <c r="A1046" s="5">
        <v>43882.978738425925</v>
      </c>
      <c r="B1046" s="4" t="s">
        <v>30</v>
      </c>
      <c r="C1046" s="4" t="s">
        <v>21</v>
      </c>
      <c r="D1046" s="4" t="s">
        <v>21</v>
      </c>
    </row>
    <row r="1047">
      <c r="A1047" s="5">
        <v>43930.32703703704</v>
      </c>
      <c r="B1047" s="4" t="s">
        <v>30</v>
      </c>
      <c r="C1047" s="4" t="s">
        <v>21</v>
      </c>
      <c r="D1047" s="4" t="s">
        <v>21</v>
      </c>
    </row>
    <row r="1048">
      <c r="A1048" s="5">
        <v>43846.46055555555</v>
      </c>
      <c r="B1048" s="4" t="s">
        <v>30</v>
      </c>
      <c r="C1048" s="4" t="s">
        <v>21</v>
      </c>
      <c r="D1048" s="4" t="s">
        <v>21</v>
      </c>
    </row>
    <row r="1049">
      <c r="A1049" s="5">
        <v>43780.704618055555</v>
      </c>
      <c r="B1049" s="4" t="s">
        <v>30</v>
      </c>
      <c r="C1049" s="4" t="s">
        <v>21</v>
      </c>
      <c r="D1049" s="4" t="s">
        <v>21</v>
      </c>
    </row>
    <row r="1050">
      <c r="A1050" s="5">
        <v>43783.61671296296</v>
      </c>
      <c r="B1050" s="4" t="s">
        <v>30</v>
      </c>
      <c r="C1050" s="4" t="s">
        <v>21</v>
      </c>
      <c r="D1050" s="4" t="s">
        <v>21</v>
      </c>
    </row>
    <row r="1051">
      <c r="A1051" s="5">
        <v>43851.528715277775</v>
      </c>
      <c r="B1051" s="4" t="s">
        <v>30</v>
      </c>
      <c r="C1051" s="4" t="s">
        <v>21</v>
      </c>
      <c r="D1051" s="4" t="s">
        <v>21</v>
      </c>
    </row>
    <row r="1052" hidden="1">
      <c r="A1052" s="5">
        <v>43749.663125</v>
      </c>
      <c r="B1052" s="4" t="s">
        <v>31</v>
      </c>
      <c r="C1052" s="4" t="s">
        <v>21</v>
      </c>
      <c r="D1052" s="4" t="s">
        <v>21</v>
      </c>
    </row>
    <row r="1053">
      <c r="A1053" s="5">
        <v>43970.827939814815</v>
      </c>
      <c r="B1053" s="4" t="s">
        <v>30</v>
      </c>
      <c r="C1053" s="4" t="s">
        <v>21</v>
      </c>
      <c r="D1053" s="4" t="s">
        <v>21</v>
      </c>
    </row>
    <row r="1054">
      <c r="A1054" s="5">
        <v>43818.98747685185</v>
      </c>
      <c r="B1054" s="4" t="s">
        <v>30</v>
      </c>
      <c r="C1054" s="4" t="s">
        <v>21</v>
      </c>
      <c r="D1054" s="4" t="s">
        <v>21</v>
      </c>
    </row>
    <row r="1055">
      <c r="A1055" s="5">
        <v>43861.98190972222</v>
      </c>
      <c r="B1055" s="4" t="s">
        <v>30</v>
      </c>
      <c r="C1055" s="4" t="s">
        <v>21</v>
      </c>
      <c r="D1055" s="4" t="s">
        <v>23</v>
      </c>
    </row>
    <row r="1056">
      <c r="A1056" s="5">
        <v>43934.29414351852</v>
      </c>
      <c r="B1056" s="4" t="s">
        <v>30</v>
      </c>
      <c r="C1056" s="4" t="s">
        <v>21</v>
      </c>
      <c r="D1056" s="4" t="s">
        <v>21</v>
      </c>
    </row>
    <row r="1057">
      <c r="A1057" s="5">
        <v>43808.318715277775</v>
      </c>
      <c r="B1057" s="4" t="s">
        <v>30</v>
      </c>
      <c r="C1057" s="4" t="s">
        <v>21</v>
      </c>
      <c r="D1057" s="4" t="s">
        <v>21</v>
      </c>
    </row>
    <row r="1058">
      <c r="A1058" s="5">
        <v>43823.3578125</v>
      </c>
      <c r="B1058" s="4" t="s">
        <v>30</v>
      </c>
      <c r="C1058" s="4" t="s">
        <v>23</v>
      </c>
      <c r="D1058" s="4" t="s">
        <v>21</v>
      </c>
    </row>
    <row r="1059">
      <c r="A1059" s="5">
        <v>43825.299363425926</v>
      </c>
      <c r="B1059" s="4" t="s">
        <v>30</v>
      </c>
      <c r="C1059" s="4" t="s">
        <v>23</v>
      </c>
      <c r="D1059" s="4" t="s">
        <v>21</v>
      </c>
    </row>
    <row r="1060">
      <c r="A1060" s="5">
        <v>43903.4834375</v>
      </c>
      <c r="B1060" s="4" t="s">
        <v>30</v>
      </c>
      <c r="C1060" s="4" t="s">
        <v>21</v>
      </c>
      <c r="D1060" s="4" t="s">
        <v>21</v>
      </c>
    </row>
    <row r="1061">
      <c r="A1061" s="5">
        <v>43942.26457175926</v>
      </c>
      <c r="B1061" s="4" t="s">
        <v>30</v>
      </c>
      <c r="C1061" s="4" t="s">
        <v>21</v>
      </c>
      <c r="D1061" s="4" t="s">
        <v>21</v>
      </c>
    </row>
    <row r="1062">
      <c r="A1062" s="5">
        <v>43983.15550925926</v>
      </c>
      <c r="B1062" s="4" t="s">
        <v>30</v>
      </c>
      <c r="C1062" s="4" t="s">
        <v>21</v>
      </c>
      <c r="D1062" s="4" t="s">
        <v>21</v>
      </c>
    </row>
    <row r="1063" hidden="1">
      <c r="A1063" s="5">
        <v>43987.65289351852</v>
      </c>
      <c r="B1063" s="4" t="s">
        <v>32</v>
      </c>
      <c r="C1063" s="4" t="s">
        <v>21</v>
      </c>
      <c r="D1063" s="4" t="s">
        <v>21</v>
      </c>
    </row>
    <row r="1064">
      <c r="A1064" s="5">
        <v>43994.85150462963</v>
      </c>
      <c r="B1064" s="4" t="s">
        <v>30</v>
      </c>
      <c r="C1064" s="4" t="s">
        <v>21</v>
      </c>
      <c r="D1064" s="4" t="s">
        <v>21</v>
      </c>
    </row>
    <row r="1065">
      <c r="A1065" s="5">
        <v>43684.59501157407</v>
      </c>
      <c r="B1065" s="4" t="s">
        <v>30</v>
      </c>
      <c r="C1065" s="4" t="s">
        <v>21</v>
      </c>
      <c r="D1065" s="4" t="s">
        <v>21</v>
      </c>
    </row>
    <row r="1066">
      <c r="A1066" s="5">
        <v>43755.583020833335</v>
      </c>
      <c r="B1066" s="4" t="s">
        <v>30</v>
      </c>
      <c r="C1066" s="4" t="s">
        <v>21</v>
      </c>
      <c r="D1066" s="4" t="s">
        <v>21</v>
      </c>
    </row>
    <row r="1067">
      <c r="A1067" s="5">
        <v>43798.477002314816</v>
      </c>
      <c r="B1067" s="4" t="s">
        <v>30</v>
      </c>
      <c r="C1067" s="4" t="s">
        <v>21</v>
      </c>
      <c r="D1067" s="4" t="s">
        <v>21</v>
      </c>
    </row>
    <row r="1068">
      <c r="A1068" s="5">
        <v>43798.6721875</v>
      </c>
      <c r="B1068" s="4" t="s">
        <v>30</v>
      </c>
      <c r="C1068" s="4" t="s">
        <v>21</v>
      </c>
      <c r="D1068" s="4" t="s">
        <v>21</v>
      </c>
    </row>
    <row r="1069">
      <c r="A1069" s="5">
        <v>43805.34028935185</v>
      </c>
      <c r="B1069" s="4" t="s">
        <v>30</v>
      </c>
      <c r="C1069" s="4" t="s">
        <v>21</v>
      </c>
      <c r="D1069" s="4" t="s">
        <v>21</v>
      </c>
    </row>
    <row r="1070">
      <c r="A1070" s="5">
        <v>43811.40920138889</v>
      </c>
      <c r="B1070" s="4" t="s">
        <v>30</v>
      </c>
      <c r="C1070" s="4" t="s">
        <v>21</v>
      </c>
      <c r="D1070" s="4" t="s">
        <v>21</v>
      </c>
    </row>
    <row r="1071">
      <c r="A1071" s="5">
        <v>43817.65491898148</v>
      </c>
      <c r="B1071" s="4" t="s">
        <v>30</v>
      </c>
      <c r="C1071" s="4" t="s">
        <v>21</v>
      </c>
      <c r="D1071" s="4" t="s">
        <v>21</v>
      </c>
    </row>
    <row r="1072">
      <c r="A1072" s="5">
        <v>43818.23708333333</v>
      </c>
      <c r="B1072" s="4" t="s">
        <v>30</v>
      </c>
      <c r="C1072" s="4" t="s">
        <v>21</v>
      </c>
      <c r="D1072" s="4" t="s">
        <v>21</v>
      </c>
    </row>
    <row r="1073">
      <c r="A1073" s="5">
        <v>43840.58818287037</v>
      </c>
      <c r="B1073" s="4" t="s">
        <v>30</v>
      </c>
      <c r="C1073" s="4" t="s">
        <v>21</v>
      </c>
      <c r="D1073" s="4" t="s">
        <v>21</v>
      </c>
    </row>
    <row r="1074">
      <c r="A1074" s="5">
        <v>43846.74012731481</v>
      </c>
      <c r="B1074" s="4" t="s">
        <v>30</v>
      </c>
      <c r="C1074" s="4" t="s">
        <v>21</v>
      </c>
      <c r="D1074" s="4" t="s">
        <v>21</v>
      </c>
    </row>
    <row r="1075">
      <c r="A1075" s="5">
        <v>43846.81725694444</v>
      </c>
      <c r="B1075" s="4" t="s">
        <v>30</v>
      </c>
      <c r="C1075" s="4" t="s">
        <v>21</v>
      </c>
      <c r="D1075" s="4" t="s">
        <v>21</v>
      </c>
    </row>
    <row r="1076">
      <c r="A1076" s="5">
        <v>43879.31716435185</v>
      </c>
      <c r="B1076" s="4" t="s">
        <v>30</v>
      </c>
      <c r="C1076" s="4" t="s">
        <v>21</v>
      </c>
      <c r="D1076" s="4" t="s">
        <v>21</v>
      </c>
    </row>
    <row r="1077">
      <c r="A1077" s="5">
        <v>43903.34142361111</v>
      </c>
      <c r="B1077" s="4" t="s">
        <v>30</v>
      </c>
      <c r="C1077" s="4" t="s">
        <v>21</v>
      </c>
      <c r="D1077" s="4" t="s">
        <v>21</v>
      </c>
    </row>
    <row r="1078">
      <c r="A1078" s="5">
        <v>43920.33300925926</v>
      </c>
      <c r="B1078" s="4" t="s">
        <v>30</v>
      </c>
      <c r="C1078" s="4" t="s">
        <v>21</v>
      </c>
      <c r="D1078" s="4" t="s">
        <v>21</v>
      </c>
    </row>
    <row r="1079">
      <c r="A1079" s="5">
        <v>43922.42230324074</v>
      </c>
      <c r="B1079" s="4" t="s">
        <v>30</v>
      </c>
      <c r="C1079" s="4" t="s">
        <v>21</v>
      </c>
      <c r="D1079" s="4" t="s">
        <v>21</v>
      </c>
    </row>
    <row r="1080">
      <c r="A1080" s="5">
        <v>43928.44546296296</v>
      </c>
      <c r="B1080" s="4" t="s">
        <v>30</v>
      </c>
      <c r="C1080" s="4" t="s">
        <v>21</v>
      </c>
      <c r="D1080" s="4" t="s">
        <v>21</v>
      </c>
    </row>
    <row r="1081">
      <c r="A1081" s="5">
        <v>43936.36715277778</v>
      </c>
      <c r="B1081" s="4" t="s">
        <v>30</v>
      </c>
      <c r="C1081" s="4" t="s">
        <v>21</v>
      </c>
      <c r="D1081" s="4" t="s">
        <v>21</v>
      </c>
    </row>
    <row r="1082">
      <c r="A1082" s="5">
        <v>43943.32050925926</v>
      </c>
      <c r="B1082" s="4" t="s">
        <v>30</v>
      </c>
      <c r="C1082" s="4" t="s">
        <v>21</v>
      </c>
      <c r="D1082" s="4" t="s">
        <v>21</v>
      </c>
    </row>
    <row r="1083">
      <c r="A1083" s="5">
        <v>43817.448379629626</v>
      </c>
      <c r="B1083" s="4" t="s">
        <v>30</v>
      </c>
      <c r="C1083" s="4" t="s">
        <v>21</v>
      </c>
      <c r="D1083" s="4" t="s">
        <v>21</v>
      </c>
    </row>
    <row r="1084">
      <c r="A1084" s="5">
        <v>43879.76782407407</v>
      </c>
      <c r="B1084" s="4" t="s">
        <v>30</v>
      </c>
      <c r="C1084" s="4" t="s">
        <v>21</v>
      </c>
      <c r="D1084" s="4" t="s">
        <v>21</v>
      </c>
    </row>
    <row r="1085">
      <c r="A1085" s="5">
        <v>43896.634618055556</v>
      </c>
      <c r="B1085" s="4" t="s">
        <v>30</v>
      </c>
      <c r="C1085" s="4" t="s">
        <v>21</v>
      </c>
      <c r="D1085" s="4" t="s">
        <v>21</v>
      </c>
    </row>
    <row r="1086">
      <c r="A1086" s="5">
        <v>43914.27553240741</v>
      </c>
      <c r="B1086" s="4" t="s">
        <v>30</v>
      </c>
      <c r="C1086" s="4" t="s">
        <v>21</v>
      </c>
      <c r="D1086" s="4" t="s">
        <v>21</v>
      </c>
    </row>
    <row r="1087">
      <c r="A1087" s="5">
        <v>43978.264699074076</v>
      </c>
      <c r="B1087" s="4" t="s">
        <v>30</v>
      </c>
      <c r="C1087" s="4" t="s">
        <v>21</v>
      </c>
      <c r="D1087" s="4" t="s">
        <v>21</v>
      </c>
    </row>
    <row r="1088">
      <c r="A1088" s="5">
        <v>43801.60574074074</v>
      </c>
      <c r="B1088" s="4" t="s">
        <v>30</v>
      </c>
      <c r="C1088" s="4" t="s">
        <v>21</v>
      </c>
      <c r="D1088" s="4" t="s">
        <v>21</v>
      </c>
    </row>
    <row r="1089">
      <c r="A1089" s="5">
        <v>43802.61993055556</v>
      </c>
      <c r="B1089" s="4" t="s">
        <v>30</v>
      </c>
      <c r="C1089" s="4" t="s">
        <v>21</v>
      </c>
      <c r="D1089" s="4" t="s">
        <v>21</v>
      </c>
    </row>
    <row r="1090">
      <c r="A1090" s="5">
        <v>43916.477326388886</v>
      </c>
      <c r="B1090" s="4" t="s">
        <v>30</v>
      </c>
      <c r="C1090" s="4" t="s">
        <v>21</v>
      </c>
      <c r="D1090" s="4" t="s">
        <v>21</v>
      </c>
    </row>
    <row r="1091">
      <c r="A1091" s="5">
        <v>44005.51273148148</v>
      </c>
      <c r="B1091" s="4" t="s">
        <v>30</v>
      </c>
      <c r="C1091" s="4" t="s">
        <v>21</v>
      </c>
      <c r="D1091" s="4" t="s">
        <v>21</v>
      </c>
    </row>
    <row r="1092">
      <c r="A1092" s="5">
        <v>43908.13149305555</v>
      </c>
      <c r="B1092" s="4" t="s">
        <v>30</v>
      </c>
      <c r="C1092" s="4" t="s">
        <v>21</v>
      </c>
      <c r="D1092" s="4" t="s">
        <v>21</v>
      </c>
    </row>
    <row r="1093">
      <c r="A1093" s="5">
        <v>43707.657372685186</v>
      </c>
      <c r="B1093" s="4" t="s">
        <v>30</v>
      </c>
      <c r="C1093" s="4" t="s">
        <v>21</v>
      </c>
      <c r="D1093" s="4" t="s">
        <v>21</v>
      </c>
    </row>
    <row r="1094">
      <c r="A1094" s="5">
        <v>43830.54224537037</v>
      </c>
      <c r="B1094" s="4" t="s">
        <v>30</v>
      </c>
      <c r="C1094" s="4" t="s">
        <v>23</v>
      </c>
      <c r="D1094" s="4" t="s">
        <v>21</v>
      </c>
    </row>
    <row r="1095">
      <c r="A1095" s="5">
        <v>43864.549259259256</v>
      </c>
      <c r="B1095" s="4" t="s">
        <v>30</v>
      </c>
      <c r="C1095" s="4" t="s">
        <v>21</v>
      </c>
      <c r="D1095" s="4" t="s">
        <v>21</v>
      </c>
    </row>
    <row r="1096">
      <c r="A1096" s="5">
        <v>43991.73274305555</v>
      </c>
      <c r="B1096" s="4" t="s">
        <v>30</v>
      </c>
      <c r="C1096" s="4" t="s">
        <v>21</v>
      </c>
      <c r="D1096" s="4" t="s">
        <v>21</v>
      </c>
    </row>
    <row r="1097">
      <c r="A1097" s="5">
        <v>43768.53488425926</v>
      </c>
      <c r="B1097" s="4" t="s">
        <v>30</v>
      </c>
      <c r="C1097" s="4" t="s">
        <v>21</v>
      </c>
      <c r="D1097" s="4" t="s">
        <v>21</v>
      </c>
    </row>
    <row r="1098">
      <c r="A1098" s="5">
        <v>43857.47138888889</v>
      </c>
      <c r="B1098" s="4" t="s">
        <v>30</v>
      </c>
      <c r="C1098" s="4" t="s">
        <v>21</v>
      </c>
      <c r="D1098" s="4" t="s">
        <v>23</v>
      </c>
    </row>
    <row r="1099">
      <c r="A1099" s="5">
        <v>43795.445081018515</v>
      </c>
      <c r="B1099" s="4" t="s">
        <v>30</v>
      </c>
      <c r="C1099" s="4" t="s">
        <v>21</v>
      </c>
      <c r="D1099" s="4" t="s">
        <v>21</v>
      </c>
    </row>
    <row r="1100">
      <c r="A1100" s="5">
        <v>43832.59079861111</v>
      </c>
      <c r="B1100" s="4" t="s">
        <v>30</v>
      </c>
      <c r="C1100" s="4" t="s">
        <v>23</v>
      </c>
      <c r="D1100" s="4" t="s">
        <v>21</v>
      </c>
    </row>
    <row r="1101">
      <c r="A1101" s="5">
        <v>43832.7090625</v>
      </c>
      <c r="B1101" s="4" t="s">
        <v>30</v>
      </c>
      <c r="C1101" s="4" t="s">
        <v>23</v>
      </c>
      <c r="D1101" s="4" t="s">
        <v>21</v>
      </c>
    </row>
    <row r="1102">
      <c r="A1102" s="5">
        <v>43878.264328703706</v>
      </c>
      <c r="B1102" s="4" t="s">
        <v>30</v>
      </c>
      <c r="C1102" s="4" t="s">
        <v>21</v>
      </c>
      <c r="D1102" s="4" t="s">
        <v>21</v>
      </c>
    </row>
    <row r="1103">
      <c r="A1103" s="5">
        <v>43897.7094212963</v>
      </c>
      <c r="B1103" s="4" t="s">
        <v>30</v>
      </c>
      <c r="C1103" s="4" t="s">
        <v>21</v>
      </c>
      <c r="D1103" s="4" t="s">
        <v>21</v>
      </c>
    </row>
    <row r="1104">
      <c r="A1104" s="5">
        <v>43917.39809027778</v>
      </c>
      <c r="B1104" s="4" t="s">
        <v>30</v>
      </c>
      <c r="C1104" s="4" t="s">
        <v>21</v>
      </c>
      <c r="D1104" s="4" t="s">
        <v>21</v>
      </c>
    </row>
    <row r="1105">
      <c r="A1105" s="5">
        <v>43924.502430555556</v>
      </c>
      <c r="B1105" s="4" t="s">
        <v>30</v>
      </c>
      <c r="C1105" s="4" t="s">
        <v>21</v>
      </c>
      <c r="D1105" s="4" t="s">
        <v>21</v>
      </c>
    </row>
    <row r="1106">
      <c r="A1106" s="5">
        <v>43929.40519675926</v>
      </c>
      <c r="B1106" s="4" t="s">
        <v>30</v>
      </c>
      <c r="C1106" s="4" t="s">
        <v>21</v>
      </c>
      <c r="D1106" s="4" t="s">
        <v>21</v>
      </c>
    </row>
    <row r="1107">
      <c r="A1107" s="5">
        <v>43951.341458333336</v>
      </c>
      <c r="B1107" s="4" t="s">
        <v>30</v>
      </c>
      <c r="C1107" s="4" t="s">
        <v>21</v>
      </c>
      <c r="D1107" s="4" t="s">
        <v>21</v>
      </c>
    </row>
    <row r="1108">
      <c r="A1108" s="5">
        <v>43977.682534722226</v>
      </c>
      <c r="B1108" s="4" t="s">
        <v>30</v>
      </c>
      <c r="C1108" s="4" t="s">
        <v>21</v>
      </c>
      <c r="D1108" s="4" t="s">
        <v>21</v>
      </c>
    </row>
    <row r="1109">
      <c r="A1109" s="5">
        <v>43809.43171296296</v>
      </c>
      <c r="B1109" s="4" t="s">
        <v>30</v>
      </c>
      <c r="C1109" s="4" t="s">
        <v>21</v>
      </c>
      <c r="D1109" s="4" t="s">
        <v>21</v>
      </c>
    </row>
    <row r="1110">
      <c r="A1110" s="5">
        <v>43852.386979166666</v>
      </c>
      <c r="B1110" s="4" t="s">
        <v>30</v>
      </c>
      <c r="C1110" s="4" t="s">
        <v>21</v>
      </c>
      <c r="D1110" s="4" t="s">
        <v>21</v>
      </c>
    </row>
    <row r="1111">
      <c r="A1111" s="5">
        <v>43913.48171296297</v>
      </c>
      <c r="B1111" s="4" t="s">
        <v>30</v>
      </c>
      <c r="C1111" s="4" t="s">
        <v>21</v>
      </c>
      <c r="D1111" s="4" t="s">
        <v>21</v>
      </c>
    </row>
    <row r="1112">
      <c r="A1112" s="5">
        <v>43921.838425925926</v>
      </c>
      <c r="B1112" s="4" t="s">
        <v>30</v>
      </c>
      <c r="C1112" s="4" t="s">
        <v>21</v>
      </c>
      <c r="D1112" s="4" t="s">
        <v>21</v>
      </c>
    </row>
    <row r="1113">
      <c r="A1113" s="5">
        <v>43978.73012731481</v>
      </c>
      <c r="B1113" s="4" t="s">
        <v>30</v>
      </c>
      <c r="C1113" s="4" t="s">
        <v>21</v>
      </c>
      <c r="D1113" s="4" t="s">
        <v>21</v>
      </c>
    </row>
    <row r="1114">
      <c r="A1114" s="5">
        <v>43985.62552083333</v>
      </c>
      <c r="B1114" s="4" t="s">
        <v>30</v>
      </c>
      <c r="C1114" s="4" t="s">
        <v>21</v>
      </c>
      <c r="D1114" s="4" t="s">
        <v>21</v>
      </c>
    </row>
    <row r="1115">
      <c r="A1115" s="5">
        <v>43788.30332175926</v>
      </c>
      <c r="B1115" s="4" t="s">
        <v>30</v>
      </c>
      <c r="C1115" s="4" t="s">
        <v>21</v>
      </c>
      <c r="D1115" s="4" t="s">
        <v>21</v>
      </c>
    </row>
    <row r="1116">
      <c r="A1116" s="5">
        <v>43804.657743055555</v>
      </c>
      <c r="B1116" s="4" t="s">
        <v>30</v>
      </c>
      <c r="C1116" s="4" t="s">
        <v>21</v>
      </c>
      <c r="D1116" s="4" t="s">
        <v>21</v>
      </c>
    </row>
    <row r="1117">
      <c r="A1117" s="5">
        <v>43874.415671296294</v>
      </c>
      <c r="B1117" s="4" t="s">
        <v>30</v>
      </c>
      <c r="C1117" s="4" t="s">
        <v>21</v>
      </c>
      <c r="D1117" s="4" t="s">
        <v>21</v>
      </c>
    </row>
    <row r="1118">
      <c r="A1118" s="5">
        <v>43885.58331018518</v>
      </c>
      <c r="B1118" s="4" t="s">
        <v>30</v>
      </c>
      <c r="C1118" s="4" t="s">
        <v>21</v>
      </c>
      <c r="D1118" s="4" t="s">
        <v>21</v>
      </c>
    </row>
    <row r="1119">
      <c r="A1119" s="5">
        <v>43888.48842592593</v>
      </c>
      <c r="B1119" s="4" t="s">
        <v>30</v>
      </c>
      <c r="C1119" s="4" t="s">
        <v>21</v>
      </c>
      <c r="D1119" s="4" t="s">
        <v>21</v>
      </c>
    </row>
    <row r="1120">
      <c r="A1120" s="5">
        <v>43894.3750462963</v>
      </c>
      <c r="B1120" s="4" t="s">
        <v>30</v>
      </c>
      <c r="C1120" s="4" t="s">
        <v>21</v>
      </c>
      <c r="D1120" s="4" t="s">
        <v>21</v>
      </c>
    </row>
    <row r="1121">
      <c r="A1121" s="5">
        <v>43963.48060185185</v>
      </c>
      <c r="B1121" s="4" t="s">
        <v>30</v>
      </c>
      <c r="C1121" s="4" t="s">
        <v>21</v>
      </c>
      <c r="D1121" s="4" t="s">
        <v>21</v>
      </c>
    </row>
    <row r="1122">
      <c r="A1122" s="5">
        <v>43992.850266203706</v>
      </c>
      <c r="B1122" s="4" t="s">
        <v>30</v>
      </c>
      <c r="C1122" s="4" t="s">
        <v>21</v>
      </c>
      <c r="D1122" s="4" t="s">
        <v>21</v>
      </c>
    </row>
    <row r="1123">
      <c r="A1123" s="5">
        <v>43697.666655092595</v>
      </c>
      <c r="B1123" s="4" t="s">
        <v>30</v>
      </c>
      <c r="C1123" s="4" t="s">
        <v>21</v>
      </c>
      <c r="D1123" s="4" t="s">
        <v>21</v>
      </c>
    </row>
    <row r="1124">
      <c r="A1124" s="5">
        <v>43781.45177083334</v>
      </c>
      <c r="B1124" s="4" t="s">
        <v>30</v>
      </c>
      <c r="C1124" s="4" t="s">
        <v>21</v>
      </c>
      <c r="D1124" s="4" t="s">
        <v>21</v>
      </c>
    </row>
    <row r="1125">
      <c r="A1125" s="5">
        <v>43781.47974537037</v>
      </c>
      <c r="B1125" s="4" t="s">
        <v>30</v>
      </c>
      <c r="C1125" s="4" t="s">
        <v>21</v>
      </c>
      <c r="D1125" s="4" t="s">
        <v>21</v>
      </c>
    </row>
    <row r="1126">
      <c r="A1126" s="5">
        <v>43781.6046412037</v>
      </c>
      <c r="B1126" s="4" t="s">
        <v>30</v>
      </c>
      <c r="C1126" s="4" t="s">
        <v>21</v>
      </c>
      <c r="D1126" s="4" t="s">
        <v>21</v>
      </c>
    </row>
    <row r="1127">
      <c r="A1127" s="5">
        <v>43837.46686342593</v>
      </c>
      <c r="B1127" s="4" t="s">
        <v>30</v>
      </c>
      <c r="C1127" s="4" t="s">
        <v>21</v>
      </c>
      <c r="D1127" s="4" t="s">
        <v>21</v>
      </c>
    </row>
    <row r="1128">
      <c r="A1128" s="5">
        <v>43837.46693287037</v>
      </c>
      <c r="B1128" s="4" t="s">
        <v>30</v>
      </c>
      <c r="C1128" s="4" t="s">
        <v>21</v>
      </c>
      <c r="D1128" s="4" t="s">
        <v>21</v>
      </c>
    </row>
    <row r="1129">
      <c r="A1129" s="5">
        <v>43861.5890625</v>
      </c>
      <c r="B1129" s="4" t="s">
        <v>30</v>
      </c>
      <c r="C1129" s="4" t="s">
        <v>21</v>
      </c>
      <c r="D1129" s="4" t="s">
        <v>23</v>
      </c>
    </row>
    <row r="1130">
      <c r="A1130" s="5">
        <v>43910.31383101852</v>
      </c>
      <c r="B1130" s="4" t="s">
        <v>30</v>
      </c>
      <c r="C1130" s="4" t="s">
        <v>21</v>
      </c>
      <c r="D1130" s="4" t="s">
        <v>21</v>
      </c>
    </row>
    <row r="1131">
      <c r="A1131" s="5">
        <v>43924.61638888889</v>
      </c>
      <c r="B1131" s="4" t="s">
        <v>30</v>
      </c>
      <c r="C1131" s="4" t="s">
        <v>21</v>
      </c>
      <c r="D1131" s="4" t="s">
        <v>21</v>
      </c>
    </row>
    <row r="1132">
      <c r="A1132" s="5">
        <v>43929.63364583333</v>
      </c>
      <c r="B1132" s="4" t="s">
        <v>30</v>
      </c>
      <c r="C1132" s="4" t="s">
        <v>21</v>
      </c>
      <c r="D1132" s="4" t="s">
        <v>21</v>
      </c>
    </row>
    <row r="1133">
      <c r="A1133" s="5">
        <v>43957.25034722222</v>
      </c>
      <c r="B1133" s="4" t="s">
        <v>30</v>
      </c>
      <c r="C1133" s="4" t="s">
        <v>21</v>
      </c>
      <c r="D1133" s="4" t="s">
        <v>21</v>
      </c>
    </row>
    <row r="1134">
      <c r="A1134" s="5">
        <v>43969.31962962963</v>
      </c>
      <c r="B1134" s="4" t="s">
        <v>30</v>
      </c>
      <c r="C1134" s="4" t="s">
        <v>21</v>
      </c>
      <c r="D1134" s="4" t="s">
        <v>21</v>
      </c>
    </row>
    <row r="1135">
      <c r="A1135" s="5">
        <v>44001.29961805556</v>
      </c>
      <c r="B1135" s="4" t="s">
        <v>30</v>
      </c>
      <c r="C1135" s="4" t="s">
        <v>21</v>
      </c>
      <c r="D1135" s="4" t="s">
        <v>21</v>
      </c>
    </row>
    <row r="1136">
      <c r="A1136" s="5">
        <v>43684.58939814815</v>
      </c>
      <c r="B1136" s="4" t="s">
        <v>30</v>
      </c>
      <c r="C1136" s="4" t="s">
        <v>21</v>
      </c>
      <c r="D1136" s="4" t="s">
        <v>21</v>
      </c>
    </row>
    <row r="1137">
      <c r="A1137" s="5">
        <v>43825.38521990741</v>
      </c>
      <c r="B1137" s="4" t="s">
        <v>30</v>
      </c>
      <c r="C1137" s="4" t="s">
        <v>23</v>
      </c>
      <c r="D1137" s="4" t="s">
        <v>21</v>
      </c>
    </row>
    <row r="1138">
      <c r="A1138" s="5">
        <v>43909.25134259259</v>
      </c>
      <c r="B1138" s="4" t="s">
        <v>30</v>
      </c>
      <c r="C1138" s="4" t="s">
        <v>21</v>
      </c>
      <c r="D1138" s="4" t="s">
        <v>21</v>
      </c>
    </row>
    <row r="1139">
      <c r="A1139" s="5">
        <v>43950.41465277778</v>
      </c>
      <c r="B1139" s="4" t="s">
        <v>30</v>
      </c>
      <c r="C1139" s="4" t="s">
        <v>21</v>
      </c>
      <c r="D1139" s="4" t="s">
        <v>21</v>
      </c>
    </row>
    <row r="1140">
      <c r="A1140" s="5">
        <v>43818.24790509259</v>
      </c>
      <c r="B1140" s="4" t="s">
        <v>30</v>
      </c>
      <c r="C1140" s="4" t="s">
        <v>21</v>
      </c>
      <c r="D1140" s="4" t="s">
        <v>21</v>
      </c>
    </row>
    <row r="1141">
      <c r="A1141" s="5">
        <v>43867.39376157407</v>
      </c>
      <c r="B1141" s="4" t="s">
        <v>30</v>
      </c>
      <c r="C1141" s="4" t="s">
        <v>21</v>
      </c>
      <c r="D1141" s="4" t="s">
        <v>21</v>
      </c>
    </row>
    <row r="1142">
      <c r="A1142" s="5">
        <v>43857.563738425924</v>
      </c>
      <c r="B1142" s="4" t="s">
        <v>30</v>
      </c>
      <c r="C1142" s="4" t="s">
        <v>21</v>
      </c>
      <c r="D1142" s="4" t="s">
        <v>23</v>
      </c>
    </row>
    <row r="1143" hidden="1">
      <c r="A1143" s="5">
        <v>43839.56358796296</v>
      </c>
      <c r="B1143" s="4" t="s">
        <v>32</v>
      </c>
      <c r="C1143" s="4" t="s">
        <v>21</v>
      </c>
      <c r="D1143" s="4" t="s">
        <v>21</v>
      </c>
    </row>
    <row r="1144">
      <c r="A1144" s="5">
        <v>43746.13805555556</v>
      </c>
      <c r="B1144" s="4" t="s">
        <v>30</v>
      </c>
      <c r="C1144" s="4" t="s">
        <v>21</v>
      </c>
      <c r="D1144" s="4" t="s">
        <v>21</v>
      </c>
    </row>
    <row r="1145">
      <c r="A1145" s="5">
        <v>43746.149351851855</v>
      </c>
      <c r="B1145" s="4" t="s">
        <v>30</v>
      </c>
      <c r="C1145" s="4" t="s">
        <v>21</v>
      </c>
      <c r="D1145" s="4" t="s">
        <v>21</v>
      </c>
    </row>
    <row r="1146">
      <c r="A1146" s="5">
        <v>43788.54278935185</v>
      </c>
      <c r="B1146" s="4" t="s">
        <v>30</v>
      </c>
      <c r="C1146" s="4" t="s">
        <v>21</v>
      </c>
      <c r="D1146" s="4" t="s">
        <v>21</v>
      </c>
    </row>
    <row r="1147">
      <c r="A1147" s="5">
        <v>43796.785787037035</v>
      </c>
      <c r="B1147" s="4" t="s">
        <v>30</v>
      </c>
      <c r="C1147" s="4" t="s">
        <v>21</v>
      </c>
      <c r="D1147" s="4" t="s">
        <v>21</v>
      </c>
    </row>
    <row r="1148">
      <c r="A1148" s="5">
        <v>43839.92153935185</v>
      </c>
      <c r="B1148" s="4" t="s">
        <v>30</v>
      </c>
      <c r="C1148" s="4" t="s">
        <v>21</v>
      </c>
      <c r="D1148" s="4" t="s">
        <v>21</v>
      </c>
    </row>
    <row r="1149">
      <c r="A1149" s="5">
        <v>43839.929930555554</v>
      </c>
      <c r="B1149" s="4" t="s">
        <v>30</v>
      </c>
      <c r="C1149" s="4" t="s">
        <v>21</v>
      </c>
      <c r="D1149" s="4" t="s">
        <v>21</v>
      </c>
    </row>
    <row r="1150">
      <c r="A1150" s="5">
        <v>43872.36195601852</v>
      </c>
      <c r="B1150" s="4" t="s">
        <v>30</v>
      </c>
      <c r="C1150" s="4" t="s">
        <v>21</v>
      </c>
      <c r="D1150" s="4" t="s">
        <v>21</v>
      </c>
    </row>
    <row r="1151">
      <c r="A1151" s="5">
        <v>43873.05337962963</v>
      </c>
      <c r="B1151" s="4" t="s">
        <v>30</v>
      </c>
      <c r="C1151" s="4" t="s">
        <v>21</v>
      </c>
      <c r="D1151" s="4" t="s">
        <v>21</v>
      </c>
    </row>
    <row r="1152">
      <c r="A1152" s="5">
        <v>43928.34326388889</v>
      </c>
      <c r="B1152" s="4" t="s">
        <v>30</v>
      </c>
      <c r="C1152" s="4" t="s">
        <v>21</v>
      </c>
      <c r="D1152" s="4" t="s">
        <v>21</v>
      </c>
    </row>
    <row r="1153">
      <c r="A1153" s="5">
        <v>43956.34585648148</v>
      </c>
      <c r="B1153" s="4" t="s">
        <v>30</v>
      </c>
      <c r="C1153" s="4" t="s">
        <v>21</v>
      </c>
      <c r="D1153" s="4" t="s">
        <v>21</v>
      </c>
    </row>
    <row r="1154">
      <c r="A1154" s="5">
        <v>43888.328564814816</v>
      </c>
      <c r="B1154" s="4" t="s">
        <v>30</v>
      </c>
      <c r="C1154" s="4" t="s">
        <v>21</v>
      </c>
      <c r="D1154" s="4" t="s">
        <v>21</v>
      </c>
    </row>
    <row r="1155">
      <c r="A1155" s="5">
        <v>43914.42244212963</v>
      </c>
      <c r="B1155" s="4" t="s">
        <v>30</v>
      </c>
      <c r="C1155" s="4" t="s">
        <v>21</v>
      </c>
      <c r="D1155" s="4" t="s">
        <v>21</v>
      </c>
    </row>
    <row r="1156">
      <c r="A1156" s="5">
        <v>43810.54699074074</v>
      </c>
      <c r="B1156" s="4" t="s">
        <v>30</v>
      </c>
      <c r="C1156" s="4" t="s">
        <v>21</v>
      </c>
      <c r="D1156" s="4" t="s">
        <v>21</v>
      </c>
    </row>
    <row r="1157">
      <c r="A1157" s="5">
        <v>43742.06439814815</v>
      </c>
      <c r="B1157" s="4" t="s">
        <v>30</v>
      </c>
      <c r="C1157" s="4" t="s">
        <v>21</v>
      </c>
      <c r="D1157" s="4" t="s">
        <v>21</v>
      </c>
    </row>
    <row r="1158">
      <c r="A1158" s="5">
        <v>43803.37017361111</v>
      </c>
      <c r="B1158" s="4" t="s">
        <v>30</v>
      </c>
      <c r="C1158" s="4" t="s">
        <v>21</v>
      </c>
      <c r="D1158" s="4" t="s">
        <v>21</v>
      </c>
    </row>
    <row r="1159">
      <c r="A1159" s="5">
        <v>43805.34600694444</v>
      </c>
      <c r="B1159" s="4" t="s">
        <v>30</v>
      </c>
      <c r="C1159" s="4" t="s">
        <v>21</v>
      </c>
      <c r="D1159" s="4" t="s">
        <v>21</v>
      </c>
    </row>
    <row r="1160">
      <c r="A1160" s="5">
        <v>43808.40484953704</v>
      </c>
      <c r="B1160" s="4" t="s">
        <v>30</v>
      </c>
      <c r="C1160" s="4" t="s">
        <v>21</v>
      </c>
      <c r="D1160" s="4" t="s">
        <v>21</v>
      </c>
    </row>
    <row r="1161">
      <c r="A1161" s="5">
        <v>43746.62096064815</v>
      </c>
      <c r="B1161" s="4" t="s">
        <v>30</v>
      </c>
      <c r="C1161" s="4" t="s">
        <v>21</v>
      </c>
      <c r="D1161" s="4" t="s">
        <v>21</v>
      </c>
    </row>
    <row r="1162">
      <c r="A1162" s="5">
        <v>43810.55976851852</v>
      </c>
      <c r="B1162" s="4" t="s">
        <v>30</v>
      </c>
      <c r="C1162" s="4" t="s">
        <v>21</v>
      </c>
      <c r="D1162" s="4" t="s">
        <v>21</v>
      </c>
    </row>
    <row r="1163">
      <c r="A1163" s="5">
        <v>43916.45686342593</v>
      </c>
      <c r="B1163" s="4" t="s">
        <v>30</v>
      </c>
      <c r="C1163" s="4" t="s">
        <v>21</v>
      </c>
      <c r="D1163" s="4" t="s">
        <v>21</v>
      </c>
    </row>
    <row r="1164">
      <c r="A1164" s="5">
        <v>43991.61032407408</v>
      </c>
      <c r="B1164" s="4" t="s">
        <v>30</v>
      </c>
      <c r="C1164" s="4" t="s">
        <v>21</v>
      </c>
      <c r="D1164" s="4" t="s">
        <v>21</v>
      </c>
    </row>
    <row r="1165">
      <c r="A1165" s="5">
        <v>43885.551875</v>
      </c>
      <c r="B1165" s="4" t="s">
        <v>30</v>
      </c>
      <c r="C1165" s="4" t="s">
        <v>21</v>
      </c>
      <c r="D1165" s="4" t="s">
        <v>21</v>
      </c>
    </row>
    <row r="1166">
      <c r="A1166" s="5">
        <v>43808.348657407405</v>
      </c>
      <c r="B1166" s="4" t="s">
        <v>30</v>
      </c>
      <c r="C1166" s="4" t="s">
        <v>21</v>
      </c>
      <c r="D1166" s="4" t="s">
        <v>21</v>
      </c>
    </row>
    <row r="1167">
      <c r="A1167" s="5">
        <v>43808.36238425926</v>
      </c>
      <c r="B1167" s="4" t="s">
        <v>30</v>
      </c>
      <c r="C1167" s="4" t="s">
        <v>21</v>
      </c>
      <c r="D1167" s="4" t="s">
        <v>21</v>
      </c>
    </row>
    <row r="1168">
      <c r="A1168" s="5">
        <v>43808.38737268518</v>
      </c>
      <c r="B1168" s="4" t="s">
        <v>30</v>
      </c>
      <c r="C1168" s="4" t="s">
        <v>21</v>
      </c>
      <c r="D1168" s="4" t="s">
        <v>21</v>
      </c>
    </row>
    <row r="1169">
      <c r="A1169" s="5">
        <v>43901.420625</v>
      </c>
      <c r="B1169" s="4" t="s">
        <v>30</v>
      </c>
      <c r="C1169" s="4" t="s">
        <v>21</v>
      </c>
      <c r="D1169" s="4" t="s">
        <v>21</v>
      </c>
    </row>
    <row r="1170">
      <c r="A1170" s="5">
        <v>43966.52019675926</v>
      </c>
      <c r="B1170" s="4" t="s">
        <v>30</v>
      </c>
      <c r="C1170" s="4" t="s">
        <v>21</v>
      </c>
      <c r="D1170" s="4" t="s">
        <v>21</v>
      </c>
    </row>
    <row r="1171">
      <c r="A1171" s="5">
        <v>43812.431805555556</v>
      </c>
      <c r="B1171" s="4" t="s">
        <v>30</v>
      </c>
      <c r="C1171" s="4" t="s">
        <v>21</v>
      </c>
      <c r="D1171" s="4" t="s">
        <v>21</v>
      </c>
    </row>
    <row r="1172">
      <c r="A1172" s="5">
        <v>43798.31302083333</v>
      </c>
      <c r="B1172" s="4" t="s">
        <v>30</v>
      </c>
      <c r="C1172" s="4" t="s">
        <v>21</v>
      </c>
      <c r="D1172" s="4" t="s">
        <v>21</v>
      </c>
    </row>
    <row r="1173">
      <c r="A1173" s="5">
        <v>43915.523194444446</v>
      </c>
      <c r="B1173" s="4" t="s">
        <v>30</v>
      </c>
      <c r="C1173" s="4" t="s">
        <v>21</v>
      </c>
      <c r="D1173" s="4" t="s">
        <v>21</v>
      </c>
    </row>
    <row r="1174">
      <c r="A1174" s="5">
        <v>43808.40719907408</v>
      </c>
      <c r="B1174" s="4" t="s">
        <v>30</v>
      </c>
      <c r="C1174" s="4" t="s">
        <v>21</v>
      </c>
      <c r="D1174" s="4" t="s">
        <v>21</v>
      </c>
    </row>
    <row r="1175">
      <c r="A1175" s="5">
        <v>43808.418032407404</v>
      </c>
      <c r="B1175" s="4" t="s">
        <v>30</v>
      </c>
      <c r="C1175" s="4" t="s">
        <v>21</v>
      </c>
      <c r="D1175" s="4" t="s">
        <v>21</v>
      </c>
    </row>
    <row r="1176">
      <c r="A1176" s="5">
        <v>43923.40515046296</v>
      </c>
      <c r="B1176" s="4" t="s">
        <v>30</v>
      </c>
      <c r="C1176" s="4" t="s">
        <v>21</v>
      </c>
      <c r="D1176" s="4" t="s">
        <v>21</v>
      </c>
    </row>
    <row r="1177">
      <c r="A1177" s="5">
        <v>43923.532546296294</v>
      </c>
      <c r="B1177" s="4" t="s">
        <v>30</v>
      </c>
      <c r="C1177" s="4" t="s">
        <v>21</v>
      </c>
      <c r="D1177" s="4" t="s">
        <v>21</v>
      </c>
    </row>
    <row r="1178">
      <c r="A1178" s="5">
        <v>43790.39662037037</v>
      </c>
      <c r="B1178" s="4" t="s">
        <v>30</v>
      </c>
      <c r="C1178" s="4" t="s">
        <v>21</v>
      </c>
      <c r="D1178" s="4" t="s">
        <v>21</v>
      </c>
    </row>
    <row r="1179">
      <c r="A1179" s="5">
        <v>43809.444652777776</v>
      </c>
      <c r="B1179" s="4" t="s">
        <v>30</v>
      </c>
      <c r="C1179" s="4" t="s">
        <v>21</v>
      </c>
      <c r="D1179" s="4" t="s">
        <v>21</v>
      </c>
    </row>
    <row r="1180">
      <c r="A1180" s="5">
        <v>43867.510659722226</v>
      </c>
      <c r="B1180" s="4" t="s">
        <v>30</v>
      </c>
      <c r="C1180" s="4" t="s">
        <v>21</v>
      </c>
      <c r="D1180" s="4" t="s">
        <v>21</v>
      </c>
    </row>
    <row r="1181">
      <c r="A1181" s="5">
        <v>43908.440358796295</v>
      </c>
      <c r="B1181" s="4" t="s">
        <v>30</v>
      </c>
      <c r="C1181" s="4" t="s">
        <v>21</v>
      </c>
      <c r="D1181" s="4" t="s">
        <v>21</v>
      </c>
    </row>
    <row r="1182">
      <c r="A1182" s="5">
        <v>43915.52302083333</v>
      </c>
      <c r="B1182" s="4" t="s">
        <v>30</v>
      </c>
      <c r="C1182" s="4" t="s">
        <v>21</v>
      </c>
      <c r="D1182" s="4" t="s">
        <v>21</v>
      </c>
    </row>
    <row r="1183">
      <c r="A1183" s="5">
        <v>43915.52309027778</v>
      </c>
      <c r="B1183" s="4" t="s">
        <v>30</v>
      </c>
      <c r="C1183" s="4" t="s">
        <v>21</v>
      </c>
      <c r="D1183" s="4" t="s">
        <v>21</v>
      </c>
    </row>
    <row r="1184">
      <c r="A1184" s="5">
        <v>43745.4178125</v>
      </c>
      <c r="B1184" s="4" t="s">
        <v>30</v>
      </c>
      <c r="C1184" s="4" t="s">
        <v>21</v>
      </c>
      <c r="D1184" s="4" t="s">
        <v>21</v>
      </c>
    </row>
    <row r="1185">
      <c r="A1185" s="5">
        <v>43940.076875</v>
      </c>
      <c r="B1185" s="4" t="s">
        <v>30</v>
      </c>
      <c r="C1185" s="4" t="s">
        <v>21</v>
      </c>
      <c r="D1185" s="4" t="s">
        <v>21</v>
      </c>
    </row>
    <row r="1186">
      <c r="A1186" s="5">
        <v>43957.65430555555</v>
      </c>
      <c r="B1186" s="4" t="s">
        <v>30</v>
      </c>
      <c r="C1186" s="4" t="s">
        <v>21</v>
      </c>
      <c r="D1186" s="4" t="s">
        <v>21</v>
      </c>
    </row>
    <row r="1187">
      <c r="A1187" s="5">
        <v>43882.598807870374</v>
      </c>
      <c r="B1187" s="4" t="s">
        <v>30</v>
      </c>
      <c r="C1187" s="4" t="s">
        <v>21</v>
      </c>
      <c r="D1187" s="4" t="s">
        <v>21</v>
      </c>
    </row>
    <row r="1188">
      <c r="A1188" s="5">
        <v>43865.56997685185</v>
      </c>
      <c r="B1188" s="4" t="s">
        <v>30</v>
      </c>
      <c r="C1188" s="4" t="s">
        <v>21</v>
      </c>
      <c r="D1188" s="4" t="s">
        <v>21</v>
      </c>
    </row>
    <row r="1189">
      <c r="A1189" s="5">
        <v>43937.35586805556</v>
      </c>
      <c r="B1189" s="4" t="s">
        <v>30</v>
      </c>
      <c r="C1189" s="4" t="s">
        <v>21</v>
      </c>
      <c r="D1189" s="4" t="s">
        <v>21</v>
      </c>
    </row>
    <row r="1190">
      <c r="A1190" s="5">
        <v>43857.67412037037</v>
      </c>
      <c r="B1190" s="4" t="s">
        <v>30</v>
      </c>
      <c r="C1190" s="4" t="s">
        <v>21</v>
      </c>
      <c r="D1190" s="4" t="s">
        <v>23</v>
      </c>
    </row>
    <row r="1191">
      <c r="A1191" s="5">
        <v>43888.70208333333</v>
      </c>
      <c r="B1191" s="4" t="s">
        <v>30</v>
      </c>
      <c r="C1191" s="4" t="s">
        <v>21</v>
      </c>
      <c r="D1191" s="4" t="s">
        <v>21</v>
      </c>
    </row>
    <row r="1192">
      <c r="A1192" s="5">
        <v>43888.717002314814</v>
      </c>
      <c r="B1192" s="4" t="s">
        <v>30</v>
      </c>
      <c r="C1192" s="4" t="s">
        <v>21</v>
      </c>
      <c r="D1192" s="4" t="s">
        <v>21</v>
      </c>
    </row>
    <row r="1193">
      <c r="A1193" s="5">
        <v>43910.299722222226</v>
      </c>
      <c r="B1193" s="4" t="s">
        <v>30</v>
      </c>
      <c r="C1193" s="4" t="s">
        <v>21</v>
      </c>
      <c r="D1193" s="4" t="s">
        <v>21</v>
      </c>
    </row>
    <row r="1194">
      <c r="A1194" s="5">
        <v>43924.37825231482</v>
      </c>
      <c r="B1194" s="4" t="s">
        <v>30</v>
      </c>
      <c r="C1194" s="4" t="s">
        <v>21</v>
      </c>
      <c r="D1194" s="4" t="s">
        <v>21</v>
      </c>
    </row>
    <row r="1195">
      <c r="A1195" s="5">
        <v>43987.28575231481</v>
      </c>
      <c r="B1195" s="4" t="s">
        <v>30</v>
      </c>
      <c r="C1195" s="4" t="s">
        <v>21</v>
      </c>
      <c r="D1195" s="4" t="s">
        <v>21</v>
      </c>
    </row>
    <row r="1196">
      <c r="A1196" s="5">
        <v>43850.826875</v>
      </c>
      <c r="B1196" s="4" t="s">
        <v>30</v>
      </c>
      <c r="C1196" s="4" t="s">
        <v>21</v>
      </c>
      <c r="D1196" s="4" t="s">
        <v>21</v>
      </c>
    </row>
    <row r="1197">
      <c r="A1197" s="5">
        <v>43887.963113425925</v>
      </c>
      <c r="B1197" s="4" t="s">
        <v>30</v>
      </c>
      <c r="C1197" s="4" t="s">
        <v>21</v>
      </c>
      <c r="D1197" s="4" t="s">
        <v>21</v>
      </c>
    </row>
    <row r="1198">
      <c r="A1198" s="5">
        <v>43938.486712962964</v>
      </c>
      <c r="B1198" s="4" t="s">
        <v>30</v>
      </c>
      <c r="C1198" s="4" t="s">
        <v>21</v>
      </c>
      <c r="D1198" s="4" t="s">
        <v>21</v>
      </c>
    </row>
    <row r="1199">
      <c r="A1199" s="5">
        <v>43784.57340277778</v>
      </c>
      <c r="B1199" s="4" t="s">
        <v>30</v>
      </c>
      <c r="C1199" s="4" t="s">
        <v>21</v>
      </c>
      <c r="D1199" s="4" t="s">
        <v>21</v>
      </c>
    </row>
    <row r="1200">
      <c r="A1200" s="5">
        <v>43809.40665509259</v>
      </c>
      <c r="B1200" s="4" t="s">
        <v>30</v>
      </c>
      <c r="C1200" s="4" t="s">
        <v>21</v>
      </c>
      <c r="D1200" s="4" t="s">
        <v>21</v>
      </c>
    </row>
    <row r="1201">
      <c r="A1201" s="5">
        <v>43889.38416666666</v>
      </c>
      <c r="B1201" s="4" t="s">
        <v>30</v>
      </c>
      <c r="C1201" s="4" t="s">
        <v>21</v>
      </c>
      <c r="D1201" s="4" t="s">
        <v>21</v>
      </c>
    </row>
    <row r="1202">
      <c r="A1202" s="5">
        <v>43901.44474537037</v>
      </c>
      <c r="B1202" s="4" t="s">
        <v>30</v>
      </c>
      <c r="C1202" s="4" t="s">
        <v>21</v>
      </c>
      <c r="D1202" s="4" t="s">
        <v>21</v>
      </c>
    </row>
    <row r="1203">
      <c r="A1203" s="5">
        <v>43901.45857638889</v>
      </c>
      <c r="B1203" s="4" t="s">
        <v>30</v>
      </c>
      <c r="C1203" s="4" t="s">
        <v>21</v>
      </c>
      <c r="D1203" s="4" t="s">
        <v>21</v>
      </c>
    </row>
    <row r="1204">
      <c r="A1204" s="5">
        <v>43969.45920138889</v>
      </c>
      <c r="B1204" s="4" t="s">
        <v>30</v>
      </c>
      <c r="C1204" s="4" t="s">
        <v>21</v>
      </c>
      <c r="D1204" s="4" t="s">
        <v>21</v>
      </c>
    </row>
    <row r="1205">
      <c r="A1205" s="5">
        <v>43738.45159722222</v>
      </c>
      <c r="B1205" s="4" t="s">
        <v>30</v>
      </c>
      <c r="C1205" s="4" t="s">
        <v>21</v>
      </c>
      <c r="D1205" s="4" t="s">
        <v>21</v>
      </c>
    </row>
    <row r="1206">
      <c r="A1206" s="5">
        <v>43851.64325231482</v>
      </c>
      <c r="B1206" s="4" t="s">
        <v>30</v>
      </c>
      <c r="C1206" s="4" t="s">
        <v>21</v>
      </c>
      <c r="D1206" s="4" t="s">
        <v>21</v>
      </c>
    </row>
    <row r="1207">
      <c r="A1207" s="5">
        <v>43857.76594907408</v>
      </c>
      <c r="B1207" s="4" t="s">
        <v>30</v>
      </c>
      <c r="C1207" s="4" t="s">
        <v>21</v>
      </c>
      <c r="D1207" s="4" t="s">
        <v>23</v>
      </c>
    </row>
    <row r="1208">
      <c r="A1208" s="5">
        <v>43990.56857638889</v>
      </c>
      <c r="B1208" s="4" t="s">
        <v>30</v>
      </c>
      <c r="C1208" s="4" t="s">
        <v>21</v>
      </c>
      <c r="D1208" s="4" t="s">
        <v>21</v>
      </c>
    </row>
    <row r="1209">
      <c r="A1209" s="5">
        <v>43882.6628125</v>
      </c>
      <c r="B1209" s="4" t="s">
        <v>30</v>
      </c>
      <c r="C1209" s="4" t="s">
        <v>21</v>
      </c>
      <c r="D1209" s="4" t="s">
        <v>21</v>
      </c>
    </row>
    <row r="1210">
      <c r="A1210" s="5">
        <v>43892.43125</v>
      </c>
      <c r="B1210" s="4" t="s">
        <v>30</v>
      </c>
      <c r="C1210" s="4" t="s">
        <v>21</v>
      </c>
      <c r="D1210" s="4" t="s">
        <v>21</v>
      </c>
    </row>
    <row r="1211">
      <c r="A1211" s="5">
        <v>43990.330983796295</v>
      </c>
      <c r="B1211" s="4" t="s">
        <v>30</v>
      </c>
      <c r="C1211" s="4" t="s">
        <v>21</v>
      </c>
      <c r="D1211" s="4" t="s">
        <v>21</v>
      </c>
    </row>
    <row r="1212">
      <c r="A1212" s="5">
        <v>43804.55626157407</v>
      </c>
      <c r="B1212" s="4" t="s">
        <v>30</v>
      </c>
      <c r="C1212" s="4" t="s">
        <v>21</v>
      </c>
      <c r="D1212" s="4" t="s">
        <v>21</v>
      </c>
    </row>
    <row r="1213">
      <c r="A1213" s="5">
        <v>43993.48841435185</v>
      </c>
      <c r="B1213" s="4" t="s">
        <v>30</v>
      </c>
      <c r="C1213" s="4" t="s">
        <v>21</v>
      </c>
      <c r="D1213" s="4" t="s">
        <v>21</v>
      </c>
    </row>
    <row r="1214">
      <c r="A1214" s="5">
        <v>43867.566469907404</v>
      </c>
      <c r="B1214" s="4" t="s">
        <v>30</v>
      </c>
      <c r="C1214" s="4" t="s">
        <v>21</v>
      </c>
      <c r="D1214" s="4" t="s">
        <v>21</v>
      </c>
    </row>
    <row r="1215">
      <c r="A1215" s="5">
        <v>43957.90268518519</v>
      </c>
      <c r="B1215" s="4" t="s">
        <v>30</v>
      </c>
      <c r="C1215" s="4" t="s">
        <v>21</v>
      </c>
      <c r="D1215" s="4" t="s">
        <v>21</v>
      </c>
    </row>
    <row r="1216">
      <c r="A1216" s="5">
        <v>43805.35621527778</v>
      </c>
      <c r="B1216" s="4" t="s">
        <v>30</v>
      </c>
      <c r="C1216" s="4" t="s">
        <v>21</v>
      </c>
      <c r="D1216" s="4" t="s">
        <v>21</v>
      </c>
    </row>
    <row r="1217">
      <c r="A1217" s="5">
        <v>43805.45410879629</v>
      </c>
      <c r="B1217" s="4" t="s">
        <v>30</v>
      </c>
      <c r="C1217" s="4" t="s">
        <v>21</v>
      </c>
      <c r="D1217" s="4" t="s">
        <v>21</v>
      </c>
    </row>
    <row r="1218">
      <c r="A1218" s="5">
        <v>43816.34820601852</v>
      </c>
      <c r="B1218" s="4" t="s">
        <v>30</v>
      </c>
      <c r="C1218" s="4" t="s">
        <v>21</v>
      </c>
      <c r="D1218" s="4" t="s">
        <v>21</v>
      </c>
    </row>
    <row r="1219">
      <c r="A1219" s="5">
        <v>43852.39550925926</v>
      </c>
      <c r="B1219" s="4" t="s">
        <v>30</v>
      </c>
      <c r="C1219" s="4" t="s">
        <v>21</v>
      </c>
      <c r="D1219" s="4" t="s">
        <v>21</v>
      </c>
    </row>
    <row r="1220">
      <c r="A1220" s="5">
        <v>43938.125127314815</v>
      </c>
      <c r="B1220" s="4" t="s">
        <v>30</v>
      </c>
      <c r="C1220" s="4" t="s">
        <v>21</v>
      </c>
      <c r="D1220" s="4" t="s">
        <v>21</v>
      </c>
    </row>
    <row r="1221">
      <c r="A1221" s="5">
        <v>43997.550787037035</v>
      </c>
      <c r="B1221" s="4" t="s">
        <v>30</v>
      </c>
      <c r="C1221" s="4" t="s">
        <v>21</v>
      </c>
      <c r="D1221" s="4" t="s">
        <v>21</v>
      </c>
    </row>
    <row r="1222">
      <c r="A1222" s="5">
        <v>43997.56518518519</v>
      </c>
      <c r="B1222" s="4" t="s">
        <v>30</v>
      </c>
      <c r="C1222" s="4" t="s">
        <v>21</v>
      </c>
      <c r="D1222" s="4" t="s">
        <v>21</v>
      </c>
    </row>
    <row r="1223">
      <c r="A1223" s="5">
        <v>43993.456828703704</v>
      </c>
      <c r="B1223" s="4" t="s">
        <v>30</v>
      </c>
      <c r="C1223" s="4" t="s">
        <v>21</v>
      </c>
      <c r="D1223" s="4" t="s">
        <v>21</v>
      </c>
    </row>
    <row r="1224">
      <c r="A1224" s="5">
        <v>43893.692777777775</v>
      </c>
      <c r="B1224" s="4" t="s">
        <v>30</v>
      </c>
      <c r="C1224" s="4" t="s">
        <v>21</v>
      </c>
      <c r="D1224" s="4" t="s">
        <v>21</v>
      </c>
    </row>
    <row r="1225">
      <c r="A1225" s="5">
        <v>43801.67894675926</v>
      </c>
      <c r="B1225" s="4" t="s">
        <v>30</v>
      </c>
      <c r="C1225" s="4" t="s">
        <v>21</v>
      </c>
      <c r="D1225" s="4" t="s">
        <v>21</v>
      </c>
    </row>
    <row r="1226">
      <c r="A1226" s="5">
        <v>43873.55535879629</v>
      </c>
      <c r="B1226" s="4" t="s">
        <v>30</v>
      </c>
      <c r="C1226" s="4" t="s">
        <v>21</v>
      </c>
      <c r="D1226" s="4" t="s">
        <v>21</v>
      </c>
    </row>
    <row r="1227">
      <c r="A1227" s="5">
        <v>43738.417083333334</v>
      </c>
      <c r="B1227" s="4" t="s">
        <v>30</v>
      </c>
      <c r="C1227" s="4" t="s">
        <v>21</v>
      </c>
      <c r="D1227" s="4" t="s">
        <v>21</v>
      </c>
    </row>
    <row r="1228">
      <c r="A1228" s="5">
        <v>43882.59894675926</v>
      </c>
      <c r="B1228" s="4" t="s">
        <v>30</v>
      </c>
      <c r="C1228" s="4" t="s">
        <v>21</v>
      </c>
      <c r="D1228" s="4" t="s">
        <v>21</v>
      </c>
    </row>
    <row r="1229">
      <c r="A1229" s="5">
        <v>43752.51195601852</v>
      </c>
      <c r="B1229" s="4" t="s">
        <v>30</v>
      </c>
      <c r="C1229" s="4" t="s">
        <v>21</v>
      </c>
      <c r="D1229" s="4" t="s">
        <v>21</v>
      </c>
    </row>
    <row r="1230">
      <c r="A1230" s="5">
        <v>43752.7178125</v>
      </c>
      <c r="B1230" s="4" t="s">
        <v>30</v>
      </c>
      <c r="C1230" s="4" t="s">
        <v>21</v>
      </c>
      <c r="D1230" s="4" t="s">
        <v>21</v>
      </c>
    </row>
    <row r="1231">
      <c r="A1231" s="5">
        <v>43752.71789351852</v>
      </c>
      <c r="B1231" s="4" t="s">
        <v>30</v>
      </c>
      <c r="C1231" s="4" t="s">
        <v>21</v>
      </c>
      <c r="D1231" s="4" t="s">
        <v>21</v>
      </c>
    </row>
    <row r="1232">
      <c r="A1232" s="5">
        <v>43752.71800925926</v>
      </c>
      <c r="B1232" s="4" t="s">
        <v>30</v>
      </c>
      <c r="C1232" s="4" t="s">
        <v>21</v>
      </c>
      <c r="D1232" s="4" t="s">
        <v>21</v>
      </c>
    </row>
    <row r="1233">
      <c r="A1233" s="5">
        <v>43752.72039351852</v>
      </c>
      <c r="B1233" s="4" t="s">
        <v>30</v>
      </c>
      <c r="C1233" s="4" t="s">
        <v>21</v>
      </c>
      <c r="D1233" s="4" t="s">
        <v>21</v>
      </c>
    </row>
    <row r="1234">
      <c r="A1234" s="5">
        <v>43752.7912037037</v>
      </c>
      <c r="B1234" s="4" t="s">
        <v>30</v>
      </c>
      <c r="C1234" s="4" t="s">
        <v>21</v>
      </c>
      <c r="D1234" s="4" t="s">
        <v>21</v>
      </c>
    </row>
    <row r="1235">
      <c r="A1235" s="5">
        <v>43752.791284722225</v>
      </c>
      <c r="B1235" s="4" t="s">
        <v>30</v>
      </c>
      <c r="C1235" s="4" t="s">
        <v>21</v>
      </c>
      <c r="D1235" s="4" t="s">
        <v>21</v>
      </c>
    </row>
    <row r="1236">
      <c r="A1236" s="5">
        <v>43752.79138888889</v>
      </c>
      <c r="B1236" s="4" t="s">
        <v>30</v>
      </c>
      <c r="C1236" s="4" t="s">
        <v>21</v>
      </c>
      <c r="D1236" s="4" t="s">
        <v>21</v>
      </c>
    </row>
    <row r="1237">
      <c r="A1237" s="5">
        <v>43752.79145833333</v>
      </c>
      <c r="B1237" s="4" t="s">
        <v>30</v>
      </c>
      <c r="C1237" s="4" t="s">
        <v>21</v>
      </c>
      <c r="D1237" s="4" t="s">
        <v>21</v>
      </c>
    </row>
    <row r="1238">
      <c r="A1238" s="5">
        <v>43802.31076388889</v>
      </c>
      <c r="B1238" s="4" t="s">
        <v>30</v>
      </c>
      <c r="C1238" s="4" t="s">
        <v>21</v>
      </c>
      <c r="D1238" s="4" t="s">
        <v>21</v>
      </c>
    </row>
    <row r="1239">
      <c r="A1239" s="5">
        <v>43805.369467592594</v>
      </c>
      <c r="B1239" s="4" t="s">
        <v>30</v>
      </c>
      <c r="C1239" s="4" t="s">
        <v>21</v>
      </c>
      <c r="D1239" s="4" t="s">
        <v>21</v>
      </c>
    </row>
    <row r="1240">
      <c r="A1240" s="5">
        <v>43879.43226851852</v>
      </c>
      <c r="B1240" s="4" t="s">
        <v>30</v>
      </c>
      <c r="C1240" s="4" t="s">
        <v>21</v>
      </c>
      <c r="D1240" s="4" t="s">
        <v>21</v>
      </c>
    </row>
    <row r="1241">
      <c r="A1241" s="5">
        <v>43881.568449074075</v>
      </c>
      <c r="B1241" s="4" t="s">
        <v>30</v>
      </c>
      <c r="C1241" s="4" t="s">
        <v>21</v>
      </c>
      <c r="D1241" s="4" t="s">
        <v>21</v>
      </c>
    </row>
    <row r="1242">
      <c r="A1242" s="5">
        <v>43905.52693287037</v>
      </c>
      <c r="B1242" s="4" t="s">
        <v>30</v>
      </c>
      <c r="C1242" s="4" t="s">
        <v>21</v>
      </c>
      <c r="D1242" s="4" t="s">
        <v>21</v>
      </c>
    </row>
    <row r="1243">
      <c r="A1243" s="5">
        <v>43905.52701388889</v>
      </c>
      <c r="B1243" s="4" t="s">
        <v>30</v>
      </c>
      <c r="C1243" s="4" t="s">
        <v>21</v>
      </c>
      <c r="D1243" s="4" t="s">
        <v>21</v>
      </c>
    </row>
    <row r="1244">
      <c r="A1244" s="5">
        <v>43905.52715277778</v>
      </c>
      <c r="B1244" s="4" t="s">
        <v>30</v>
      </c>
      <c r="C1244" s="4" t="s">
        <v>21</v>
      </c>
      <c r="D1244" s="4" t="s">
        <v>21</v>
      </c>
    </row>
    <row r="1245">
      <c r="A1245" s="5">
        <v>43978.43751157408</v>
      </c>
      <c r="B1245" s="4" t="s">
        <v>30</v>
      </c>
      <c r="C1245" s="4" t="s">
        <v>21</v>
      </c>
      <c r="D1245" s="4" t="s">
        <v>21</v>
      </c>
    </row>
    <row r="1246">
      <c r="A1246" s="5">
        <v>43978.43923611111</v>
      </c>
      <c r="B1246" s="4" t="s">
        <v>30</v>
      </c>
      <c r="C1246" s="4" t="s">
        <v>21</v>
      </c>
      <c r="D1246" s="4" t="s">
        <v>21</v>
      </c>
    </row>
    <row r="1247">
      <c r="A1247" s="5">
        <v>43818.244166666664</v>
      </c>
      <c r="B1247" s="4" t="s">
        <v>30</v>
      </c>
      <c r="C1247" s="4" t="s">
        <v>21</v>
      </c>
      <c r="D1247" s="4" t="s">
        <v>21</v>
      </c>
    </row>
    <row r="1248">
      <c r="A1248" s="5">
        <v>43964.27559027778</v>
      </c>
      <c r="B1248" s="4" t="s">
        <v>30</v>
      </c>
      <c r="C1248" s="4" t="s">
        <v>21</v>
      </c>
      <c r="D1248" s="4" t="s">
        <v>21</v>
      </c>
    </row>
    <row r="1249">
      <c r="A1249" s="5">
        <v>43866.05005787037</v>
      </c>
      <c r="B1249" s="4" t="s">
        <v>30</v>
      </c>
      <c r="C1249" s="4" t="s">
        <v>21</v>
      </c>
      <c r="D1249" s="4" t="s">
        <v>21</v>
      </c>
    </row>
    <row r="1250">
      <c r="A1250" s="5">
        <v>43877.58059027778</v>
      </c>
      <c r="B1250" s="4" t="s">
        <v>30</v>
      </c>
      <c r="C1250" s="4" t="s">
        <v>21</v>
      </c>
      <c r="D1250" s="4" t="s">
        <v>21</v>
      </c>
    </row>
    <row r="1251">
      <c r="A1251" s="5">
        <v>43936.04782407408</v>
      </c>
      <c r="B1251" s="4" t="s">
        <v>30</v>
      </c>
      <c r="C1251" s="4" t="s">
        <v>21</v>
      </c>
      <c r="D1251" s="4" t="s">
        <v>21</v>
      </c>
    </row>
    <row r="1252">
      <c r="A1252" s="5">
        <v>43955.53417824074</v>
      </c>
      <c r="B1252" s="4" t="s">
        <v>30</v>
      </c>
      <c r="C1252" s="4" t="s">
        <v>21</v>
      </c>
      <c r="D1252" s="4" t="s">
        <v>21</v>
      </c>
    </row>
    <row r="1253" hidden="1">
      <c r="A1253" s="5">
        <v>43865.72201388889</v>
      </c>
      <c r="B1253" s="4" t="s">
        <v>31</v>
      </c>
      <c r="C1253" s="4" t="s">
        <v>21</v>
      </c>
      <c r="D1253" s="4" t="s">
        <v>21</v>
      </c>
    </row>
    <row r="1254">
      <c r="A1254" s="5">
        <v>43951.332291666666</v>
      </c>
      <c r="B1254" s="4" t="s">
        <v>30</v>
      </c>
      <c r="C1254" s="4" t="s">
        <v>21</v>
      </c>
      <c r="D1254" s="4" t="s">
        <v>21</v>
      </c>
    </row>
    <row r="1255">
      <c r="A1255" s="5">
        <v>43969.472905092596</v>
      </c>
      <c r="B1255" s="4" t="s">
        <v>30</v>
      </c>
      <c r="C1255" s="4" t="s">
        <v>21</v>
      </c>
      <c r="D1255" s="4" t="s">
        <v>21</v>
      </c>
    </row>
    <row r="1256">
      <c r="A1256" s="5">
        <v>43999.50534722222</v>
      </c>
      <c r="B1256" s="4" t="s">
        <v>30</v>
      </c>
      <c r="C1256" s="4" t="s">
        <v>21</v>
      </c>
      <c r="D1256" s="4" t="s">
        <v>21</v>
      </c>
    </row>
    <row r="1257">
      <c r="A1257" s="5">
        <v>43707.76163194444</v>
      </c>
      <c r="B1257" s="4" t="s">
        <v>30</v>
      </c>
      <c r="C1257" s="4" t="s">
        <v>21</v>
      </c>
      <c r="D1257" s="4" t="s">
        <v>21</v>
      </c>
    </row>
    <row r="1258">
      <c r="A1258" s="5">
        <v>43757.755844907406</v>
      </c>
      <c r="B1258" s="4" t="s">
        <v>30</v>
      </c>
      <c r="C1258" s="4" t="s">
        <v>21</v>
      </c>
      <c r="D1258" s="4" t="s">
        <v>21</v>
      </c>
    </row>
    <row r="1259">
      <c r="A1259" s="5">
        <v>43760.69527777778</v>
      </c>
      <c r="B1259" s="4" t="s">
        <v>30</v>
      </c>
      <c r="C1259" s="4" t="s">
        <v>21</v>
      </c>
      <c r="D1259" s="4" t="s">
        <v>21</v>
      </c>
    </row>
    <row r="1260">
      <c r="A1260" s="5">
        <v>43767.820243055554</v>
      </c>
      <c r="B1260" s="4" t="s">
        <v>30</v>
      </c>
      <c r="C1260" s="4" t="s">
        <v>21</v>
      </c>
      <c r="D1260" s="4" t="s">
        <v>21</v>
      </c>
    </row>
    <row r="1261">
      <c r="A1261" s="5">
        <v>43828.84539351852</v>
      </c>
      <c r="B1261" s="4" t="s">
        <v>30</v>
      </c>
      <c r="C1261" s="4" t="s">
        <v>23</v>
      </c>
      <c r="D1261" s="4" t="s">
        <v>21</v>
      </c>
    </row>
    <row r="1262">
      <c r="A1262" s="5">
        <v>43872.666550925926</v>
      </c>
      <c r="B1262" s="4" t="s">
        <v>30</v>
      </c>
      <c r="C1262" s="4" t="s">
        <v>21</v>
      </c>
      <c r="D1262" s="4" t="s">
        <v>21</v>
      </c>
    </row>
    <row r="1263">
      <c r="A1263" s="5">
        <v>43885.037881944445</v>
      </c>
      <c r="B1263" s="4" t="s">
        <v>30</v>
      </c>
      <c r="C1263" s="4" t="s">
        <v>21</v>
      </c>
      <c r="D1263" s="4" t="s">
        <v>21</v>
      </c>
    </row>
    <row r="1264">
      <c r="A1264" s="5">
        <v>43914.77342592592</v>
      </c>
      <c r="B1264" s="4" t="s">
        <v>30</v>
      </c>
      <c r="C1264" s="4" t="s">
        <v>21</v>
      </c>
      <c r="D1264" s="4" t="s">
        <v>21</v>
      </c>
    </row>
    <row r="1265">
      <c r="A1265" s="5">
        <v>43957.14438657407</v>
      </c>
      <c r="B1265" s="4" t="s">
        <v>30</v>
      </c>
      <c r="C1265" s="4" t="s">
        <v>21</v>
      </c>
      <c r="D1265" s="4" t="s">
        <v>21</v>
      </c>
    </row>
    <row r="1266">
      <c r="A1266" s="5">
        <v>43931.15423611111</v>
      </c>
      <c r="B1266" s="4" t="s">
        <v>30</v>
      </c>
      <c r="C1266" s="4" t="s">
        <v>21</v>
      </c>
      <c r="D1266" s="4" t="s">
        <v>21</v>
      </c>
    </row>
    <row r="1267">
      <c r="A1267" s="5">
        <v>43878.56452546296</v>
      </c>
      <c r="B1267" s="4" t="s">
        <v>30</v>
      </c>
      <c r="C1267" s="4" t="s">
        <v>21</v>
      </c>
      <c r="D1267" s="4" t="s">
        <v>21</v>
      </c>
    </row>
    <row r="1268">
      <c r="A1268" s="5">
        <v>43836.12228009259</v>
      </c>
      <c r="B1268" s="4" t="s">
        <v>30</v>
      </c>
      <c r="C1268" s="4" t="s">
        <v>21</v>
      </c>
      <c r="D1268" s="4" t="s">
        <v>21</v>
      </c>
    </row>
    <row r="1269">
      <c r="A1269" s="5">
        <v>43979.4428125</v>
      </c>
      <c r="B1269" s="4" t="s">
        <v>30</v>
      </c>
      <c r="C1269" s="4" t="s">
        <v>21</v>
      </c>
      <c r="D1269" s="4" t="s">
        <v>21</v>
      </c>
    </row>
    <row r="1270">
      <c r="A1270" s="5">
        <v>43782.52143518518</v>
      </c>
      <c r="B1270" s="4" t="s">
        <v>30</v>
      </c>
      <c r="C1270" s="4" t="s">
        <v>21</v>
      </c>
      <c r="D1270" s="4" t="s">
        <v>21</v>
      </c>
    </row>
    <row r="1271">
      <c r="A1271" s="5">
        <v>43837.75900462963</v>
      </c>
      <c r="B1271" s="4" t="s">
        <v>30</v>
      </c>
      <c r="C1271" s="4" t="s">
        <v>21</v>
      </c>
      <c r="D1271" s="4" t="s">
        <v>21</v>
      </c>
    </row>
    <row r="1272">
      <c r="A1272" s="5">
        <v>43915.492256944446</v>
      </c>
      <c r="B1272" s="4" t="s">
        <v>30</v>
      </c>
      <c r="C1272" s="4" t="s">
        <v>21</v>
      </c>
      <c r="D1272" s="4" t="s">
        <v>21</v>
      </c>
    </row>
    <row r="1273">
      <c r="A1273" s="5">
        <v>43952.893842592595</v>
      </c>
      <c r="B1273" s="4" t="s">
        <v>30</v>
      </c>
      <c r="C1273" s="4" t="s">
        <v>21</v>
      </c>
      <c r="D1273" s="4" t="s">
        <v>21</v>
      </c>
    </row>
    <row r="1274">
      <c r="A1274" s="5">
        <v>43983.663125</v>
      </c>
      <c r="B1274" s="4" t="s">
        <v>30</v>
      </c>
      <c r="C1274" s="4" t="s">
        <v>21</v>
      </c>
      <c r="D1274" s="4" t="s">
        <v>21</v>
      </c>
    </row>
    <row r="1275">
      <c r="A1275" s="5">
        <v>44004.50975694445</v>
      </c>
      <c r="B1275" s="4" t="s">
        <v>30</v>
      </c>
      <c r="C1275" s="4" t="s">
        <v>21</v>
      </c>
      <c r="D1275" s="4" t="s">
        <v>21</v>
      </c>
    </row>
    <row r="1276">
      <c r="A1276" s="5">
        <v>43871.63685185185</v>
      </c>
      <c r="B1276" s="4" t="s">
        <v>30</v>
      </c>
      <c r="C1276" s="4" t="s">
        <v>21</v>
      </c>
      <c r="D1276" s="4" t="s">
        <v>21</v>
      </c>
    </row>
    <row r="1277">
      <c r="A1277" s="5">
        <v>43816.36042824074</v>
      </c>
      <c r="B1277" s="4" t="s">
        <v>30</v>
      </c>
      <c r="C1277" s="4" t="s">
        <v>21</v>
      </c>
      <c r="D1277" s="4" t="s">
        <v>21</v>
      </c>
    </row>
    <row r="1278">
      <c r="A1278" s="5">
        <v>43881.43819444445</v>
      </c>
      <c r="B1278" s="4" t="s">
        <v>30</v>
      </c>
      <c r="C1278" s="4" t="s">
        <v>21</v>
      </c>
      <c r="D1278" s="4" t="s">
        <v>21</v>
      </c>
    </row>
    <row r="1279">
      <c r="A1279" s="5">
        <v>43928.3975462963</v>
      </c>
      <c r="B1279" s="4" t="s">
        <v>30</v>
      </c>
      <c r="C1279" s="4" t="s">
        <v>21</v>
      </c>
      <c r="D1279" s="4" t="s">
        <v>21</v>
      </c>
    </row>
    <row r="1280">
      <c r="A1280" s="5">
        <v>43928.47788194445</v>
      </c>
      <c r="B1280" s="4" t="s">
        <v>30</v>
      </c>
      <c r="C1280" s="4" t="s">
        <v>21</v>
      </c>
      <c r="D1280" s="4" t="s">
        <v>21</v>
      </c>
    </row>
    <row r="1281">
      <c r="A1281" s="5">
        <v>43957.56711805556</v>
      </c>
      <c r="B1281" s="4" t="s">
        <v>30</v>
      </c>
      <c r="C1281" s="4" t="s">
        <v>21</v>
      </c>
      <c r="D1281" s="4" t="s">
        <v>21</v>
      </c>
    </row>
    <row r="1282">
      <c r="A1282" s="5">
        <v>43963.4721412037</v>
      </c>
      <c r="B1282" s="4" t="s">
        <v>30</v>
      </c>
      <c r="C1282" s="4" t="s">
        <v>21</v>
      </c>
      <c r="D1282" s="4" t="s">
        <v>21</v>
      </c>
    </row>
    <row r="1283">
      <c r="A1283" s="5">
        <v>43964.81270833333</v>
      </c>
      <c r="B1283" s="4" t="s">
        <v>30</v>
      </c>
      <c r="C1283" s="4" t="s">
        <v>21</v>
      </c>
      <c r="D1283" s="4" t="s">
        <v>21</v>
      </c>
    </row>
    <row r="1284">
      <c r="A1284" s="5">
        <v>43991.436574074076</v>
      </c>
      <c r="B1284" s="4" t="s">
        <v>30</v>
      </c>
      <c r="C1284" s="4" t="s">
        <v>21</v>
      </c>
      <c r="D1284" s="4" t="s">
        <v>21</v>
      </c>
    </row>
    <row r="1285">
      <c r="A1285" s="5">
        <v>43957.37835648148</v>
      </c>
      <c r="B1285" s="4" t="s">
        <v>30</v>
      </c>
      <c r="C1285" s="4" t="s">
        <v>21</v>
      </c>
      <c r="D1285" s="4" t="s">
        <v>21</v>
      </c>
    </row>
    <row r="1286">
      <c r="A1286" s="5">
        <v>43896.73755787037</v>
      </c>
      <c r="B1286" s="4" t="s">
        <v>30</v>
      </c>
      <c r="C1286" s="4" t="s">
        <v>21</v>
      </c>
      <c r="D1286" s="4" t="s">
        <v>21</v>
      </c>
    </row>
    <row r="1287">
      <c r="A1287" s="5">
        <v>43929.24872685185</v>
      </c>
      <c r="B1287" s="4" t="s">
        <v>30</v>
      </c>
      <c r="C1287" s="4" t="s">
        <v>21</v>
      </c>
      <c r="D1287" s="4" t="s">
        <v>21</v>
      </c>
    </row>
    <row r="1288">
      <c r="A1288" s="5">
        <v>43731.56354166667</v>
      </c>
      <c r="B1288" s="4" t="s">
        <v>30</v>
      </c>
      <c r="C1288" s="4" t="s">
        <v>21</v>
      </c>
      <c r="D1288" s="4" t="s">
        <v>21</v>
      </c>
    </row>
    <row r="1289">
      <c r="A1289" s="5">
        <v>43731.563622685186</v>
      </c>
      <c r="B1289" s="4" t="s">
        <v>30</v>
      </c>
      <c r="C1289" s="4" t="s">
        <v>21</v>
      </c>
      <c r="D1289" s="4" t="s">
        <v>21</v>
      </c>
    </row>
    <row r="1290">
      <c r="A1290" s="5">
        <v>43731.56369212963</v>
      </c>
      <c r="B1290" s="4" t="s">
        <v>30</v>
      </c>
      <c r="C1290" s="4" t="s">
        <v>21</v>
      </c>
      <c r="D1290" s="4" t="s">
        <v>21</v>
      </c>
    </row>
    <row r="1291">
      <c r="A1291" s="5">
        <v>43731.56387731482</v>
      </c>
      <c r="B1291" s="4" t="s">
        <v>30</v>
      </c>
      <c r="C1291" s="4" t="s">
        <v>21</v>
      </c>
      <c r="D1291" s="4" t="s">
        <v>21</v>
      </c>
    </row>
    <row r="1292">
      <c r="A1292" s="5">
        <v>43731.56400462963</v>
      </c>
      <c r="B1292" s="4" t="s">
        <v>30</v>
      </c>
      <c r="C1292" s="4" t="s">
        <v>21</v>
      </c>
      <c r="D1292" s="4" t="s">
        <v>21</v>
      </c>
    </row>
    <row r="1293">
      <c r="A1293" s="5">
        <v>43731.56417824074</v>
      </c>
      <c r="B1293" s="4" t="s">
        <v>30</v>
      </c>
      <c r="C1293" s="4" t="s">
        <v>21</v>
      </c>
      <c r="D1293" s="4" t="s">
        <v>21</v>
      </c>
    </row>
    <row r="1294">
      <c r="A1294" s="5">
        <v>43759.51422453704</v>
      </c>
      <c r="B1294" s="4" t="s">
        <v>30</v>
      </c>
      <c r="C1294" s="4" t="s">
        <v>21</v>
      </c>
      <c r="D1294" s="4" t="s">
        <v>21</v>
      </c>
    </row>
    <row r="1295">
      <c r="A1295" s="5">
        <v>43759.51429398148</v>
      </c>
      <c r="B1295" s="4" t="s">
        <v>30</v>
      </c>
      <c r="C1295" s="4" t="s">
        <v>21</v>
      </c>
      <c r="D1295" s="4" t="s">
        <v>21</v>
      </c>
    </row>
    <row r="1296">
      <c r="A1296" s="5">
        <v>43759.51440972222</v>
      </c>
      <c r="B1296" s="4" t="s">
        <v>30</v>
      </c>
      <c r="C1296" s="4" t="s">
        <v>21</v>
      </c>
      <c r="D1296" s="4" t="s">
        <v>21</v>
      </c>
    </row>
    <row r="1297">
      <c r="A1297" s="5">
        <v>43759.51449074074</v>
      </c>
      <c r="B1297" s="4" t="s">
        <v>30</v>
      </c>
      <c r="C1297" s="4" t="s">
        <v>21</v>
      </c>
      <c r="D1297" s="4" t="s">
        <v>21</v>
      </c>
    </row>
    <row r="1298">
      <c r="A1298" s="5">
        <v>43759.514652777776</v>
      </c>
      <c r="B1298" s="4" t="s">
        <v>30</v>
      </c>
      <c r="C1298" s="4" t="s">
        <v>21</v>
      </c>
      <c r="D1298" s="4" t="s">
        <v>21</v>
      </c>
    </row>
    <row r="1299">
      <c r="A1299" s="5">
        <v>43759.51472222222</v>
      </c>
      <c r="B1299" s="4" t="s">
        <v>30</v>
      </c>
      <c r="C1299" s="4" t="s">
        <v>21</v>
      </c>
      <c r="D1299" s="4" t="s">
        <v>21</v>
      </c>
    </row>
    <row r="1300">
      <c r="A1300" s="5">
        <v>43759.51488425926</v>
      </c>
      <c r="B1300" s="4" t="s">
        <v>30</v>
      </c>
      <c r="C1300" s="4" t="s">
        <v>21</v>
      </c>
      <c r="D1300" s="4" t="s">
        <v>21</v>
      </c>
    </row>
    <row r="1301">
      <c r="A1301" s="5">
        <v>43759.51495370371</v>
      </c>
      <c r="B1301" s="4" t="s">
        <v>30</v>
      </c>
      <c r="C1301" s="4" t="s">
        <v>21</v>
      </c>
      <c r="D1301" s="4" t="s">
        <v>21</v>
      </c>
    </row>
    <row r="1302">
      <c r="A1302" s="5">
        <v>43759.51503472222</v>
      </c>
      <c r="B1302" s="4" t="s">
        <v>30</v>
      </c>
      <c r="C1302" s="4" t="s">
        <v>21</v>
      </c>
      <c r="D1302" s="4" t="s">
        <v>21</v>
      </c>
    </row>
    <row r="1303">
      <c r="A1303" s="5">
        <v>43759.51510416667</v>
      </c>
      <c r="B1303" s="4" t="s">
        <v>30</v>
      </c>
      <c r="C1303" s="4" t="s">
        <v>21</v>
      </c>
      <c r="D1303" s="4" t="s">
        <v>21</v>
      </c>
    </row>
    <row r="1304">
      <c r="A1304" s="5">
        <v>43759.515173611115</v>
      </c>
      <c r="B1304" s="4" t="s">
        <v>30</v>
      </c>
      <c r="C1304" s="4" t="s">
        <v>21</v>
      </c>
      <c r="D1304" s="4" t="s">
        <v>21</v>
      </c>
    </row>
    <row r="1305">
      <c r="A1305" s="5">
        <v>43759.51530092592</v>
      </c>
      <c r="B1305" s="4" t="s">
        <v>30</v>
      </c>
      <c r="C1305" s="4" t="s">
        <v>21</v>
      </c>
      <c r="D1305" s="4" t="s">
        <v>21</v>
      </c>
    </row>
    <row r="1306">
      <c r="A1306" s="5">
        <v>43759.51537037037</v>
      </c>
      <c r="B1306" s="4" t="s">
        <v>30</v>
      </c>
      <c r="C1306" s="4" t="s">
        <v>21</v>
      </c>
      <c r="D1306" s="4" t="s">
        <v>21</v>
      </c>
    </row>
    <row r="1307">
      <c r="A1307" s="5">
        <v>43759.515439814815</v>
      </c>
      <c r="B1307" s="4" t="s">
        <v>30</v>
      </c>
      <c r="C1307" s="4" t="s">
        <v>21</v>
      </c>
      <c r="D1307" s="4" t="s">
        <v>21</v>
      </c>
    </row>
    <row r="1308">
      <c r="A1308" s="5">
        <v>43818.97554398148</v>
      </c>
      <c r="B1308" s="4" t="s">
        <v>30</v>
      </c>
      <c r="C1308" s="4" t="s">
        <v>21</v>
      </c>
      <c r="D1308" s="4" t="s">
        <v>21</v>
      </c>
    </row>
    <row r="1309">
      <c r="A1309" s="5">
        <v>43843.38453703704</v>
      </c>
      <c r="B1309" s="4" t="s">
        <v>30</v>
      </c>
      <c r="C1309" s="4" t="s">
        <v>21</v>
      </c>
      <c r="D1309" s="4" t="s">
        <v>21</v>
      </c>
    </row>
    <row r="1310">
      <c r="A1310" s="5">
        <v>43843.384675925925</v>
      </c>
      <c r="B1310" s="4" t="s">
        <v>30</v>
      </c>
      <c r="C1310" s="4" t="s">
        <v>21</v>
      </c>
      <c r="D1310" s="4" t="s">
        <v>21</v>
      </c>
    </row>
    <row r="1311">
      <c r="A1311" s="5">
        <v>43843.38474537037</v>
      </c>
      <c r="B1311" s="4" t="s">
        <v>30</v>
      </c>
      <c r="C1311" s="4" t="s">
        <v>21</v>
      </c>
      <c r="D1311" s="4" t="s">
        <v>21</v>
      </c>
    </row>
    <row r="1312">
      <c r="A1312" s="5">
        <v>43861.639699074076</v>
      </c>
      <c r="B1312" s="4" t="s">
        <v>30</v>
      </c>
      <c r="C1312" s="4" t="s">
        <v>21</v>
      </c>
      <c r="D1312" s="4" t="s">
        <v>23</v>
      </c>
    </row>
    <row r="1313">
      <c r="A1313" s="5">
        <v>43865.64203703704</v>
      </c>
      <c r="B1313" s="4" t="s">
        <v>30</v>
      </c>
      <c r="C1313" s="4" t="s">
        <v>21</v>
      </c>
      <c r="D1313" s="4" t="s">
        <v>21</v>
      </c>
    </row>
    <row r="1314">
      <c r="A1314" s="5">
        <v>43880.554560185185</v>
      </c>
      <c r="B1314" s="4" t="s">
        <v>30</v>
      </c>
      <c r="C1314" s="4" t="s">
        <v>21</v>
      </c>
      <c r="D1314" s="4" t="s">
        <v>21</v>
      </c>
    </row>
    <row r="1315">
      <c r="A1315" s="5">
        <v>43880.5546412037</v>
      </c>
      <c r="B1315" s="4" t="s">
        <v>30</v>
      </c>
      <c r="C1315" s="4" t="s">
        <v>21</v>
      </c>
      <c r="D1315" s="4" t="s">
        <v>21</v>
      </c>
    </row>
    <row r="1316">
      <c r="A1316" s="5">
        <v>43880.55480324074</v>
      </c>
      <c r="B1316" s="4" t="s">
        <v>30</v>
      </c>
      <c r="C1316" s="4" t="s">
        <v>21</v>
      </c>
      <c r="D1316" s="4" t="s">
        <v>21</v>
      </c>
    </row>
    <row r="1317">
      <c r="A1317" s="5">
        <v>43880.554872685185</v>
      </c>
      <c r="B1317" s="4" t="s">
        <v>30</v>
      </c>
      <c r="C1317" s="4" t="s">
        <v>21</v>
      </c>
      <c r="D1317" s="4" t="s">
        <v>21</v>
      </c>
    </row>
    <row r="1318">
      <c r="A1318" s="5">
        <v>43880.55503472222</v>
      </c>
      <c r="B1318" s="4" t="s">
        <v>30</v>
      </c>
      <c r="C1318" s="4" t="s">
        <v>21</v>
      </c>
      <c r="D1318" s="4" t="s">
        <v>21</v>
      </c>
    </row>
    <row r="1319">
      <c r="A1319" s="5">
        <v>43880.55510416667</v>
      </c>
      <c r="B1319" s="4" t="s">
        <v>30</v>
      </c>
      <c r="C1319" s="4" t="s">
        <v>21</v>
      </c>
      <c r="D1319" s="4" t="s">
        <v>21</v>
      </c>
    </row>
    <row r="1320">
      <c r="A1320" s="5">
        <v>43880.5580787037</v>
      </c>
      <c r="B1320" s="4" t="s">
        <v>30</v>
      </c>
      <c r="C1320" s="4" t="s">
        <v>21</v>
      </c>
      <c r="D1320" s="4" t="s">
        <v>21</v>
      </c>
    </row>
    <row r="1321">
      <c r="A1321" s="5">
        <v>43880.65355324074</v>
      </c>
      <c r="B1321" s="4" t="s">
        <v>30</v>
      </c>
      <c r="C1321" s="4" t="s">
        <v>21</v>
      </c>
      <c r="D1321" s="4" t="s">
        <v>21</v>
      </c>
    </row>
    <row r="1322">
      <c r="A1322" s="5">
        <v>43880.65363425926</v>
      </c>
      <c r="B1322" s="4" t="s">
        <v>30</v>
      </c>
      <c r="C1322" s="4" t="s">
        <v>21</v>
      </c>
      <c r="D1322" s="4" t="s">
        <v>21</v>
      </c>
    </row>
    <row r="1323">
      <c r="A1323" s="5">
        <v>43880.653761574074</v>
      </c>
      <c r="B1323" s="4" t="s">
        <v>30</v>
      </c>
      <c r="C1323" s="4" t="s">
        <v>21</v>
      </c>
      <c r="D1323" s="4" t="s">
        <v>21</v>
      </c>
    </row>
    <row r="1324">
      <c r="A1324" s="5">
        <v>43880.65383101852</v>
      </c>
      <c r="B1324" s="4" t="s">
        <v>30</v>
      </c>
      <c r="C1324" s="4" t="s">
        <v>21</v>
      </c>
      <c r="D1324" s="4" t="s">
        <v>21</v>
      </c>
    </row>
    <row r="1325">
      <c r="A1325" s="5">
        <v>43880.654016203705</v>
      </c>
      <c r="B1325" s="4" t="s">
        <v>30</v>
      </c>
      <c r="C1325" s="4" t="s">
        <v>21</v>
      </c>
      <c r="D1325" s="4" t="s">
        <v>21</v>
      </c>
    </row>
    <row r="1326">
      <c r="A1326" s="5">
        <v>43880.65408564815</v>
      </c>
      <c r="B1326" s="4" t="s">
        <v>30</v>
      </c>
      <c r="C1326" s="4" t="s">
        <v>21</v>
      </c>
      <c r="D1326" s="4" t="s">
        <v>21</v>
      </c>
    </row>
    <row r="1327">
      <c r="A1327" s="5">
        <v>43880.65422453704</v>
      </c>
      <c r="B1327" s="4" t="s">
        <v>30</v>
      </c>
      <c r="C1327" s="4" t="s">
        <v>21</v>
      </c>
      <c r="D1327" s="4" t="s">
        <v>21</v>
      </c>
    </row>
    <row r="1328">
      <c r="A1328" s="5">
        <v>43880.65429398148</v>
      </c>
      <c r="B1328" s="4" t="s">
        <v>30</v>
      </c>
      <c r="C1328" s="4" t="s">
        <v>21</v>
      </c>
      <c r="D1328" s="4" t="s">
        <v>21</v>
      </c>
    </row>
    <row r="1329">
      <c r="A1329" s="5">
        <v>43880.654444444444</v>
      </c>
      <c r="B1329" s="4" t="s">
        <v>30</v>
      </c>
      <c r="C1329" s="4" t="s">
        <v>21</v>
      </c>
      <c r="D1329" s="4" t="s">
        <v>21</v>
      </c>
    </row>
    <row r="1330">
      <c r="A1330" s="5">
        <v>43880.654594907406</v>
      </c>
      <c r="B1330" s="4" t="s">
        <v>30</v>
      </c>
      <c r="C1330" s="4" t="s">
        <v>21</v>
      </c>
      <c r="D1330" s="4" t="s">
        <v>21</v>
      </c>
    </row>
    <row r="1331">
      <c r="A1331" s="5">
        <v>43880.654652777775</v>
      </c>
      <c r="B1331" s="4" t="s">
        <v>30</v>
      </c>
      <c r="C1331" s="4" t="s">
        <v>21</v>
      </c>
      <c r="D1331" s="4" t="s">
        <v>21</v>
      </c>
    </row>
    <row r="1332">
      <c r="A1332" s="5">
        <v>43880.65480324074</v>
      </c>
      <c r="B1332" s="4" t="s">
        <v>30</v>
      </c>
      <c r="C1332" s="4" t="s">
        <v>21</v>
      </c>
      <c r="D1332" s="4" t="s">
        <v>21</v>
      </c>
    </row>
    <row r="1333">
      <c r="A1333" s="5">
        <v>43880.65497685185</v>
      </c>
      <c r="B1333" s="4" t="s">
        <v>30</v>
      </c>
      <c r="C1333" s="4" t="s">
        <v>21</v>
      </c>
      <c r="D1333" s="4" t="s">
        <v>21</v>
      </c>
    </row>
    <row r="1334">
      <c r="A1334" s="5">
        <v>43880.65511574074</v>
      </c>
      <c r="B1334" s="4" t="s">
        <v>30</v>
      </c>
      <c r="C1334" s="4" t="s">
        <v>21</v>
      </c>
      <c r="D1334" s="4" t="s">
        <v>21</v>
      </c>
    </row>
    <row r="1335">
      <c r="A1335" s="5">
        <v>43880.65520833333</v>
      </c>
      <c r="B1335" s="4" t="s">
        <v>30</v>
      </c>
      <c r="C1335" s="4" t="s">
        <v>21</v>
      </c>
      <c r="D1335" s="4" t="s">
        <v>21</v>
      </c>
    </row>
    <row r="1336">
      <c r="A1336" s="5">
        <v>43880.655277777776</v>
      </c>
      <c r="B1336" s="4" t="s">
        <v>30</v>
      </c>
      <c r="C1336" s="4" t="s">
        <v>21</v>
      </c>
      <c r="D1336" s="4" t="s">
        <v>21</v>
      </c>
    </row>
    <row r="1337">
      <c r="A1337" s="5">
        <v>43880.65534722222</v>
      </c>
      <c r="B1337" s="4" t="s">
        <v>30</v>
      </c>
      <c r="C1337" s="4" t="s">
        <v>21</v>
      </c>
      <c r="D1337" s="4" t="s">
        <v>21</v>
      </c>
    </row>
    <row r="1338">
      <c r="A1338" s="5">
        <v>43880.65556712963</v>
      </c>
      <c r="B1338" s="4" t="s">
        <v>30</v>
      </c>
      <c r="C1338" s="4" t="s">
        <v>21</v>
      </c>
      <c r="D1338" s="4" t="s">
        <v>21</v>
      </c>
    </row>
    <row r="1339">
      <c r="A1339" s="5">
        <v>43880.65577546296</v>
      </c>
      <c r="B1339" s="4" t="s">
        <v>30</v>
      </c>
      <c r="C1339" s="4" t="s">
        <v>21</v>
      </c>
      <c r="D1339" s="4" t="s">
        <v>21</v>
      </c>
    </row>
    <row r="1340">
      <c r="A1340" s="5">
        <v>43880.65584490741</v>
      </c>
      <c r="B1340" s="4" t="s">
        <v>30</v>
      </c>
      <c r="C1340" s="4" t="s">
        <v>21</v>
      </c>
      <c r="D1340" s="4" t="s">
        <v>21</v>
      </c>
    </row>
    <row r="1341">
      <c r="A1341" s="5">
        <v>43880.6559837963</v>
      </c>
      <c r="B1341" s="4" t="s">
        <v>30</v>
      </c>
      <c r="C1341" s="4" t="s">
        <v>21</v>
      </c>
      <c r="D1341" s="4" t="s">
        <v>21</v>
      </c>
    </row>
    <row r="1342">
      <c r="A1342" s="5">
        <v>43880.65608796296</v>
      </c>
      <c r="B1342" s="4" t="s">
        <v>30</v>
      </c>
      <c r="C1342" s="4" t="s">
        <v>21</v>
      </c>
      <c r="D1342" s="4" t="s">
        <v>21</v>
      </c>
    </row>
    <row r="1343">
      <c r="A1343" s="5">
        <v>43880.65630787037</v>
      </c>
      <c r="B1343" s="4" t="s">
        <v>30</v>
      </c>
      <c r="C1343" s="4" t="s">
        <v>21</v>
      </c>
      <c r="D1343" s="4" t="s">
        <v>21</v>
      </c>
    </row>
    <row r="1344">
      <c r="A1344" s="5">
        <v>43880.65642361111</v>
      </c>
      <c r="B1344" s="4" t="s">
        <v>30</v>
      </c>
      <c r="C1344" s="4" t="s">
        <v>21</v>
      </c>
      <c r="D1344" s="4" t="s">
        <v>21</v>
      </c>
    </row>
    <row r="1345">
      <c r="A1345" s="5">
        <v>43880.65650462963</v>
      </c>
      <c r="B1345" s="4" t="s">
        <v>30</v>
      </c>
      <c r="C1345" s="4" t="s">
        <v>21</v>
      </c>
      <c r="D1345" s="4" t="s">
        <v>21</v>
      </c>
    </row>
    <row r="1346">
      <c r="A1346" s="5">
        <v>43880.65666666667</v>
      </c>
      <c r="B1346" s="4" t="s">
        <v>30</v>
      </c>
      <c r="C1346" s="4" t="s">
        <v>21</v>
      </c>
      <c r="D1346" s="4" t="s">
        <v>21</v>
      </c>
    </row>
    <row r="1347">
      <c r="A1347" s="5">
        <v>43880.65673611111</v>
      </c>
      <c r="B1347" s="4" t="s">
        <v>30</v>
      </c>
      <c r="C1347" s="4" t="s">
        <v>21</v>
      </c>
      <c r="D1347" s="4" t="s">
        <v>21</v>
      </c>
    </row>
    <row r="1348">
      <c r="A1348" s="5">
        <v>43880.656851851854</v>
      </c>
      <c r="B1348" s="4" t="s">
        <v>30</v>
      </c>
      <c r="C1348" s="4" t="s">
        <v>21</v>
      </c>
      <c r="D1348" s="4" t="s">
        <v>21</v>
      </c>
    </row>
    <row r="1349">
      <c r="A1349" s="5">
        <v>43880.65692129629</v>
      </c>
      <c r="B1349" s="4" t="s">
        <v>30</v>
      </c>
      <c r="C1349" s="4" t="s">
        <v>21</v>
      </c>
      <c r="D1349" s="4" t="s">
        <v>21</v>
      </c>
    </row>
    <row r="1350">
      <c r="A1350" s="5">
        <v>43880.65709490741</v>
      </c>
      <c r="B1350" s="4" t="s">
        <v>30</v>
      </c>
      <c r="C1350" s="4" t="s">
        <v>21</v>
      </c>
      <c r="D1350" s="4" t="s">
        <v>21</v>
      </c>
    </row>
    <row r="1351">
      <c r="A1351" s="5">
        <v>43880.657164351855</v>
      </c>
      <c r="B1351" s="4" t="s">
        <v>30</v>
      </c>
      <c r="C1351" s="4" t="s">
        <v>21</v>
      </c>
      <c r="D1351" s="4" t="s">
        <v>21</v>
      </c>
    </row>
    <row r="1352">
      <c r="A1352" s="5">
        <v>43880.65728009259</v>
      </c>
      <c r="B1352" s="4" t="s">
        <v>30</v>
      </c>
      <c r="C1352" s="4" t="s">
        <v>21</v>
      </c>
      <c r="D1352" s="4" t="s">
        <v>21</v>
      </c>
    </row>
    <row r="1353">
      <c r="A1353" s="5">
        <v>43880.65734953704</v>
      </c>
      <c r="B1353" s="4" t="s">
        <v>30</v>
      </c>
      <c r="C1353" s="4" t="s">
        <v>21</v>
      </c>
      <c r="D1353" s="4" t="s">
        <v>21</v>
      </c>
    </row>
    <row r="1354">
      <c r="A1354" s="5">
        <v>43880.657476851855</v>
      </c>
      <c r="B1354" s="4" t="s">
        <v>30</v>
      </c>
      <c r="C1354" s="4" t="s">
        <v>21</v>
      </c>
      <c r="D1354" s="4" t="s">
        <v>21</v>
      </c>
    </row>
    <row r="1355">
      <c r="A1355" s="5">
        <v>43880.657534722224</v>
      </c>
      <c r="B1355" s="4" t="s">
        <v>30</v>
      </c>
      <c r="C1355" s="4" t="s">
        <v>21</v>
      </c>
      <c r="D1355" s="4" t="s">
        <v>21</v>
      </c>
    </row>
    <row r="1356">
      <c r="A1356" s="5">
        <v>43880.65770833333</v>
      </c>
      <c r="B1356" s="4" t="s">
        <v>30</v>
      </c>
      <c r="C1356" s="4" t="s">
        <v>21</v>
      </c>
      <c r="D1356" s="4" t="s">
        <v>21</v>
      </c>
    </row>
    <row r="1357">
      <c r="A1357" s="5">
        <v>43880.65783564815</v>
      </c>
      <c r="B1357" s="4" t="s">
        <v>30</v>
      </c>
      <c r="C1357" s="4" t="s">
        <v>21</v>
      </c>
      <c r="D1357" s="4" t="s">
        <v>21</v>
      </c>
    </row>
    <row r="1358">
      <c r="A1358" s="5">
        <v>43880.657905092594</v>
      </c>
      <c r="B1358" s="4" t="s">
        <v>30</v>
      </c>
      <c r="C1358" s="4" t="s">
        <v>21</v>
      </c>
      <c r="D1358" s="4" t="s">
        <v>21</v>
      </c>
    </row>
    <row r="1359">
      <c r="A1359" s="5">
        <v>43880.658055555556</v>
      </c>
      <c r="B1359" s="4" t="s">
        <v>30</v>
      </c>
      <c r="C1359" s="4" t="s">
        <v>21</v>
      </c>
      <c r="D1359" s="4" t="s">
        <v>21</v>
      </c>
    </row>
    <row r="1360">
      <c r="A1360" s="5">
        <v>43880.658125</v>
      </c>
      <c r="B1360" s="4" t="s">
        <v>30</v>
      </c>
      <c r="C1360" s="4" t="s">
        <v>21</v>
      </c>
      <c r="D1360" s="4" t="s">
        <v>21</v>
      </c>
    </row>
    <row r="1361">
      <c r="A1361" s="5">
        <v>43880.658229166664</v>
      </c>
      <c r="B1361" s="4" t="s">
        <v>30</v>
      </c>
      <c r="C1361" s="4" t="s">
        <v>21</v>
      </c>
      <c r="D1361" s="4" t="s">
        <v>21</v>
      </c>
    </row>
    <row r="1362">
      <c r="A1362" s="5">
        <v>43880.65828703704</v>
      </c>
      <c r="B1362" s="4" t="s">
        <v>30</v>
      </c>
      <c r="C1362" s="4" t="s">
        <v>21</v>
      </c>
      <c r="D1362" s="4" t="s">
        <v>21</v>
      </c>
    </row>
    <row r="1363">
      <c r="A1363" s="5">
        <v>43880.65835648148</v>
      </c>
      <c r="B1363" s="4" t="s">
        <v>30</v>
      </c>
      <c r="C1363" s="4" t="s">
        <v>21</v>
      </c>
      <c r="D1363" s="4" t="s">
        <v>21</v>
      </c>
    </row>
    <row r="1364">
      <c r="A1364" s="5">
        <v>43880.65850694444</v>
      </c>
      <c r="B1364" s="4" t="s">
        <v>30</v>
      </c>
      <c r="C1364" s="4" t="s">
        <v>21</v>
      </c>
      <c r="D1364" s="4" t="s">
        <v>21</v>
      </c>
    </row>
    <row r="1365">
      <c r="A1365" s="5">
        <v>43880.65857638889</v>
      </c>
      <c r="B1365" s="4" t="s">
        <v>30</v>
      </c>
      <c r="C1365" s="4" t="s">
        <v>21</v>
      </c>
      <c r="D1365" s="4" t="s">
        <v>21</v>
      </c>
    </row>
    <row r="1366">
      <c r="A1366" s="5">
        <v>43880.65872685185</v>
      </c>
      <c r="B1366" s="4" t="s">
        <v>30</v>
      </c>
      <c r="C1366" s="4" t="s">
        <v>21</v>
      </c>
      <c r="D1366" s="4" t="s">
        <v>21</v>
      </c>
    </row>
    <row r="1367">
      <c r="A1367" s="5">
        <v>43880.65892361111</v>
      </c>
      <c r="B1367" s="4" t="s">
        <v>30</v>
      </c>
      <c r="C1367" s="4" t="s">
        <v>21</v>
      </c>
      <c r="D1367" s="4" t="s">
        <v>21</v>
      </c>
    </row>
    <row r="1368">
      <c r="A1368" s="5">
        <v>43880.65898148148</v>
      </c>
      <c r="B1368" s="4" t="s">
        <v>30</v>
      </c>
      <c r="C1368" s="4" t="s">
        <v>21</v>
      </c>
      <c r="D1368" s="4" t="s">
        <v>21</v>
      </c>
    </row>
    <row r="1369">
      <c r="A1369" s="5">
        <v>43880.65912037037</v>
      </c>
      <c r="B1369" s="4" t="s">
        <v>30</v>
      </c>
      <c r="C1369" s="4" t="s">
        <v>21</v>
      </c>
      <c r="D1369" s="4" t="s">
        <v>21</v>
      </c>
    </row>
    <row r="1370">
      <c r="A1370" s="5">
        <v>43880.659317129626</v>
      </c>
      <c r="B1370" s="4" t="s">
        <v>30</v>
      </c>
      <c r="C1370" s="4" t="s">
        <v>21</v>
      </c>
      <c r="D1370" s="4" t="s">
        <v>21</v>
      </c>
    </row>
    <row r="1371">
      <c r="A1371" s="5">
        <v>43880.659375</v>
      </c>
      <c r="B1371" s="4" t="s">
        <v>30</v>
      </c>
      <c r="C1371" s="4" t="s">
        <v>21</v>
      </c>
      <c r="D1371" s="4" t="s">
        <v>21</v>
      </c>
    </row>
    <row r="1372">
      <c r="A1372" s="5">
        <v>43880.659525462965</v>
      </c>
      <c r="B1372" s="4" t="s">
        <v>30</v>
      </c>
      <c r="C1372" s="4" t="s">
        <v>21</v>
      </c>
      <c r="D1372" s="4" t="s">
        <v>21</v>
      </c>
    </row>
    <row r="1373">
      <c r="A1373" s="5">
        <v>43880.65959490741</v>
      </c>
      <c r="B1373" s="4" t="s">
        <v>30</v>
      </c>
      <c r="C1373" s="4" t="s">
        <v>21</v>
      </c>
      <c r="D1373" s="4" t="s">
        <v>21</v>
      </c>
    </row>
    <row r="1374">
      <c r="A1374" s="5">
        <v>43880.659780092596</v>
      </c>
      <c r="B1374" s="4" t="s">
        <v>30</v>
      </c>
      <c r="C1374" s="4" t="s">
        <v>21</v>
      </c>
      <c r="D1374" s="4" t="s">
        <v>21</v>
      </c>
    </row>
    <row r="1375">
      <c r="A1375" s="5">
        <v>43880.659849537034</v>
      </c>
      <c r="B1375" s="4" t="s">
        <v>30</v>
      </c>
      <c r="C1375" s="4" t="s">
        <v>21</v>
      </c>
      <c r="D1375" s="4" t="s">
        <v>21</v>
      </c>
    </row>
    <row r="1376">
      <c r="A1376" s="5">
        <v>43881.38217592592</v>
      </c>
      <c r="B1376" s="4" t="s">
        <v>30</v>
      </c>
      <c r="C1376" s="4" t="s">
        <v>21</v>
      </c>
      <c r="D1376" s="4" t="s">
        <v>21</v>
      </c>
    </row>
    <row r="1377">
      <c r="A1377" s="5">
        <v>43881.382268518515</v>
      </c>
      <c r="B1377" s="4" t="s">
        <v>30</v>
      </c>
      <c r="C1377" s="4" t="s">
        <v>21</v>
      </c>
      <c r="D1377" s="4" t="s">
        <v>21</v>
      </c>
    </row>
    <row r="1378">
      <c r="A1378" s="5">
        <v>43899.57896990741</v>
      </c>
      <c r="B1378" s="4" t="s">
        <v>30</v>
      </c>
      <c r="C1378" s="4" t="s">
        <v>21</v>
      </c>
      <c r="D1378" s="4" t="s">
        <v>21</v>
      </c>
    </row>
    <row r="1379">
      <c r="A1379" s="5">
        <v>43906.35899305555</v>
      </c>
      <c r="B1379" s="4" t="s">
        <v>30</v>
      </c>
      <c r="C1379" s="4" t="s">
        <v>21</v>
      </c>
      <c r="D1379" s="4" t="s">
        <v>21</v>
      </c>
    </row>
    <row r="1380">
      <c r="A1380" s="5">
        <v>43906.359189814815</v>
      </c>
      <c r="B1380" s="4" t="s">
        <v>30</v>
      </c>
      <c r="C1380" s="4" t="s">
        <v>21</v>
      </c>
      <c r="D1380" s="4" t="s">
        <v>21</v>
      </c>
    </row>
    <row r="1381">
      <c r="A1381" s="5">
        <v>43906.35927083333</v>
      </c>
      <c r="B1381" s="4" t="s">
        <v>30</v>
      </c>
      <c r="C1381" s="4" t="s">
        <v>21</v>
      </c>
      <c r="D1381" s="4" t="s">
        <v>21</v>
      </c>
    </row>
    <row r="1382">
      <c r="A1382" s="5">
        <v>43906.359351851854</v>
      </c>
      <c r="B1382" s="4" t="s">
        <v>30</v>
      </c>
      <c r="C1382" s="4" t="s">
        <v>21</v>
      </c>
      <c r="D1382" s="4" t="s">
        <v>21</v>
      </c>
    </row>
    <row r="1383">
      <c r="A1383" s="5">
        <v>43906.35943287037</v>
      </c>
      <c r="B1383" s="4" t="s">
        <v>30</v>
      </c>
      <c r="C1383" s="4" t="s">
        <v>21</v>
      </c>
      <c r="D1383" s="4" t="s">
        <v>21</v>
      </c>
    </row>
    <row r="1384">
      <c r="A1384" s="5">
        <v>43906.359502314815</v>
      </c>
      <c r="B1384" s="4" t="s">
        <v>30</v>
      </c>
      <c r="C1384" s="4" t="s">
        <v>21</v>
      </c>
      <c r="D1384" s="4" t="s">
        <v>21</v>
      </c>
    </row>
    <row r="1385">
      <c r="A1385" s="5">
        <v>43906.359618055554</v>
      </c>
      <c r="B1385" s="4" t="s">
        <v>30</v>
      </c>
      <c r="C1385" s="4" t="s">
        <v>21</v>
      </c>
      <c r="D1385" s="4" t="s">
        <v>21</v>
      </c>
    </row>
    <row r="1386">
      <c r="A1386" s="5">
        <v>43906.35969907408</v>
      </c>
      <c r="B1386" s="4" t="s">
        <v>30</v>
      </c>
      <c r="C1386" s="4" t="s">
        <v>21</v>
      </c>
      <c r="D1386" s="4" t="s">
        <v>21</v>
      </c>
    </row>
    <row r="1387">
      <c r="A1387" s="5">
        <v>43906.50561342593</v>
      </c>
      <c r="B1387" s="4" t="s">
        <v>30</v>
      </c>
      <c r="C1387" s="4" t="s">
        <v>21</v>
      </c>
      <c r="D1387" s="4" t="s">
        <v>21</v>
      </c>
    </row>
    <row r="1388">
      <c r="A1388" s="5">
        <v>43930.34462962963</v>
      </c>
      <c r="B1388" s="4" t="s">
        <v>30</v>
      </c>
      <c r="C1388" s="4" t="s">
        <v>21</v>
      </c>
      <c r="D1388" s="4" t="s">
        <v>21</v>
      </c>
    </row>
    <row r="1389">
      <c r="A1389" s="5">
        <v>43930.34469907408</v>
      </c>
      <c r="B1389" s="4" t="s">
        <v>30</v>
      </c>
      <c r="C1389" s="4" t="s">
        <v>21</v>
      </c>
      <c r="D1389" s="4" t="s">
        <v>21</v>
      </c>
    </row>
    <row r="1390">
      <c r="A1390" s="5">
        <v>43930.34478009259</v>
      </c>
      <c r="B1390" s="4" t="s">
        <v>30</v>
      </c>
      <c r="C1390" s="4" t="s">
        <v>21</v>
      </c>
      <c r="D1390" s="4" t="s">
        <v>21</v>
      </c>
    </row>
    <row r="1391">
      <c r="A1391" s="5">
        <v>43930.34484953704</v>
      </c>
      <c r="B1391" s="4" t="s">
        <v>30</v>
      </c>
      <c r="C1391" s="4" t="s">
        <v>21</v>
      </c>
      <c r="D1391" s="4" t="s">
        <v>21</v>
      </c>
    </row>
    <row r="1392">
      <c r="A1392" s="5">
        <v>43930.344930555555</v>
      </c>
      <c r="B1392" s="4" t="s">
        <v>30</v>
      </c>
      <c r="C1392" s="4" t="s">
        <v>21</v>
      </c>
      <c r="D1392" s="4" t="s">
        <v>21</v>
      </c>
    </row>
    <row r="1393">
      <c r="A1393" s="5">
        <v>43930.345</v>
      </c>
      <c r="B1393" s="4" t="s">
        <v>30</v>
      </c>
      <c r="C1393" s="4" t="s">
        <v>21</v>
      </c>
      <c r="D1393" s="4" t="s">
        <v>21</v>
      </c>
    </row>
    <row r="1394">
      <c r="A1394" s="5">
        <v>43976.78596064815</v>
      </c>
      <c r="B1394" s="4" t="s">
        <v>30</v>
      </c>
      <c r="C1394" s="4" t="s">
        <v>21</v>
      </c>
      <c r="D1394" s="4" t="s">
        <v>21</v>
      </c>
    </row>
    <row r="1395">
      <c r="A1395" s="5">
        <v>43761.578194444446</v>
      </c>
      <c r="B1395" s="4" t="s">
        <v>30</v>
      </c>
      <c r="C1395" s="4" t="s">
        <v>21</v>
      </c>
      <c r="D1395" s="4" t="s">
        <v>21</v>
      </c>
    </row>
    <row r="1396">
      <c r="A1396" s="5">
        <v>43865.290289351855</v>
      </c>
      <c r="B1396" s="4" t="s">
        <v>30</v>
      </c>
      <c r="C1396" s="4" t="s">
        <v>21</v>
      </c>
      <c r="D1396" s="4" t="s">
        <v>21</v>
      </c>
    </row>
    <row r="1397">
      <c r="A1397" s="5">
        <v>43887.407013888886</v>
      </c>
      <c r="B1397" s="4" t="s">
        <v>30</v>
      </c>
      <c r="C1397" s="4" t="s">
        <v>21</v>
      </c>
      <c r="D1397" s="4" t="s">
        <v>21</v>
      </c>
    </row>
    <row r="1398">
      <c r="A1398" s="5">
        <v>43991.85701388889</v>
      </c>
      <c r="B1398" s="4" t="s">
        <v>30</v>
      </c>
      <c r="C1398" s="4" t="s">
        <v>21</v>
      </c>
      <c r="D1398" s="4" t="s">
        <v>21</v>
      </c>
    </row>
    <row r="1399">
      <c r="A1399" s="5">
        <v>43992.38873842593</v>
      </c>
      <c r="B1399" s="4" t="s">
        <v>30</v>
      </c>
      <c r="C1399" s="4" t="s">
        <v>21</v>
      </c>
      <c r="D1399" s="4" t="s">
        <v>21</v>
      </c>
    </row>
    <row r="1400">
      <c r="A1400" s="5">
        <v>43811.11</v>
      </c>
      <c r="B1400" s="4" t="s">
        <v>30</v>
      </c>
      <c r="C1400" s="4" t="s">
        <v>21</v>
      </c>
      <c r="D1400" s="4" t="s">
        <v>21</v>
      </c>
    </row>
    <row r="1401">
      <c r="A1401" s="5">
        <v>43837.28527777778</v>
      </c>
      <c r="B1401" s="4" t="s">
        <v>30</v>
      </c>
      <c r="C1401" s="4" t="s">
        <v>21</v>
      </c>
      <c r="D1401" s="4" t="s">
        <v>21</v>
      </c>
    </row>
    <row r="1402">
      <c r="A1402" s="5">
        <v>43857.730833333335</v>
      </c>
      <c r="B1402" s="4" t="s">
        <v>30</v>
      </c>
      <c r="C1402" s="4" t="s">
        <v>21</v>
      </c>
      <c r="D1402" s="4" t="s">
        <v>23</v>
      </c>
    </row>
    <row r="1403">
      <c r="A1403" s="5">
        <v>43880.50607638889</v>
      </c>
      <c r="B1403" s="4" t="s">
        <v>30</v>
      </c>
      <c r="C1403" s="4" t="s">
        <v>21</v>
      </c>
      <c r="D1403" s="4" t="s">
        <v>21</v>
      </c>
    </row>
    <row r="1404">
      <c r="A1404" s="5">
        <v>43881.65642361111</v>
      </c>
      <c r="B1404" s="4" t="s">
        <v>30</v>
      </c>
      <c r="C1404" s="4" t="s">
        <v>21</v>
      </c>
      <c r="D1404" s="4" t="s">
        <v>21</v>
      </c>
    </row>
    <row r="1405">
      <c r="A1405" s="5">
        <v>43886.10402777778</v>
      </c>
      <c r="B1405" s="4" t="s">
        <v>30</v>
      </c>
      <c r="C1405" s="4" t="s">
        <v>21</v>
      </c>
      <c r="D1405" s="4" t="s">
        <v>21</v>
      </c>
    </row>
    <row r="1406">
      <c r="A1406" s="5">
        <v>43887.0953125</v>
      </c>
      <c r="B1406" s="4" t="s">
        <v>30</v>
      </c>
      <c r="C1406" s="4" t="s">
        <v>21</v>
      </c>
      <c r="D1406" s="4" t="s">
        <v>21</v>
      </c>
    </row>
    <row r="1407">
      <c r="A1407" s="5">
        <v>43938.65508101852</v>
      </c>
      <c r="B1407" s="4" t="s">
        <v>30</v>
      </c>
      <c r="C1407" s="4" t="s">
        <v>21</v>
      </c>
      <c r="D1407" s="4" t="s">
        <v>21</v>
      </c>
    </row>
    <row r="1408">
      <c r="A1408" s="5">
        <v>43962.57606481481</v>
      </c>
      <c r="B1408" s="4" t="s">
        <v>30</v>
      </c>
      <c r="C1408" s="4" t="s">
        <v>21</v>
      </c>
      <c r="D1408" s="4" t="s">
        <v>21</v>
      </c>
    </row>
    <row r="1409">
      <c r="A1409" s="5">
        <v>43837.94521990741</v>
      </c>
      <c r="B1409" s="4" t="s">
        <v>30</v>
      </c>
      <c r="C1409" s="4" t="s">
        <v>21</v>
      </c>
      <c r="D1409" s="4" t="s">
        <v>21</v>
      </c>
    </row>
    <row r="1410">
      <c r="A1410" s="5">
        <v>43971.428136574075</v>
      </c>
      <c r="B1410" s="4" t="s">
        <v>30</v>
      </c>
      <c r="C1410" s="4" t="s">
        <v>21</v>
      </c>
      <c r="D1410" s="4" t="s">
        <v>21</v>
      </c>
    </row>
    <row r="1411">
      <c r="A1411" s="5">
        <v>43997.59337962963</v>
      </c>
      <c r="B1411" s="4" t="s">
        <v>30</v>
      </c>
      <c r="C1411" s="4" t="s">
        <v>21</v>
      </c>
      <c r="D1411" s="4" t="s">
        <v>21</v>
      </c>
    </row>
    <row r="1412">
      <c r="A1412" s="5">
        <v>43997.59511574074</v>
      </c>
      <c r="B1412" s="4" t="s">
        <v>30</v>
      </c>
      <c r="C1412" s="4" t="s">
        <v>21</v>
      </c>
      <c r="D1412" s="4" t="s">
        <v>21</v>
      </c>
    </row>
    <row r="1413">
      <c r="A1413" s="5">
        <v>43997.59988425926</v>
      </c>
      <c r="B1413" s="4" t="s">
        <v>30</v>
      </c>
      <c r="C1413" s="4" t="s">
        <v>21</v>
      </c>
      <c r="D1413" s="4" t="s">
        <v>21</v>
      </c>
    </row>
    <row r="1414">
      <c r="A1414" s="5">
        <v>43998.547106481485</v>
      </c>
      <c r="B1414" s="4" t="s">
        <v>30</v>
      </c>
      <c r="C1414" s="4" t="s">
        <v>21</v>
      </c>
      <c r="D1414" s="4" t="s">
        <v>21</v>
      </c>
    </row>
    <row r="1415">
      <c r="A1415" s="5">
        <v>43998.54851851852</v>
      </c>
      <c r="B1415" s="4" t="s">
        <v>30</v>
      </c>
      <c r="C1415" s="4" t="s">
        <v>21</v>
      </c>
      <c r="D1415" s="4" t="s">
        <v>21</v>
      </c>
    </row>
    <row r="1416">
      <c r="A1416" s="5">
        <v>43998.5487037037</v>
      </c>
      <c r="B1416" s="4" t="s">
        <v>30</v>
      </c>
      <c r="C1416" s="4" t="s">
        <v>21</v>
      </c>
      <c r="D1416" s="4" t="s">
        <v>21</v>
      </c>
    </row>
    <row r="1417">
      <c r="A1417" s="5">
        <v>43998.54949074074</v>
      </c>
      <c r="B1417" s="4" t="s">
        <v>30</v>
      </c>
      <c r="C1417" s="4" t="s">
        <v>21</v>
      </c>
      <c r="D1417" s="4" t="s">
        <v>21</v>
      </c>
    </row>
    <row r="1418">
      <c r="A1418" s="5">
        <v>43998.55152777778</v>
      </c>
      <c r="B1418" s="4" t="s">
        <v>30</v>
      </c>
      <c r="C1418" s="4" t="s">
        <v>21</v>
      </c>
      <c r="D1418" s="4" t="s">
        <v>21</v>
      </c>
    </row>
    <row r="1419">
      <c r="A1419" s="5">
        <v>43998.551712962966</v>
      </c>
      <c r="B1419" s="4" t="s">
        <v>30</v>
      </c>
      <c r="C1419" s="4" t="s">
        <v>21</v>
      </c>
      <c r="D1419" s="4" t="s">
        <v>21</v>
      </c>
    </row>
    <row r="1420">
      <c r="A1420" s="5">
        <v>43998.55322916667</v>
      </c>
      <c r="B1420" s="4" t="s">
        <v>30</v>
      </c>
      <c r="C1420" s="4" t="s">
        <v>21</v>
      </c>
      <c r="D1420" s="4" t="s">
        <v>21</v>
      </c>
    </row>
    <row r="1421">
      <c r="A1421" s="5">
        <v>43998.5537962963</v>
      </c>
      <c r="B1421" s="4" t="s">
        <v>30</v>
      </c>
      <c r="C1421" s="4" t="s">
        <v>21</v>
      </c>
      <c r="D1421" s="4" t="s">
        <v>21</v>
      </c>
    </row>
    <row r="1422">
      <c r="A1422" s="5">
        <v>43840.43377314815</v>
      </c>
      <c r="B1422" s="4" t="s">
        <v>30</v>
      </c>
      <c r="C1422" s="4" t="s">
        <v>21</v>
      </c>
      <c r="D1422" s="4" t="s">
        <v>21</v>
      </c>
    </row>
    <row r="1423">
      <c r="A1423" s="5">
        <v>43943.889918981484</v>
      </c>
      <c r="B1423" s="4" t="s">
        <v>30</v>
      </c>
      <c r="C1423" s="4" t="s">
        <v>21</v>
      </c>
      <c r="D1423" s="4" t="s">
        <v>21</v>
      </c>
    </row>
    <row r="1424">
      <c r="A1424" s="5">
        <v>43957.62037037037</v>
      </c>
      <c r="B1424" s="4" t="s">
        <v>30</v>
      </c>
      <c r="C1424" s="4" t="s">
        <v>21</v>
      </c>
      <c r="D1424" s="4" t="s">
        <v>21</v>
      </c>
    </row>
    <row r="1425">
      <c r="A1425" s="5">
        <v>43991.4074537037</v>
      </c>
      <c r="B1425" s="4" t="s">
        <v>30</v>
      </c>
      <c r="C1425" s="4" t="s">
        <v>21</v>
      </c>
      <c r="D1425" s="4" t="s">
        <v>21</v>
      </c>
    </row>
    <row r="1426">
      <c r="A1426" s="5">
        <v>43819.57288194444</v>
      </c>
      <c r="B1426" s="4" t="s">
        <v>30</v>
      </c>
      <c r="C1426" s="4" t="s">
        <v>21</v>
      </c>
      <c r="D1426" s="4" t="s">
        <v>21</v>
      </c>
    </row>
    <row r="1427">
      <c r="A1427" s="5">
        <v>43879.529861111114</v>
      </c>
      <c r="B1427" s="4" t="s">
        <v>30</v>
      </c>
      <c r="C1427" s="4" t="s">
        <v>21</v>
      </c>
      <c r="D1427" s="4" t="s">
        <v>21</v>
      </c>
    </row>
    <row r="1428">
      <c r="A1428" s="5">
        <v>43879.7130787037</v>
      </c>
      <c r="B1428" s="4" t="s">
        <v>30</v>
      </c>
      <c r="C1428" s="4" t="s">
        <v>21</v>
      </c>
      <c r="D1428" s="4" t="s">
        <v>21</v>
      </c>
    </row>
    <row r="1429">
      <c r="A1429" s="5">
        <v>43879.713159722225</v>
      </c>
      <c r="B1429" s="4" t="s">
        <v>30</v>
      </c>
      <c r="C1429" s="4" t="s">
        <v>21</v>
      </c>
      <c r="D1429" s="4" t="s">
        <v>21</v>
      </c>
    </row>
    <row r="1430">
      <c r="A1430" s="5">
        <v>43879.71324074074</v>
      </c>
      <c r="B1430" s="4" t="s">
        <v>30</v>
      </c>
      <c r="C1430" s="4" t="s">
        <v>21</v>
      </c>
      <c r="D1430" s="4" t="s">
        <v>21</v>
      </c>
    </row>
    <row r="1431">
      <c r="A1431" s="5">
        <v>43879.713321759256</v>
      </c>
      <c r="B1431" s="4" t="s">
        <v>30</v>
      </c>
      <c r="C1431" s="4" t="s">
        <v>21</v>
      </c>
      <c r="D1431" s="4" t="s">
        <v>21</v>
      </c>
    </row>
    <row r="1432">
      <c r="A1432" s="5">
        <v>43879.71341435185</v>
      </c>
      <c r="B1432" s="4" t="s">
        <v>30</v>
      </c>
      <c r="C1432" s="4" t="s">
        <v>21</v>
      </c>
      <c r="D1432" s="4" t="s">
        <v>21</v>
      </c>
    </row>
    <row r="1433">
      <c r="A1433" s="5">
        <v>43879.71350694444</v>
      </c>
      <c r="B1433" s="4" t="s">
        <v>30</v>
      </c>
      <c r="C1433" s="4" t="s">
        <v>21</v>
      </c>
      <c r="D1433" s="4" t="s">
        <v>21</v>
      </c>
    </row>
    <row r="1434">
      <c r="A1434" s="5">
        <v>43879.713587962964</v>
      </c>
      <c r="B1434" s="4" t="s">
        <v>30</v>
      </c>
      <c r="C1434" s="4" t="s">
        <v>21</v>
      </c>
      <c r="D1434" s="4" t="s">
        <v>21</v>
      </c>
    </row>
    <row r="1435">
      <c r="A1435" s="5">
        <v>43879.71366898148</v>
      </c>
      <c r="B1435" s="4" t="s">
        <v>30</v>
      </c>
      <c r="C1435" s="4" t="s">
        <v>21</v>
      </c>
      <c r="D1435" s="4" t="s">
        <v>21</v>
      </c>
    </row>
    <row r="1436">
      <c r="A1436" s="5">
        <v>43879.71375</v>
      </c>
      <c r="B1436" s="4" t="s">
        <v>30</v>
      </c>
      <c r="C1436" s="4" t="s">
        <v>21</v>
      </c>
      <c r="D1436" s="4" t="s">
        <v>21</v>
      </c>
    </row>
    <row r="1437">
      <c r="A1437" s="5">
        <v>43879.71383101852</v>
      </c>
      <c r="B1437" s="4" t="s">
        <v>30</v>
      </c>
      <c r="C1437" s="4" t="s">
        <v>21</v>
      </c>
      <c r="D1437" s="4" t="s">
        <v>21</v>
      </c>
    </row>
    <row r="1438">
      <c r="A1438" s="5">
        <v>43879.713900462964</v>
      </c>
      <c r="B1438" s="4" t="s">
        <v>30</v>
      </c>
      <c r="C1438" s="4" t="s">
        <v>21</v>
      </c>
      <c r="D1438" s="4" t="s">
        <v>21</v>
      </c>
    </row>
    <row r="1439">
      <c r="A1439" s="5">
        <v>43879.71398148148</v>
      </c>
      <c r="B1439" s="4" t="s">
        <v>30</v>
      </c>
      <c r="C1439" s="4" t="s">
        <v>21</v>
      </c>
      <c r="D1439" s="4" t="s">
        <v>21</v>
      </c>
    </row>
    <row r="1440">
      <c r="A1440" s="5">
        <v>43879.71407407407</v>
      </c>
      <c r="B1440" s="4" t="s">
        <v>30</v>
      </c>
      <c r="C1440" s="4" t="s">
        <v>21</v>
      </c>
      <c r="D1440" s="4" t="s">
        <v>21</v>
      </c>
    </row>
    <row r="1441">
      <c r="A1441" s="5">
        <v>43879.71414351852</v>
      </c>
      <c r="B1441" s="4" t="s">
        <v>30</v>
      </c>
      <c r="C1441" s="4" t="s">
        <v>21</v>
      </c>
      <c r="D1441" s="4" t="s">
        <v>21</v>
      </c>
    </row>
    <row r="1442">
      <c r="A1442" s="5">
        <v>43879.714224537034</v>
      </c>
      <c r="B1442" s="4" t="s">
        <v>30</v>
      </c>
      <c r="C1442" s="4" t="s">
        <v>21</v>
      </c>
      <c r="D1442" s="4" t="s">
        <v>21</v>
      </c>
    </row>
    <row r="1443">
      <c r="A1443" s="5">
        <v>43879.71431712963</v>
      </c>
      <c r="B1443" s="4" t="s">
        <v>30</v>
      </c>
      <c r="C1443" s="4" t="s">
        <v>21</v>
      </c>
      <c r="D1443" s="4" t="s">
        <v>21</v>
      </c>
    </row>
    <row r="1444">
      <c r="A1444" s="5">
        <v>43879.71438657407</v>
      </c>
      <c r="B1444" s="4" t="s">
        <v>30</v>
      </c>
      <c r="C1444" s="4" t="s">
        <v>21</v>
      </c>
      <c r="D1444" s="4" t="s">
        <v>21</v>
      </c>
    </row>
    <row r="1445">
      <c r="A1445" s="5">
        <v>43879.714467592596</v>
      </c>
      <c r="B1445" s="4" t="s">
        <v>30</v>
      </c>
      <c r="C1445" s="4" t="s">
        <v>21</v>
      </c>
      <c r="D1445" s="4" t="s">
        <v>21</v>
      </c>
    </row>
    <row r="1446">
      <c r="A1446" s="5">
        <v>43879.71576388889</v>
      </c>
      <c r="B1446" s="4" t="s">
        <v>30</v>
      </c>
      <c r="C1446" s="4" t="s">
        <v>21</v>
      </c>
      <c r="D1446" s="4" t="s">
        <v>21</v>
      </c>
    </row>
    <row r="1447">
      <c r="A1447" s="5">
        <v>43879.715844907405</v>
      </c>
      <c r="B1447" s="4" t="s">
        <v>30</v>
      </c>
      <c r="C1447" s="4" t="s">
        <v>21</v>
      </c>
      <c r="D1447" s="4" t="s">
        <v>21</v>
      </c>
    </row>
    <row r="1448">
      <c r="A1448" s="5">
        <v>43879.71592592593</v>
      </c>
      <c r="B1448" s="4" t="s">
        <v>30</v>
      </c>
      <c r="C1448" s="4" t="s">
        <v>21</v>
      </c>
      <c r="D1448" s="4" t="s">
        <v>21</v>
      </c>
    </row>
    <row r="1449">
      <c r="A1449" s="5">
        <v>43879.715995370374</v>
      </c>
      <c r="B1449" s="4" t="s">
        <v>30</v>
      </c>
      <c r="C1449" s="4" t="s">
        <v>21</v>
      </c>
      <c r="D1449" s="4" t="s">
        <v>21</v>
      </c>
    </row>
    <row r="1450">
      <c r="A1450" s="5">
        <v>43879.71611111111</v>
      </c>
      <c r="B1450" s="4" t="s">
        <v>30</v>
      </c>
      <c r="C1450" s="4" t="s">
        <v>21</v>
      </c>
      <c r="D1450" s="4" t="s">
        <v>21</v>
      </c>
    </row>
    <row r="1451">
      <c r="A1451" s="5">
        <v>43879.71619212963</v>
      </c>
      <c r="B1451" s="4" t="s">
        <v>30</v>
      </c>
      <c r="C1451" s="4" t="s">
        <v>21</v>
      </c>
      <c r="D1451" s="4" t="s">
        <v>21</v>
      </c>
    </row>
    <row r="1452">
      <c r="A1452" s="5">
        <v>43879.71627314815</v>
      </c>
      <c r="B1452" s="4" t="s">
        <v>30</v>
      </c>
      <c r="C1452" s="4" t="s">
        <v>21</v>
      </c>
      <c r="D1452" s="4" t="s">
        <v>21</v>
      </c>
    </row>
    <row r="1453">
      <c r="A1453" s="5">
        <v>43879.71635416667</v>
      </c>
      <c r="B1453" s="4" t="s">
        <v>30</v>
      </c>
      <c r="C1453" s="4" t="s">
        <v>21</v>
      </c>
      <c r="D1453" s="4" t="s">
        <v>21</v>
      </c>
    </row>
    <row r="1454">
      <c r="A1454" s="5">
        <v>43880.684907407405</v>
      </c>
      <c r="B1454" s="4" t="s">
        <v>30</v>
      </c>
      <c r="C1454" s="4" t="s">
        <v>21</v>
      </c>
      <c r="D1454" s="4" t="s">
        <v>21</v>
      </c>
    </row>
    <row r="1455">
      <c r="A1455" s="5">
        <v>43881.76261574074</v>
      </c>
      <c r="B1455" s="4" t="s">
        <v>30</v>
      </c>
      <c r="C1455" s="4" t="s">
        <v>21</v>
      </c>
      <c r="D1455" s="4" t="s">
        <v>21</v>
      </c>
    </row>
    <row r="1456">
      <c r="A1456" s="5">
        <v>43949.44467592592</v>
      </c>
      <c r="B1456" s="4" t="s">
        <v>30</v>
      </c>
      <c r="C1456" s="4" t="s">
        <v>21</v>
      </c>
      <c r="D1456" s="4" t="s">
        <v>21</v>
      </c>
    </row>
    <row r="1457">
      <c r="A1457" s="5">
        <v>43955.5425</v>
      </c>
      <c r="B1457" s="4" t="s">
        <v>30</v>
      </c>
      <c r="C1457" s="4" t="s">
        <v>21</v>
      </c>
      <c r="D1457" s="4" t="s">
        <v>21</v>
      </c>
    </row>
    <row r="1458">
      <c r="A1458" s="5">
        <v>43955.542592592596</v>
      </c>
      <c r="B1458" s="4" t="s">
        <v>30</v>
      </c>
      <c r="C1458" s="4" t="s">
        <v>21</v>
      </c>
      <c r="D1458" s="4" t="s">
        <v>21</v>
      </c>
    </row>
    <row r="1459">
      <c r="A1459" s="5">
        <v>43955.543854166666</v>
      </c>
      <c r="B1459" s="4" t="s">
        <v>30</v>
      </c>
      <c r="C1459" s="4" t="s">
        <v>21</v>
      </c>
      <c r="D1459" s="4" t="s">
        <v>21</v>
      </c>
    </row>
    <row r="1460">
      <c r="A1460" s="5">
        <v>43955.54393518518</v>
      </c>
      <c r="B1460" s="4" t="s">
        <v>30</v>
      </c>
      <c r="C1460" s="4" t="s">
        <v>21</v>
      </c>
      <c r="D1460" s="4" t="s">
        <v>21</v>
      </c>
    </row>
    <row r="1461">
      <c r="A1461" s="5">
        <v>43955.544016203705</v>
      </c>
      <c r="B1461" s="4" t="s">
        <v>30</v>
      </c>
      <c r="C1461" s="4" t="s">
        <v>21</v>
      </c>
      <c r="D1461" s="4" t="s">
        <v>21</v>
      </c>
    </row>
    <row r="1462">
      <c r="A1462" s="5">
        <v>43955.54409722222</v>
      </c>
      <c r="B1462" s="4" t="s">
        <v>30</v>
      </c>
      <c r="C1462" s="4" t="s">
        <v>21</v>
      </c>
      <c r="D1462" s="4" t="s">
        <v>21</v>
      </c>
    </row>
    <row r="1463">
      <c r="A1463" s="5">
        <v>43955.54418981481</v>
      </c>
      <c r="B1463" s="4" t="s">
        <v>30</v>
      </c>
      <c r="C1463" s="4" t="s">
        <v>21</v>
      </c>
      <c r="D1463" s="4" t="s">
        <v>21</v>
      </c>
    </row>
    <row r="1464">
      <c r="A1464" s="5">
        <v>43955.544270833336</v>
      </c>
      <c r="B1464" s="4" t="s">
        <v>30</v>
      </c>
      <c r="C1464" s="4" t="s">
        <v>21</v>
      </c>
      <c r="D1464" s="4" t="s">
        <v>21</v>
      </c>
    </row>
    <row r="1465">
      <c r="A1465" s="5">
        <v>43957.535162037035</v>
      </c>
      <c r="B1465" s="4" t="s">
        <v>30</v>
      </c>
      <c r="C1465" s="4" t="s">
        <v>21</v>
      </c>
      <c r="D1465" s="4" t="s">
        <v>21</v>
      </c>
    </row>
    <row r="1466" hidden="1">
      <c r="A1466" s="5">
        <v>43945.132060185184</v>
      </c>
      <c r="B1466" s="4" t="s">
        <v>31</v>
      </c>
      <c r="C1466" s="4" t="s">
        <v>21</v>
      </c>
      <c r="D1466" s="4" t="s">
        <v>21</v>
      </c>
    </row>
    <row r="1467">
      <c r="A1467" s="5">
        <v>43755.47087962963</v>
      </c>
      <c r="B1467" s="4" t="s">
        <v>30</v>
      </c>
      <c r="C1467" s="4" t="s">
        <v>21</v>
      </c>
      <c r="D1467" s="4" t="s">
        <v>21</v>
      </c>
    </row>
    <row r="1468">
      <c r="A1468" s="5">
        <v>43770.37184027778</v>
      </c>
      <c r="B1468" s="4" t="s">
        <v>30</v>
      </c>
      <c r="C1468" s="4" t="s">
        <v>21</v>
      </c>
      <c r="D1468" s="4" t="s">
        <v>21</v>
      </c>
    </row>
    <row r="1469">
      <c r="A1469" s="5">
        <v>43773.39813657408</v>
      </c>
      <c r="B1469" s="4" t="s">
        <v>30</v>
      </c>
      <c r="C1469" s="4" t="s">
        <v>21</v>
      </c>
      <c r="D1469" s="4" t="s">
        <v>21</v>
      </c>
    </row>
    <row r="1470">
      <c r="A1470" s="5">
        <v>43773.46849537037</v>
      </c>
      <c r="B1470" s="4" t="s">
        <v>30</v>
      </c>
      <c r="C1470" s="4" t="s">
        <v>21</v>
      </c>
      <c r="D1470" s="4" t="s">
        <v>21</v>
      </c>
    </row>
    <row r="1471">
      <c r="A1471" s="5">
        <v>43773.55244212963</v>
      </c>
      <c r="B1471" s="4" t="s">
        <v>30</v>
      </c>
      <c r="C1471" s="4" t="s">
        <v>21</v>
      </c>
      <c r="D1471" s="4" t="s">
        <v>21</v>
      </c>
    </row>
    <row r="1472">
      <c r="A1472" s="5">
        <v>43844.466527777775</v>
      </c>
      <c r="B1472" s="4" t="s">
        <v>30</v>
      </c>
      <c r="C1472" s="4" t="s">
        <v>21</v>
      </c>
      <c r="D1472" s="4" t="s">
        <v>21</v>
      </c>
    </row>
    <row r="1473">
      <c r="A1473" s="5">
        <v>43899.41619212963</v>
      </c>
      <c r="B1473" s="4" t="s">
        <v>30</v>
      </c>
      <c r="C1473" s="4" t="s">
        <v>21</v>
      </c>
      <c r="D1473" s="4" t="s">
        <v>21</v>
      </c>
    </row>
    <row r="1474">
      <c r="A1474" s="5">
        <v>43913.44225694444</v>
      </c>
      <c r="B1474" s="4" t="s">
        <v>30</v>
      </c>
      <c r="C1474" s="4" t="s">
        <v>21</v>
      </c>
      <c r="D1474" s="4" t="s">
        <v>21</v>
      </c>
    </row>
    <row r="1475">
      <c r="A1475" s="5">
        <v>43922.656273148146</v>
      </c>
      <c r="B1475" s="4" t="s">
        <v>30</v>
      </c>
      <c r="C1475" s="4" t="s">
        <v>21</v>
      </c>
      <c r="D1475" s="4" t="s">
        <v>21</v>
      </c>
    </row>
    <row r="1476">
      <c r="A1476" s="5">
        <v>43928.63597222222</v>
      </c>
      <c r="B1476" s="4" t="s">
        <v>30</v>
      </c>
      <c r="C1476" s="4" t="s">
        <v>21</v>
      </c>
      <c r="D1476" s="4" t="s">
        <v>21</v>
      </c>
    </row>
    <row r="1477">
      <c r="A1477" s="5">
        <v>43930.450474537036</v>
      </c>
      <c r="B1477" s="4" t="s">
        <v>30</v>
      </c>
      <c r="C1477" s="4" t="s">
        <v>21</v>
      </c>
      <c r="D1477" s="4" t="s">
        <v>21</v>
      </c>
    </row>
    <row r="1478">
      <c r="A1478" s="5">
        <v>43915.33037037037</v>
      </c>
      <c r="B1478" s="4" t="s">
        <v>30</v>
      </c>
      <c r="C1478" s="4" t="s">
        <v>21</v>
      </c>
      <c r="D1478" s="4" t="s">
        <v>21</v>
      </c>
    </row>
    <row r="1479">
      <c r="A1479" s="5">
        <v>43937.67138888889</v>
      </c>
      <c r="B1479" s="4" t="s">
        <v>30</v>
      </c>
      <c r="C1479" s="4" t="s">
        <v>21</v>
      </c>
      <c r="D1479" s="4" t="s">
        <v>21</v>
      </c>
    </row>
    <row r="1480">
      <c r="A1480" s="5">
        <v>43955.515625</v>
      </c>
      <c r="B1480" s="4" t="s">
        <v>30</v>
      </c>
      <c r="C1480" s="4" t="s">
        <v>21</v>
      </c>
      <c r="D1480" s="4" t="s">
        <v>21</v>
      </c>
    </row>
    <row r="1481">
      <c r="A1481" s="5">
        <v>44005.553402777776</v>
      </c>
      <c r="B1481" s="4" t="s">
        <v>30</v>
      </c>
      <c r="C1481" s="4" t="s">
        <v>21</v>
      </c>
      <c r="D1481" s="4" t="s">
        <v>21</v>
      </c>
    </row>
    <row r="1482">
      <c r="A1482" s="5">
        <v>43878.75987268519</v>
      </c>
      <c r="B1482" s="4" t="s">
        <v>30</v>
      </c>
      <c r="C1482" s="4" t="s">
        <v>21</v>
      </c>
      <c r="D1482" s="4" t="s">
        <v>21</v>
      </c>
    </row>
    <row r="1483">
      <c r="A1483" s="5">
        <v>43879.43203703704</v>
      </c>
      <c r="B1483" s="4" t="s">
        <v>30</v>
      </c>
      <c r="C1483" s="4" t="s">
        <v>21</v>
      </c>
      <c r="D1483" s="4" t="s">
        <v>21</v>
      </c>
    </row>
    <row r="1484">
      <c r="A1484" s="5">
        <v>43909.73873842593</v>
      </c>
      <c r="B1484" s="4" t="s">
        <v>30</v>
      </c>
      <c r="C1484" s="4" t="s">
        <v>21</v>
      </c>
      <c r="D1484" s="4" t="s">
        <v>21</v>
      </c>
    </row>
    <row r="1485">
      <c r="A1485" s="5">
        <v>43910.477175925924</v>
      </c>
      <c r="B1485" s="4" t="s">
        <v>30</v>
      </c>
      <c r="C1485" s="4" t="s">
        <v>21</v>
      </c>
      <c r="D1485" s="4" t="s">
        <v>21</v>
      </c>
    </row>
    <row r="1486">
      <c r="A1486" s="5">
        <v>43921.80210648148</v>
      </c>
      <c r="B1486" s="4" t="s">
        <v>30</v>
      </c>
      <c r="C1486" s="4" t="s">
        <v>21</v>
      </c>
      <c r="D1486" s="4" t="s">
        <v>21</v>
      </c>
    </row>
    <row r="1487">
      <c r="A1487" s="5">
        <v>43936.458344907405</v>
      </c>
      <c r="B1487" s="4" t="s">
        <v>30</v>
      </c>
      <c r="C1487" s="4" t="s">
        <v>21</v>
      </c>
      <c r="D1487" s="4" t="s">
        <v>21</v>
      </c>
    </row>
    <row r="1488">
      <c r="A1488" s="5">
        <v>43963.67414351852</v>
      </c>
      <c r="B1488" s="4" t="s">
        <v>30</v>
      </c>
      <c r="C1488" s="4" t="s">
        <v>21</v>
      </c>
      <c r="D1488" s="4" t="s">
        <v>21</v>
      </c>
    </row>
    <row r="1489">
      <c r="A1489" s="5">
        <v>43970.278912037036</v>
      </c>
      <c r="B1489" s="4" t="s">
        <v>30</v>
      </c>
      <c r="C1489" s="4" t="s">
        <v>21</v>
      </c>
      <c r="D1489" s="4" t="s">
        <v>21</v>
      </c>
    </row>
    <row r="1490">
      <c r="A1490" s="5">
        <v>43780.38605324074</v>
      </c>
      <c r="B1490" s="4" t="s">
        <v>30</v>
      </c>
      <c r="C1490" s="4" t="s">
        <v>21</v>
      </c>
      <c r="D1490" s="4" t="s">
        <v>21</v>
      </c>
    </row>
    <row r="1491">
      <c r="A1491" s="5">
        <v>43850.34756944444</v>
      </c>
      <c r="B1491" s="4" t="s">
        <v>30</v>
      </c>
      <c r="C1491" s="4" t="s">
        <v>21</v>
      </c>
      <c r="D1491" s="4" t="s">
        <v>21</v>
      </c>
    </row>
    <row r="1492">
      <c r="A1492" s="5">
        <v>43861.688576388886</v>
      </c>
      <c r="B1492" s="4" t="s">
        <v>30</v>
      </c>
      <c r="C1492" s="4" t="s">
        <v>21</v>
      </c>
      <c r="D1492" s="4" t="s">
        <v>23</v>
      </c>
    </row>
    <row r="1493">
      <c r="A1493" s="5">
        <v>43878.46690972222</v>
      </c>
      <c r="B1493" s="4" t="s">
        <v>30</v>
      </c>
      <c r="C1493" s="4" t="s">
        <v>21</v>
      </c>
      <c r="D1493" s="4" t="s">
        <v>21</v>
      </c>
    </row>
    <row r="1494">
      <c r="A1494" s="5">
        <v>43895.56297453704</v>
      </c>
      <c r="B1494" s="4" t="s">
        <v>30</v>
      </c>
      <c r="C1494" s="4" t="s">
        <v>21</v>
      </c>
      <c r="D1494" s="4" t="s">
        <v>21</v>
      </c>
    </row>
    <row r="1495">
      <c r="A1495" s="5">
        <v>43965.712916666664</v>
      </c>
      <c r="B1495" s="4" t="s">
        <v>30</v>
      </c>
      <c r="C1495" s="4" t="s">
        <v>21</v>
      </c>
      <c r="D1495" s="4" t="s">
        <v>21</v>
      </c>
    </row>
    <row r="1496">
      <c r="A1496" s="5">
        <v>43866.52980324074</v>
      </c>
      <c r="B1496" s="4" t="s">
        <v>30</v>
      </c>
      <c r="C1496" s="4" t="s">
        <v>21</v>
      </c>
      <c r="D1496" s="4" t="s">
        <v>21</v>
      </c>
    </row>
    <row r="1497">
      <c r="A1497" s="5">
        <v>43906.51008101852</v>
      </c>
      <c r="B1497" s="4" t="s">
        <v>30</v>
      </c>
      <c r="C1497" s="4" t="s">
        <v>21</v>
      </c>
      <c r="D1497" s="4" t="s">
        <v>21</v>
      </c>
    </row>
    <row r="1498">
      <c r="A1498" s="5">
        <v>43803.489583333336</v>
      </c>
      <c r="B1498" s="4" t="s">
        <v>30</v>
      </c>
      <c r="C1498" s="4" t="s">
        <v>21</v>
      </c>
      <c r="D1498" s="4" t="s">
        <v>21</v>
      </c>
    </row>
    <row r="1499">
      <c r="A1499" s="5">
        <v>43803.7146875</v>
      </c>
      <c r="B1499" s="4" t="s">
        <v>30</v>
      </c>
      <c r="C1499" s="4" t="s">
        <v>21</v>
      </c>
      <c r="D1499" s="4" t="s">
        <v>21</v>
      </c>
    </row>
    <row r="1500">
      <c r="A1500" s="5">
        <v>43837.62658564815</v>
      </c>
      <c r="B1500" s="4" t="s">
        <v>30</v>
      </c>
      <c r="C1500" s="4" t="s">
        <v>21</v>
      </c>
      <c r="D1500" s="4" t="s">
        <v>21</v>
      </c>
    </row>
    <row r="1501">
      <c r="A1501" s="5">
        <v>43837.631516203706</v>
      </c>
      <c r="B1501" s="4" t="s">
        <v>30</v>
      </c>
      <c r="C1501" s="4" t="s">
        <v>21</v>
      </c>
      <c r="D1501" s="4" t="s">
        <v>21</v>
      </c>
    </row>
    <row r="1502">
      <c r="A1502" s="5">
        <v>43838.63296296296</v>
      </c>
      <c r="B1502" s="4" t="s">
        <v>30</v>
      </c>
      <c r="C1502" s="4" t="s">
        <v>21</v>
      </c>
      <c r="D1502" s="4" t="s">
        <v>21</v>
      </c>
    </row>
    <row r="1503">
      <c r="A1503" s="5">
        <v>43871.402037037034</v>
      </c>
      <c r="B1503" s="4" t="s">
        <v>30</v>
      </c>
      <c r="C1503" s="4" t="s">
        <v>21</v>
      </c>
      <c r="D1503" s="4" t="s">
        <v>21</v>
      </c>
    </row>
    <row r="1504">
      <c r="A1504" s="5">
        <v>43896.75880787037</v>
      </c>
      <c r="B1504" s="4" t="s">
        <v>30</v>
      </c>
      <c r="C1504" s="4" t="s">
        <v>21</v>
      </c>
      <c r="D1504" s="4" t="s">
        <v>21</v>
      </c>
    </row>
    <row r="1505">
      <c r="A1505" s="5">
        <v>43909.7121412037</v>
      </c>
      <c r="B1505" s="4" t="s">
        <v>30</v>
      </c>
      <c r="C1505" s="4" t="s">
        <v>21</v>
      </c>
      <c r="D1505" s="4" t="s">
        <v>21</v>
      </c>
    </row>
    <row r="1506">
      <c r="A1506" s="5">
        <v>44011.48159722222</v>
      </c>
      <c r="B1506" s="4" t="s">
        <v>30</v>
      </c>
      <c r="C1506" s="4" t="s">
        <v>21</v>
      </c>
      <c r="D1506" s="4" t="s">
        <v>21</v>
      </c>
    </row>
    <row r="1507">
      <c r="A1507" s="5">
        <v>43862.76052083333</v>
      </c>
      <c r="B1507" s="4" t="s">
        <v>30</v>
      </c>
      <c r="C1507" s="4" t="s">
        <v>21</v>
      </c>
      <c r="D1507" s="4" t="s">
        <v>23</v>
      </c>
    </row>
    <row r="1508">
      <c r="A1508" s="5">
        <v>43798.36137731482</v>
      </c>
      <c r="B1508" s="4" t="s">
        <v>30</v>
      </c>
      <c r="C1508" s="4" t="s">
        <v>21</v>
      </c>
      <c r="D1508" s="4" t="s">
        <v>21</v>
      </c>
    </row>
    <row r="1509">
      <c r="A1509" s="5">
        <v>43808.464849537035</v>
      </c>
      <c r="B1509" s="4" t="s">
        <v>30</v>
      </c>
      <c r="C1509" s="4" t="s">
        <v>21</v>
      </c>
      <c r="D1509" s="4" t="s">
        <v>21</v>
      </c>
    </row>
    <row r="1510">
      <c r="A1510" s="5">
        <v>43781.43033564815</v>
      </c>
      <c r="B1510" s="4" t="s">
        <v>30</v>
      </c>
      <c r="C1510" s="4" t="s">
        <v>21</v>
      </c>
      <c r="D1510" s="4" t="s">
        <v>21</v>
      </c>
    </row>
    <row r="1511">
      <c r="A1511" s="5">
        <v>43769.26938657407</v>
      </c>
      <c r="B1511" s="4" t="s">
        <v>30</v>
      </c>
      <c r="C1511" s="4" t="s">
        <v>21</v>
      </c>
      <c r="D1511" s="4" t="s">
        <v>21</v>
      </c>
    </row>
    <row r="1512">
      <c r="A1512" s="5">
        <v>43853.549421296295</v>
      </c>
      <c r="B1512" s="4" t="s">
        <v>30</v>
      </c>
      <c r="C1512" s="4" t="s">
        <v>21</v>
      </c>
      <c r="D1512" s="4" t="s">
        <v>21</v>
      </c>
    </row>
    <row r="1513">
      <c r="A1513" s="5">
        <v>43845.34263888889</v>
      </c>
      <c r="B1513" s="4" t="s">
        <v>30</v>
      </c>
      <c r="C1513" s="4" t="s">
        <v>21</v>
      </c>
      <c r="D1513" s="4" t="s">
        <v>21</v>
      </c>
    </row>
    <row r="1514">
      <c r="A1514" s="5">
        <v>43755.57871527778</v>
      </c>
      <c r="B1514" s="4" t="s">
        <v>30</v>
      </c>
      <c r="C1514" s="4" t="s">
        <v>21</v>
      </c>
      <c r="D1514" s="4" t="s">
        <v>21</v>
      </c>
    </row>
    <row r="1515">
      <c r="A1515" s="5">
        <v>43755.851273148146</v>
      </c>
      <c r="B1515" s="4" t="s">
        <v>30</v>
      </c>
      <c r="C1515" s="4" t="s">
        <v>21</v>
      </c>
      <c r="D1515" s="4" t="s">
        <v>21</v>
      </c>
    </row>
    <row r="1516">
      <c r="A1516" s="5">
        <v>43756.508622685185</v>
      </c>
      <c r="B1516" s="4" t="s">
        <v>30</v>
      </c>
      <c r="C1516" s="4" t="s">
        <v>21</v>
      </c>
      <c r="D1516" s="4" t="s">
        <v>21</v>
      </c>
    </row>
    <row r="1517">
      <c r="A1517" s="5">
        <v>43756.52585648148</v>
      </c>
      <c r="B1517" s="4" t="s">
        <v>30</v>
      </c>
      <c r="C1517" s="4" t="s">
        <v>21</v>
      </c>
      <c r="D1517" s="4" t="s">
        <v>21</v>
      </c>
    </row>
    <row r="1518">
      <c r="A1518" s="5">
        <v>43818.584756944445</v>
      </c>
      <c r="B1518" s="4" t="s">
        <v>30</v>
      </c>
      <c r="C1518" s="4" t="s">
        <v>21</v>
      </c>
      <c r="D1518" s="4" t="s">
        <v>21</v>
      </c>
    </row>
    <row r="1519">
      <c r="A1519" s="5">
        <v>43894.24298611111</v>
      </c>
      <c r="B1519" s="4" t="s">
        <v>30</v>
      </c>
      <c r="C1519" s="4" t="s">
        <v>21</v>
      </c>
      <c r="D1519" s="4" t="s">
        <v>21</v>
      </c>
    </row>
    <row r="1520">
      <c r="A1520" s="5">
        <v>43916.507314814815</v>
      </c>
      <c r="B1520" s="4" t="s">
        <v>30</v>
      </c>
      <c r="C1520" s="4" t="s">
        <v>21</v>
      </c>
      <c r="D1520" s="4" t="s">
        <v>21</v>
      </c>
    </row>
    <row r="1521">
      <c r="A1521" s="5">
        <v>43950.30204861111</v>
      </c>
      <c r="B1521" s="4" t="s">
        <v>30</v>
      </c>
      <c r="C1521" s="4" t="s">
        <v>21</v>
      </c>
      <c r="D1521" s="4" t="s">
        <v>21</v>
      </c>
    </row>
    <row r="1522">
      <c r="A1522" s="5">
        <v>43993.57414351852</v>
      </c>
      <c r="B1522" s="4" t="s">
        <v>30</v>
      </c>
      <c r="C1522" s="4" t="s">
        <v>21</v>
      </c>
      <c r="D1522" s="4" t="s">
        <v>21</v>
      </c>
    </row>
    <row r="1523">
      <c r="A1523" s="5">
        <v>43999.237337962964</v>
      </c>
      <c r="B1523" s="4" t="s">
        <v>30</v>
      </c>
      <c r="C1523" s="4" t="s">
        <v>21</v>
      </c>
      <c r="D1523" s="4" t="s">
        <v>21</v>
      </c>
    </row>
    <row r="1524">
      <c r="A1524" s="5">
        <v>43767.615798611114</v>
      </c>
      <c r="B1524" s="4" t="s">
        <v>30</v>
      </c>
      <c r="C1524" s="4" t="s">
        <v>21</v>
      </c>
      <c r="D1524" s="4" t="s">
        <v>21</v>
      </c>
    </row>
    <row r="1525">
      <c r="A1525" s="5">
        <v>43859.6096412037</v>
      </c>
      <c r="B1525" s="4" t="s">
        <v>30</v>
      </c>
      <c r="C1525" s="4" t="s">
        <v>21</v>
      </c>
      <c r="D1525" s="4" t="s">
        <v>23</v>
      </c>
    </row>
    <row r="1526">
      <c r="A1526" s="5">
        <v>43892.37175925926</v>
      </c>
      <c r="B1526" s="4" t="s">
        <v>30</v>
      </c>
      <c r="C1526" s="4" t="s">
        <v>21</v>
      </c>
      <c r="D1526" s="4" t="s">
        <v>21</v>
      </c>
    </row>
    <row r="1527">
      <c r="A1527" s="5">
        <v>43914.33037037037</v>
      </c>
      <c r="B1527" s="4" t="s">
        <v>30</v>
      </c>
      <c r="C1527" s="4" t="s">
        <v>21</v>
      </c>
      <c r="D1527" s="4" t="s">
        <v>21</v>
      </c>
    </row>
    <row r="1528">
      <c r="A1528" s="5">
        <v>43930.35234953704</v>
      </c>
      <c r="B1528" s="4" t="s">
        <v>30</v>
      </c>
      <c r="C1528" s="4" t="s">
        <v>21</v>
      </c>
      <c r="D1528" s="4" t="s">
        <v>21</v>
      </c>
    </row>
    <row r="1529">
      <c r="A1529" s="5">
        <v>43951.11481481481</v>
      </c>
      <c r="B1529" s="4" t="s">
        <v>30</v>
      </c>
      <c r="C1529" s="4" t="s">
        <v>21</v>
      </c>
      <c r="D1529" s="4" t="s">
        <v>21</v>
      </c>
    </row>
    <row r="1530">
      <c r="A1530" s="5">
        <v>43966.1959375</v>
      </c>
      <c r="B1530" s="4" t="s">
        <v>30</v>
      </c>
      <c r="C1530" s="4" t="s">
        <v>21</v>
      </c>
      <c r="D1530" s="4" t="s">
        <v>21</v>
      </c>
    </row>
    <row r="1531">
      <c r="A1531" s="5">
        <v>43984.35159722222</v>
      </c>
      <c r="B1531" s="4" t="s">
        <v>30</v>
      </c>
      <c r="C1531" s="4" t="s">
        <v>21</v>
      </c>
      <c r="D1531" s="4" t="s">
        <v>21</v>
      </c>
    </row>
    <row r="1532">
      <c r="A1532" s="5">
        <v>43809.779270833336</v>
      </c>
      <c r="B1532" s="4" t="s">
        <v>30</v>
      </c>
      <c r="C1532" s="4" t="s">
        <v>21</v>
      </c>
      <c r="D1532" s="4" t="s">
        <v>21</v>
      </c>
    </row>
    <row r="1533">
      <c r="A1533" s="5">
        <v>43845.402025462965</v>
      </c>
      <c r="B1533" s="4" t="s">
        <v>30</v>
      </c>
      <c r="C1533" s="4" t="s">
        <v>21</v>
      </c>
      <c r="D1533" s="4" t="s">
        <v>21</v>
      </c>
    </row>
    <row r="1534">
      <c r="A1534" s="5">
        <v>43909.805081018516</v>
      </c>
      <c r="B1534" s="4" t="s">
        <v>30</v>
      </c>
      <c r="C1534" s="4" t="s">
        <v>21</v>
      </c>
      <c r="D1534" s="4" t="s">
        <v>21</v>
      </c>
    </row>
    <row r="1535">
      <c r="A1535" s="5">
        <v>43817.47883101852</v>
      </c>
      <c r="B1535" s="4" t="s">
        <v>30</v>
      </c>
      <c r="C1535" s="4" t="s">
        <v>21</v>
      </c>
      <c r="D1535" s="4" t="s">
        <v>21</v>
      </c>
    </row>
    <row r="1536">
      <c r="A1536" s="5">
        <v>43894.56327546296</v>
      </c>
      <c r="B1536" s="4" t="s">
        <v>30</v>
      </c>
      <c r="C1536" s="4" t="s">
        <v>21</v>
      </c>
      <c r="D1536" s="4" t="s">
        <v>21</v>
      </c>
    </row>
    <row r="1537">
      <c r="A1537" s="5">
        <v>43915.555868055555</v>
      </c>
      <c r="B1537" s="4" t="s">
        <v>30</v>
      </c>
      <c r="C1537" s="4" t="s">
        <v>21</v>
      </c>
      <c r="D1537" s="4" t="s">
        <v>21</v>
      </c>
    </row>
    <row r="1538">
      <c r="A1538" s="5">
        <v>43936.35287037037</v>
      </c>
      <c r="B1538" s="4" t="s">
        <v>30</v>
      </c>
      <c r="C1538" s="4" t="s">
        <v>21</v>
      </c>
      <c r="D1538" s="4" t="s">
        <v>21</v>
      </c>
    </row>
    <row r="1539">
      <c r="A1539" s="5">
        <v>43811.48637731482</v>
      </c>
      <c r="B1539" s="4" t="s">
        <v>30</v>
      </c>
      <c r="C1539" s="4" t="s">
        <v>21</v>
      </c>
      <c r="D1539" s="4" t="s">
        <v>21</v>
      </c>
    </row>
    <row r="1540">
      <c r="A1540" s="5">
        <v>43851.34767361111</v>
      </c>
      <c r="B1540" s="4" t="s">
        <v>30</v>
      </c>
      <c r="C1540" s="4" t="s">
        <v>21</v>
      </c>
      <c r="D1540" s="4" t="s">
        <v>21</v>
      </c>
    </row>
    <row r="1541">
      <c r="A1541" s="5">
        <v>43738.552083333336</v>
      </c>
      <c r="B1541" s="4" t="s">
        <v>30</v>
      </c>
      <c r="C1541" s="4" t="s">
        <v>21</v>
      </c>
      <c r="D1541" s="4" t="s">
        <v>21</v>
      </c>
    </row>
    <row r="1542">
      <c r="A1542" s="5">
        <v>43754.49332175926</v>
      </c>
      <c r="B1542" s="4" t="s">
        <v>30</v>
      </c>
      <c r="C1542" s="4" t="s">
        <v>21</v>
      </c>
      <c r="D1542" s="4" t="s">
        <v>21</v>
      </c>
    </row>
    <row r="1543">
      <c r="A1543" s="5">
        <v>43795.36252314815</v>
      </c>
      <c r="B1543" s="4" t="s">
        <v>30</v>
      </c>
      <c r="C1543" s="4" t="s">
        <v>21</v>
      </c>
      <c r="D1543" s="4" t="s">
        <v>21</v>
      </c>
    </row>
    <row r="1544">
      <c r="A1544" s="5">
        <v>43811.65972222222</v>
      </c>
      <c r="B1544" s="4" t="s">
        <v>30</v>
      </c>
      <c r="C1544" s="4" t="s">
        <v>21</v>
      </c>
      <c r="D1544" s="4" t="s">
        <v>21</v>
      </c>
    </row>
    <row r="1545">
      <c r="A1545" s="5">
        <v>43818.437314814815</v>
      </c>
      <c r="B1545" s="4" t="s">
        <v>30</v>
      </c>
      <c r="C1545" s="4" t="s">
        <v>21</v>
      </c>
      <c r="D1545" s="4" t="s">
        <v>21</v>
      </c>
    </row>
    <row r="1546">
      <c r="A1546" s="5">
        <v>43818.44038194444</v>
      </c>
      <c r="B1546" s="4" t="s">
        <v>30</v>
      </c>
      <c r="C1546" s="4" t="s">
        <v>21</v>
      </c>
      <c r="D1546" s="4" t="s">
        <v>21</v>
      </c>
    </row>
    <row r="1547">
      <c r="A1547" s="5">
        <v>43852.365324074075</v>
      </c>
      <c r="B1547" s="4" t="s">
        <v>30</v>
      </c>
      <c r="C1547" s="4" t="s">
        <v>21</v>
      </c>
      <c r="D1547" s="4" t="s">
        <v>21</v>
      </c>
    </row>
    <row r="1548">
      <c r="A1548" s="5">
        <v>43852.687002314815</v>
      </c>
      <c r="B1548" s="4" t="s">
        <v>30</v>
      </c>
      <c r="C1548" s="4" t="s">
        <v>21</v>
      </c>
      <c r="D1548" s="4" t="s">
        <v>21</v>
      </c>
    </row>
    <row r="1549">
      <c r="A1549" s="5">
        <v>43882.047418981485</v>
      </c>
      <c r="B1549" s="4" t="s">
        <v>30</v>
      </c>
      <c r="C1549" s="4" t="s">
        <v>21</v>
      </c>
      <c r="D1549" s="4" t="s">
        <v>21</v>
      </c>
    </row>
    <row r="1550">
      <c r="A1550" s="5">
        <v>43892.62175925926</v>
      </c>
      <c r="B1550" s="4" t="s">
        <v>30</v>
      </c>
      <c r="C1550" s="4" t="s">
        <v>21</v>
      </c>
      <c r="D1550" s="4" t="s">
        <v>21</v>
      </c>
    </row>
    <row r="1551">
      <c r="A1551" s="5">
        <v>43909.65939814815</v>
      </c>
      <c r="B1551" s="4" t="s">
        <v>30</v>
      </c>
      <c r="C1551" s="4" t="s">
        <v>21</v>
      </c>
      <c r="D1551" s="4" t="s">
        <v>21</v>
      </c>
    </row>
    <row r="1552">
      <c r="A1552" s="5">
        <v>43910.56277777778</v>
      </c>
      <c r="B1552" s="4" t="s">
        <v>30</v>
      </c>
      <c r="C1552" s="4" t="s">
        <v>21</v>
      </c>
      <c r="D1552" s="4" t="s">
        <v>21</v>
      </c>
    </row>
    <row r="1553">
      <c r="A1553" s="5">
        <v>43923.63586805556</v>
      </c>
      <c r="B1553" s="4" t="s">
        <v>30</v>
      </c>
      <c r="C1553" s="4" t="s">
        <v>21</v>
      </c>
      <c r="D1553" s="4" t="s">
        <v>21</v>
      </c>
    </row>
    <row r="1554">
      <c r="A1554" s="5">
        <v>43927.58280092593</v>
      </c>
      <c r="B1554" s="4" t="s">
        <v>30</v>
      </c>
      <c r="C1554" s="4" t="s">
        <v>21</v>
      </c>
      <c r="D1554" s="4" t="s">
        <v>21</v>
      </c>
    </row>
    <row r="1555">
      <c r="A1555" s="5">
        <v>43956.38613425926</v>
      </c>
      <c r="B1555" s="4" t="s">
        <v>30</v>
      </c>
      <c r="C1555" s="4" t="s">
        <v>21</v>
      </c>
      <c r="D1555" s="4" t="s">
        <v>21</v>
      </c>
    </row>
    <row r="1556">
      <c r="A1556" s="5">
        <v>44004.64357638889</v>
      </c>
      <c r="B1556" s="4" t="s">
        <v>30</v>
      </c>
      <c r="C1556" s="4" t="s">
        <v>21</v>
      </c>
      <c r="D1556" s="4" t="s">
        <v>21</v>
      </c>
    </row>
    <row r="1557">
      <c r="A1557" s="5">
        <v>43804.31383101852</v>
      </c>
      <c r="B1557" s="4" t="s">
        <v>30</v>
      </c>
      <c r="C1557" s="4" t="s">
        <v>21</v>
      </c>
      <c r="D1557" s="4" t="s">
        <v>21</v>
      </c>
    </row>
    <row r="1558">
      <c r="A1558" s="5">
        <v>43804.37726851852</v>
      </c>
      <c r="B1558" s="4" t="s">
        <v>30</v>
      </c>
      <c r="C1558" s="4" t="s">
        <v>21</v>
      </c>
      <c r="D1558" s="4" t="s">
        <v>21</v>
      </c>
    </row>
    <row r="1559">
      <c r="A1559" s="5">
        <v>43895.4991087963</v>
      </c>
      <c r="B1559" s="4" t="s">
        <v>30</v>
      </c>
      <c r="C1559" s="4" t="s">
        <v>21</v>
      </c>
      <c r="D1559" s="4" t="s">
        <v>21</v>
      </c>
    </row>
    <row r="1560">
      <c r="A1560" s="5">
        <v>43895.50077546296</v>
      </c>
      <c r="B1560" s="4" t="s">
        <v>30</v>
      </c>
      <c r="C1560" s="4" t="s">
        <v>21</v>
      </c>
      <c r="D1560" s="4" t="s">
        <v>21</v>
      </c>
    </row>
    <row r="1561">
      <c r="A1561" s="5">
        <v>43896.15091435185</v>
      </c>
      <c r="B1561" s="4" t="s">
        <v>30</v>
      </c>
      <c r="C1561" s="4" t="s">
        <v>21</v>
      </c>
      <c r="D1561" s="4" t="s">
        <v>21</v>
      </c>
    </row>
    <row r="1562">
      <c r="A1562" s="5">
        <v>43910.31637731481</v>
      </c>
      <c r="B1562" s="4" t="s">
        <v>30</v>
      </c>
      <c r="C1562" s="4" t="s">
        <v>21</v>
      </c>
      <c r="D1562" s="4" t="s">
        <v>21</v>
      </c>
    </row>
    <row r="1563">
      <c r="A1563" s="5">
        <v>43910.31842592593</v>
      </c>
      <c r="B1563" s="4" t="s">
        <v>30</v>
      </c>
      <c r="C1563" s="4" t="s">
        <v>21</v>
      </c>
      <c r="D1563" s="4" t="s">
        <v>21</v>
      </c>
    </row>
    <row r="1564">
      <c r="A1564" s="5">
        <v>43927.790625</v>
      </c>
      <c r="B1564" s="4" t="s">
        <v>30</v>
      </c>
      <c r="C1564" s="4" t="s">
        <v>21</v>
      </c>
      <c r="D1564" s="4" t="s">
        <v>21</v>
      </c>
    </row>
    <row r="1565">
      <c r="A1565" s="5">
        <v>43845.40509259259</v>
      </c>
      <c r="B1565" s="4" t="s">
        <v>30</v>
      </c>
      <c r="C1565" s="4" t="s">
        <v>21</v>
      </c>
      <c r="D1565" s="4" t="s">
        <v>21</v>
      </c>
    </row>
    <row r="1566">
      <c r="A1566" s="5">
        <v>43910.70255787037</v>
      </c>
      <c r="B1566" s="4" t="s">
        <v>30</v>
      </c>
      <c r="C1566" s="4" t="s">
        <v>21</v>
      </c>
      <c r="D1566" s="4" t="s">
        <v>21</v>
      </c>
    </row>
    <row r="1567">
      <c r="A1567" s="5">
        <v>43917.31318287037</v>
      </c>
      <c r="B1567" s="4" t="s">
        <v>30</v>
      </c>
      <c r="C1567" s="4" t="s">
        <v>21</v>
      </c>
      <c r="D1567" s="4" t="s">
        <v>21</v>
      </c>
    </row>
    <row r="1568">
      <c r="A1568" s="5">
        <v>43906.53061342592</v>
      </c>
      <c r="B1568" s="4" t="s">
        <v>30</v>
      </c>
      <c r="C1568" s="4" t="s">
        <v>21</v>
      </c>
      <c r="D1568" s="4" t="s">
        <v>21</v>
      </c>
    </row>
    <row r="1569">
      <c r="A1569" s="5">
        <v>43805.38780092593</v>
      </c>
      <c r="B1569" s="4" t="s">
        <v>30</v>
      </c>
      <c r="C1569" s="4" t="s">
        <v>21</v>
      </c>
      <c r="D1569" s="4" t="s">
        <v>21</v>
      </c>
    </row>
    <row r="1570">
      <c r="A1570" s="5">
        <v>43784.730046296296</v>
      </c>
      <c r="B1570" s="4" t="s">
        <v>30</v>
      </c>
      <c r="C1570" s="4" t="s">
        <v>21</v>
      </c>
      <c r="D1570" s="4" t="s">
        <v>21</v>
      </c>
    </row>
    <row r="1571">
      <c r="A1571" s="5">
        <v>43896.444710648146</v>
      </c>
      <c r="B1571" s="4" t="s">
        <v>30</v>
      </c>
      <c r="C1571" s="4" t="s">
        <v>21</v>
      </c>
      <c r="D1571" s="4" t="s">
        <v>21</v>
      </c>
    </row>
    <row r="1572">
      <c r="A1572" s="5">
        <v>43990.32104166667</v>
      </c>
      <c r="B1572" s="4" t="s">
        <v>30</v>
      </c>
      <c r="C1572" s="4" t="s">
        <v>21</v>
      </c>
      <c r="D1572" s="4" t="s">
        <v>21</v>
      </c>
    </row>
    <row r="1573">
      <c r="A1573" s="5">
        <v>43990.32320601852</v>
      </c>
      <c r="B1573" s="4" t="s">
        <v>30</v>
      </c>
      <c r="C1573" s="4" t="s">
        <v>21</v>
      </c>
      <c r="D1573" s="4" t="s">
        <v>21</v>
      </c>
    </row>
    <row r="1574">
      <c r="A1574" s="5">
        <v>43990.32372685185</v>
      </c>
      <c r="B1574" s="4" t="s">
        <v>30</v>
      </c>
      <c r="C1574" s="4" t="s">
        <v>21</v>
      </c>
      <c r="D1574" s="4" t="s">
        <v>21</v>
      </c>
    </row>
    <row r="1575">
      <c r="A1575" s="5">
        <v>43990.32503472222</v>
      </c>
      <c r="B1575" s="4" t="s">
        <v>30</v>
      </c>
      <c r="C1575" s="4" t="s">
        <v>21</v>
      </c>
      <c r="D1575" s="4" t="s">
        <v>21</v>
      </c>
    </row>
    <row r="1576">
      <c r="A1576" s="5">
        <v>43990.325949074075</v>
      </c>
      <c r="B1576" s="4" t="s">
        <v>30</v>
      </c>
      <c r="C1576" s="4" t="s">
        <v>21</v>
      </c>
      <c r="D1576" s="4" t="s">
        <v>21</v>
      </c>
    </row>
    <row r="1577">
      <c r="A1577" s="5">
        <v>43990.32693287037</v>
      </c>
      <c r="B1577" s="4" t="s">
        <v>30</v>
      </c>
      <c r="C1577" s="4" t="s">
        <v>21</v>
      </c>
      <c r="D1577" s="4" t="s">
        <v>21</v>
      </c>
    </row>
    <row r="1578">
      <c r="A1578" s="5">
        <v>43990.32797453704</v>
      </c>
      <c r="B1578" s="4" t="s">
        <v>30</v>
      </c>
      <c r="C1578" s="4" t="s">
        <v>21</v>
      </c>
      <c r="D1578" s="4" t="s">
        <v>21</v>
      </c>
    </row>
    <row r="1579">
      <c r="A1579" s="5">
        <v>43990.32921296296</v>
      </c>
      <c r="B1579" s="4" t="s">
        <v>30</v>
      </c>
      <c r="C1579" s="4" t="s">
        <v>21</v>
      </c>
      <c r="D1579" s="4" t="s">
        <v>21</v>
      </c>
    </row>
    <row r="1580">
      <c r="A1580" s="5">
        <v>43990.330196759256</v>
      </c>
      <c r="B1580" s="4" t="s">
        <v>30</v>
      </c>
      <c r="C1580" s="4" t="s">
        <v>21</v>
      </c>
      <c r="D1580" s="4" t="s">
        <v>21</v>
      </c>
    </row>
    <row r="1581">
      <c r="A1581" s="5">
        <v>43990.332141203704</v>
      </c>
      <c r="B1581" s="4" t="s">
        <v>30</v>
      </c>
      <c r="C1581" s="4" t="s">
        <v>21</v>
      </c>
      <c r="D1581" s="4" t="s">
        <v>21</v>
      </c>
    </row>
    <row r="1582">
      <c r="A1582" s="5">
        <v>43990.333032407405</v>
      </c>
      <c r="B1582" s="4" t="s">
        <v>30</v>
      </c>
      <c r="C1582" s="4" t="s">
        <v>21</v>
      </c>
      <c r="D1582" s="4" t="s">
        <v>21</v>
      </c>
    </row>
    <row r="1583">
      <c r="A1583" s="5">
        <v>43780.65660879629</v>
      </c>
      <c r="B1583" s="4" t="s">
        <v>30</v>
      </c>
      <c r="C1583" s="4" t="s">
        <v>21</v>
      </c>
      <c r="D1583" s="4" t="s">
        <v>21</v>
      </c>
    </row>
    <row r="1584">
      <c r="A1584" s="5">
        <v>43927.26190972222</v>
      </c>
      <c r="B1584" s="4" t="s">
        <v>30</v>
      </c>
      <c r="C1584" s="4" t="s">
        <v>21</v>
      </c>
      <c r="D1584" s="4" t="s">
        <v>21</v>
      </c>
    </row>
    <row r="1585">
      <c r="A1585" s="5">
        <v>43887.08954861111</v>
      </c>
      <c r="B1585" s="4" t="s">
        <v>30</v>
      </c>
      <c r="C1585" s="4" t="s">
        <v>21</v>
      </c>
      <c r="D1585" s="4" t="s">
        <v>21</v>
      </c>
    </row>
    <row r="1586">
      <c r="A1586" s="5">
        <v>43886.431238425925</v>
      </c>
      <c r="B1586" s="4" t="s">
        <v>30</v>
      </c>
      <c r="C1586" s="4" t="s">
        <v>21</v>
      </c>
      <c r="D1586" s="4" t="s">
        <v>21</v>
      </c>
    </row>
    <row r="1587">
      <c r="A1587" s="5">
        <v>43899.853125</v>
      </c>
      <c r="B1587" s="4" t="s">
        <v>30</v>
      </c>
      <c r="C1587" s="4" t="s">
        <v>21</v>
      </c>
      <c r="D1587" s="4" t="s">
        <v>21</v>
      </c>
    </row>
    <row r="1588">
      <c r="A1588" s="5">
        <v>43899.8553125</v>
      </c>
      <c r="B1588" s="4" t="s">
        <v>30</v>
      </c>
      <c r="C1588" s="4" t="s">
        <v>21</v>
      </c>
      <c r="D1588" s="4" t="s">
        <v>21</v>
      </c>
    </row>
    <row r="1589">
      <c r="A1589" s="5">
        <v>43899.85696759259</v>
      </c>
      <c r="B1589" s="4" t="s">
        <v>30</v>
      </c>
      <c r="C1589" s="4" t="s">
        <v>21</v>
      </c>
      <c r="D1589" s="4" t="s">
        <v>21</v>
      </c>
    </row>
    <row r="1590">
      <c r="A1590" s="5">
        <v>43899.85971064815</v>
      </c>
      <c r="B1590" s="4" t="s">
        <v>30</v>
      </c>
      <c r="C1590" s="4" t="s">
        <v>21</v>
      </c>
      <c r="D1590" s="4" t="s">
        <v>21</v>
      </c>
    </row>
    <row r="1591">
      <c r="A1591" s="5">
        <v>43899.86094907407</v>
      </c>
      <c r="B1591" s="4" t="s">
        <v>30</v>
      </c>
      <c r="C1591" s="4" t="s">
        <v>21</v>
      </c>
      <c r="D1591" s="4" t="s">
        <v>21</v>
      </c>
    </row>
    <row r="1592">
      <c r="A1592" s="5">
        <v>43899.87516203704</v>
      </c>
      <c r="B1592" s="4" t="s">
        <v>30</v>
      </c>
      <c r="C1592" s="4" t="s">
        <v>21</v>
      </c>
      <c r="D1592" s="4" t="s">
        <v>21</v>
      </c>
    </row>
    <row r="1593">
      <c r="A1593" s="5">
        <v>43899.8768287037</v>
      </c>
      <c r="B1593" s="4" t="s">
        <v>30</v>
      </c>
      <c r="C1593" s="4" t="s">
        <v>21</v>
      </c>
      <c r="D1593" s="4" t="s">
        <v>21</v>
      </c>
    </row>
    <row r="1594">
      <c r="A1594" s="5">
        <v>43899.87771990741</v>
      </c>
      <c r="B1594" s="4" t="s">
        <v>30</v>
      </c>
      <c r="C1594" s="4" t="s">
        <v>21</v>
      </c>
      <c r="D1594" s="4" t="s">
        <v>21</v>
      </c>
    </row>
    <row r="1595">
      <c r="A1595" s="5">
        <v>43899.87909722222</v>
      </c>
      <c r="B1595" s="4" t="s">
        <v>30</v>
      </c>
      <c r="C1595" s="4" t="s">
        <v>21</v>
      </c>
      <c r="D1595" s="4" t="s">
        <v>21</v>
      </c>
    </row>
    <row r="1596">
      <c r="A1596" s="5">
        <v>43899.88037037037</v>
      </c>
      <c r="B1596" s="4" t="s">
        <v>30</v>
      </c>
      <c r="C1596" s="4" t="s">
        <v>21</v>
      </c>
      <c r="D1596" s="4" t="s">
        <v>21</v>
      </c>
    </row>
    <row r="1597">
      <c r="A1597" s="5">
        <v>43899.88122685185</v>
      </c>
      <c r="B1597" s="4" t="s">
        <v>30</v>
      </c>
      <c r="C1597" s="4" t="s">
        <v>21</v>
      </c>
      <c r="D1597" s="4" t="s">
        <v>21</v>
      </c>
    </row>
    <row r="1598">
      <c r="A1598" s="5">
        <v>43899.882199074076</v>
      </c>
      <c r="B1598" s="4" t="s">
        <v>30</v>
      </c>
      <c r="C1598" s="4" t="s">
        <v>21</v>
      </c>
      <c r="D1598" s="4" t="s">
        <v>21</v>
      </c>
    </row>
    <row r="1599">
      <c r="A1599" s="5">
        <v>43899.90756944445</v>
      </c>
      <c r="B1599" s="4" t="s">
        <v>30</v>
      </c>
      <c r="C1599" s="4" t="s">
        <v>21</v>
      </c>
      <c r="D1599" s="4" t="s">
        <v>21</v>
      </c>
    </row>
    <row r="1600">
      <c r="A1600" s="5">
        <v>43899.918125</v>
      </c>
      <c r="B1600" s="4" t="s">
        <v>30</v>
      </c>
      <c r="C1600" s="4" t="s">
        <v>21</v>
      </c>
      <c r="D1600" s="4" t="s">
        <v>21</v>
      </c>
    </row>
    <row r="1601">
      <c r="A1601" s="5">
        <v>43899.92172453704</v>
      </c>
      <c r="B1601" s="4" t="s">
        <v>30</v>
      </c>
      <c r="C1601" s="4" t="s">
        <v>21</v>
      </c>
      <c r="D1601" s="4" t="s">
        <v>21</v>
      </c>
    </row>
    <row r="1602">
      <c r="A1602" s="5">
        <v>43899.930081018516</v>
      </c>
      <c r="B1602" s="4" t="s">
        <v>30</v>
      </c>
      <c r="C1602" s="4" t="s">
        <v>21</v>
      </c>
      <c r="D1602" s="4" t="s">
        <v>21</v>
      </c>
    </row>
    <row r="1603">
      <c r="A1603" s="5">
        <v>43899.931180555555</v>
      </c>
      <c r="B1603" s="4" t="s">
        <v>30</v>
      </c>
      <c r="C1603" s="4" t="s">
        <v>21</v>
      </c>
      <c r="D1603" s="4" t="s">
        <v>21</v>
      </c>
    </row>
    <row r="1604">
      <c r="A1604" s="5">
        <v>43899.93283564815</v>
      </c>
      <c r="B1604" s="4" t="s">
        <v>30</v>
      </c>
      <c r="C1604" s="4" t="s">
        <v>21</v>
      </c>
      <c r="D1604" s="4" t="s">
        <v>21</v>
      </c>
    </row>
    <row r="1605">
      <c r="A1605" s="5">
        <v>43899.93969907407</v>
      </c>
      <c r="B1605" s="4" t="s">
        <v>30</v>
      </c>
      <c r="C1605" s="4" t="s">
        <v>21</v>
      </c>
      <c r="D1605" s="4" t="s">
        <v>21</v>
      </c>
    </row>
    <row r="1606">
      <c r="A1606" s="5">
        <v>43899.943136574075</v>
      </c>
      <c r="B1606" s="4" t="s">
        <v>30</v>
      </c>
      <c r="C1606" s="4" t="s">
        <v>21</v>
      </c>
      <c r="D1606" s="4" t="s">
        <v>21</v>
      </c>
    </row>
    <row r="1607">
      <c r="A1607" s="5">
        <v>43899.94923611111</v>
      </c>
      <c r="B1607" s="4" t="s">
        <v>30</v>
      </c>
      <c r="C1607" s="4" t="s">
        <v>21</v>
      </c>
      <c r="D1607" s="4" t="s">
        <v>21</v>
      </c>
    </row>
    <row r="1608">
      <c r="A1608" s="5">
        <v>43899.95222222222</v>
      </c>
      <c r="B1608" s="4" t="s">
        <v>30</v>
      </c>
      <c r="C1608" s="4" t="s">
        <v>21</v>
      </c>
      <c r="D1608" s="4" t="s">
        <v>21</v>
      </c>
    </row>
    <row r="1609">
      <c r="A1609" s="5">
        <v>43899.95423611111</v>
      </c>
      <c r="B1609" s="4" t="s">
        <v>30</v>
      </c>
      <c r="C1609" s="4" t="s">
        <v>21</v>
      </c>
      <c r="D1609" s="4" t="s">
        <v>21</v>
      </c>
    </row>
    <row r="1610">
      <c r="A1610" s="5">
        <v>43899.95961805555</v>
      </c>
      <c r="B1610" s="4" t="s">
        <v>30</v>
      </c>
      <c r="C1610" s="4" t="s">
        <v>21</v>
      </c>
      <c r="D1610" s="4" t="s">
        <v>21</v>
      </c>
    </row>
    <row r="1611">
      <c r="A1611" s="5">
        <v>43899.99450231482</v>
      </c>
      <c r="B1611" s="4" t="s">
        <v>30</v>
      </c>
      <c r="C1611" s="4" t="s">
        <v>21</v>
      </c>
      <c r="D1611" s="4" t="s">
        <v>21</v>
      </c>
    </row>
    <row r="1612">
      <c r="A1612" s="5">
        <v>43899.99623842593</v>
      </c>
      <c r="B1612" s="4" t="s">
        <v>30</v>
      </c>
      <c r="C1612" s="4" t="s">
        <v>21</v>
      </c>
      <c r="D1612" s="4" t="s">
        <v>21</v>
      </c>
    </row>
    <row r="1613">
      <c r="A1613" s="5">
        <v>43900.41866898148</v>
      </c>
      <c r="B1613" s="4" t="s">
        <v>30</v>
      </c>
      <c r="C1613" s="4" t="s">
        <v>21</v>
      </c>
      <c r="D1613" s="4" t="s">
        <v>21</v>
      </c>
    </row>
    <row r="1614">
      <c r="A1614" s="5">
        <v>43900.456192129626</v>
      </c>
      <c r="B1614" s="4" t="s">
        <v>30</v>
      </c>
      <c r="C1614" s="4" t="s">
        <v>21</v>
      </c>
      <c r="D1614" s="4" t="s">
        <v>21</v>
      </c>
    </row>
    <row r="1615">
      <c r="A1615" s="5">
        <v>43900.463530092595</v>
      </c>
      <c r="B1615" s="4" t="s">
        <v>30</v>
      </c>
      <c r="C1615" s="4" t="s">
        <v>21</v>
      </c>
      <c r="D1615" s="4" t="s">
        <v>21</v>
      </c>
    </row>
    <row r="1616">
      <c r="A1616" s="5">
        <v>43966.28795138889</v>
      </c>
      <c r="B1616" s="4" t="s">
        <v>30</v>
      </c>
      <c r="C1616" s="4" t="s">
        <v>21</v>
      </c>
      <c r="D1616" s="4" t="s">
        <v>21</v>
      </c>
    </row>
    <row r="1617">
      <c r="A1617" s="5">
        <v>43976.40136574074</v>
      </c>
      <c r="B1617" s="4" t="s">
        <v>30</v>
      </c>
      <c r="C1617" s="4" t="s">
        <v>21</v>
      </c>
      <c r="D1617" s="4" t="s">
        <v>21</v>
      </c>
    </row>
    <row r="1618" hidden="1">
      <c r="A1618" s="5">
        <v>43749.634930555556</v>
      </c>
      <c r="B1618" s="4" t="s">
        <v>31</v>
      </c>
      <c r="C1618" s="4" t="s">
        <v>21</v>
      </c>
      <c r="D1618" s="4" t="s">
        <v>21</v>
      </c>
    </row>
    <row r="1619">
      <c r="A1619" s="5">
        <v>43945.37398148148</v>
      </c>
      <c r="B1619" s="4" t="s">
        <v>30</v>
      </c>
      <c r="C1619" s="4" t="s">
        <v>21</v>
      </c>
      <c r="D1619" s="4" t="s">
        <v>21</v>
      </c>
    </row>
    <row r="1620">
      <c r="A1620" s="5">
        <v>43976.784583333334</v>
      </c>
      <c r="B1620" s="4" t="s">
        <v>30</v>
      </c>
      <c r="C1620" s="4" t="s">
        <v>21</v>
      </c>
      <c r="D1620" s="4" t="s">
        <v>21</v>
      </c>
    </row>
    <row r="1621">
      <c r="A1621" s="5">
        <v>43976.78475694444</v>
      </c>
      <c r="B1621" s="4" t="s">
        <v>30</v>
      </c>
      <c r="C1621" s="4" t="s">
        <v>21</v>
      </c>
      <c r="D1621" s="4" t="s">
        <v>21</v>
      </c>
    </row>
    <row r="1622">
      <c r="A1622" s="5">
        <v>43976.78494212963</v>
      </c>
      <c r="B1622" s="4" t="s">
        <v>30</v>
      </c>
      <c r="C1622" s="4" t="s">
        <v>21</v>
      </c>
      <c r="D1622" s="4" t="s">
        <v>21</v>
      </c>
    </row>
    <row r="1623">
      <c r="A1623" s="5">
        <v>43976.78511574074</v>
      </c>
      <c r="B1623" s="4" t="s">
        <v>30</v>
      </c>
      <c r="C1623" s="4" t="s">
        <v>21</v>
      </c>
      <c r="D1623" s="4" t="s">
        <v>21</v>
      </c>
    </row>
    <row r="1624">
      <c r="A1624" s="5">
        <v>43976.78528935185</v>
      </c>
      <c r="B1624" s="4" t="s">
        <v>30</v>
      </c>
      <c r="C1624" s="4" t="s">
        <v>21</v>
      </c>
      <c r="D1624" s="4" t="s">
        <v>21</v>
      </c>
    </row>
    <row r="1625">
      <c r="A1625" s="5">
        <v>43976.78545138889</v>
      </c>
      <c r="B1625" s="4" t="s">
        <v>30</v>
      </c>
      <c r="C1625" s="4" t="s">
        <v>21</v>
      </c>
      <c r="D1625" s="4" t="s">
        <v>21</v>
      </c>
    </row>
    <row r="1626">
      <c r="A1626" s="5">
        <v>43976.785625</v>
      </c>
      <c r="B1626" s="4" t="s">
        <v>30</v>
      </c>
      <c r="C1626" s="4" t="s">
        <v>21</v>
      </c>
      <c r="D1626" s="4" t="s">
        <v>21</v>
      </c>
    </row>
    <row r="1627">
      <c r="A1627" s="5">
        <v>43976.78579861111</v>
      </c>
      <c r="B1627" s="4" t="s">
        <v>30</v>
      </c>
      <c r="C1627" s="4" t="s">
        <v>21</v>
      </c>
      <c r="D1627" s="4" t="s">
        <v>21</v>
      </c>
    </row>
    <row r="1628">
      <c r="A1628" s="5">
        <v>43887.09821759259</v>
      </c>
      <c r="B1628" s="4" t="s">
        <v>30</v>
      </c>
      <c r="C1628" s="4" t="s">
        <v>21</v>
      </c>
      <c r="D1628" s="4" t="s">
        <v>21</v>
      </c>
    </row>
    <row r="1629">
      <c r="A1629" s="5">
        <v>43985.16037037037</v>
      </c>
      <c r="B1629" s="4" t="s">
        <v>30</v>
      </c>
      <c r="C1629" s="4" t="s">
        <v>21</v>
      </c>
      <c r="D1629" s="4" t="s">
        <v>21</v>
      </c>
    </row>
    <row r="1630">
      <c r="A1630" s="5">
        <v>43803.3412962963</v>
      </c>
      <c r="B1630" s="4" t="s">
        <v>30</v>
      </c>
      <c r="C1630" s="4" t="s">
        <v>21</v>
      </c>
      <c r="D1630" s="4" t="s">
        <v>21</v>
      </c>
    </row>
    <row r="1631">
      <c r="A1631" s="5">
        <v>43913.36539351852</v>
      </c>
      <c r="B1631" s="4" t="s">
        <v>30</v>
      </c>
      <c r="C1631" s="4" t="s">
        <v>21</v>
      </c>
      <c r="D1631" s="4" t="s">
        <v>21</v>
      </c>
    </row>
    <row r="1632">
      <c r="A1632" s="5">
        <v>43853.79224537037</v>
      </c>
      <c r="B1632" s="4" t="s">
        <v>30</v>
      </c>
      <c r="C1632" s="4" t="s">
        <v>21</v>
      </c>
      <c r="D1632" s="4" t="s">
        <v>21</v>
      </c>
    </row>
    <row r="1633">
      <c r="A1633" s="5">
        <v>43756.39574074074</v>
      </c>
      <c r="B1633" s="4" t="s">
        <v>30</v>
      </c>
      <c r="C1633" s="4" t="s">
        <v>21</v>
      </c>
      <c r="D1633" s="4" t="s">
        <v>21</v>
      </c>
    </row>
    <row r="1634">
      <c r="A1634" s="5">
        <v>43969.468773148146</v>
      </c>
      <c r="B1634" s="4" t="s">
        <v>30</v>
      </c>
      <c r="C1634" s="4" t="s">
        <v>21</v>
      </c>
      <c r="D1634" s="4" t="s">
        <v>21</v>
      </c>
    </row>
    <row r="1635">
      <c r="A1635" s="5">
        <v>43826.77983796296</v>
      </c>
      <c r="B1635" s="4" t="s">
        <v>30</v>
      </c>
      <c r="C1635" s="4" t="s">
        <v>23</v>
      </c>
      <c r="D1635" s="4" t="s">
        <v>21</v>
      </c>
    </row>
    <row r="1636">
      <c r="A1636" s="5">
        <v>43826.895625</v>
      </c>
      <c r="B1636" s="4" t="s">
        <v>30</v>
      </c>
      <c r="C1636" s="4" t="s">
        <v>23</v>
      </c>
      <c r="D1636" s="4" t="s">
        <v>21</v>
      </c>
    </row>
    <row r="1637">
      <c r="A1637" s="5">
        <v>44009.888240740744</v>
      </c>
      <c r="B1637" s="4" t="s">
        <v>30</v>
      </c>
      <c r="C1637" s="4" t="s">
        <v>21</v>
      </c>
      <c r="D1637" s="4" t="s">
        <v>21</v>
      </c>
    </row>
    <row r="1638">
      <c r="A1638" s="5">
        <v>43992.38232638889</v>
      </c>
      <c r="B1638" s="4" t="s">
        <v>30</v>
      </c>
      <c r="C1638" s="4" t="s">
        <v>21</v>
      </c>
      <c r="D1638" s="4" t="s">
        <v>21</v>
      </c>
    </row>
    <row r="1639">
      <c r="A1639" s="5">
        <v>43775.62425925926</v>
      </c>
      <c r="B1639" s="4" t="s">
        <v>30</v>
      </c>
      <c r="C1639" s="4" t="s">
        <v>21</v>
      </c>
      <c r="D1639" s="4" t="s">
        <v>21</v>
      </c>
    </row>
    <row r="1640">
      <c r="A1640" s="5">
        <v>43802.58866898148</v>
      </c>
      <c r="B1640" s="4" t="s">
        <v>30</v>
      </c>
      <c r="C1640" s="4" t="s">
        <v>21</v>
      </c>
      <c r="D1640" s="4" t="s">
        <v>21</v>
      </c>
    </row>
    <row r="1641">
      <c r="A1641" s="5">
        <v>43803.393159722225</v>
      </c>
      <c r="B1641" s="4" t="s">
        <v>30</v>
      </c>
      <c r="C1641" s="4" t="s">
        <v>21</v>
      </c>
      <c r="D1641" s="4" t="s">
        <v>21</v>
      </c>
    </row>
    <row r="1642">
      <c r="A1642" s="5">
        <v>43803.39513888889</v>
      </c>
      <c r="B1642" s="4" t="s">
        <v>30</v>
      </c>
      <c r="C1642" s="4" t="s">
        <v>21</v>
      </c>
      <c r="D1642" s="4" t="s">
        <v>21</v>
      </c>
    </row>
    <row r="1643">
      <c r="A1643" s="5">
        <v>43803.40033564815</v>
      </c>
      <c r="B1643" s="4" t="s">
        <v>30</v>
      </c>
      <c r="C1643" s="4" t="s">
        <v>21</v>
      </c>
      <c r="D1643" s="4" t="s">
        <v>21</v>
      </c>
    </row>
    <row r="1644">
      <c r="A1644" s="5">
        <v>43803.40113425926</v>
      </c>
      <c r="B1644" s="4" t="s">
        <v>30</v>
      </c>
      <c r="C1644" s="4" t="s">
        <v>21</v>
      </c>
      <c r="D1644" s="4" t="s">
        <v>21</v>
      </c>
    </row>
    <row r="1645">
      <c r="A1645" s="5">
        <v>43803.402337962965</v>
      </c>
      <c r="B1645" s="4" t="s">
        <v>30</v>
      </c>
      <c r="C1645" s="4" t="s">
        <v>21</v>
      </c>
      <c r="D1645" s="4" t="s">
        <v>21</v>
      </c>
    </row>
    <row r="1646">
      <c r="A1646" s="5">
        <v>43803.40263888889</v>
      </c>
      <c r="B1646" s="4" t="s">
        <v>30</v>
      </c>
      <c r="C1646" s="4" t="s">
        <v>21</v>
      </c>
      <c r="D1646" s="4" t="s">
        <v>21</v>
      </c>
    </row>
    <row r="1647">
      <c r="A1647" s="5">
        <v>43803.40283564815</v>
      </c>
      <c r="B1647" s="4" t="s">
        <v>30</v>
      </c>
      <c r="C1647" s="4" t="s">
        <v>21</v>
      </c>
      <c r="D1647" s="4" t="s">
        <v>21</v>
      </c>
    </row>
    <row r="1648">
      <c r="A1648" s="5">
        <v>43803.40347222222</v>
      </c>
      <c r="B1648" s="4" t="s">
        <v>30</v>
      </c>
      <c r="C1648" s="4" t="s">
        <v>21</v>
      </c>
      <c r="D1648" s="4" t="s">
        <v>21</v>
      </c>
    </row>
    <row r="1649">
      <c r="A1649" s="5">
        <v>43803.40483796296</v>
      </c>
      <c r="B1649" s="4" t="s">
        <v>30</v>
      </c>
      <c r="C1649" s="4" t="s">
        <v>21</v>
      </c>
      <c r="D1649" s="4" t="s">
        <v>21</v>
      </c>
    </row>
    <row r="1650">
      <c r="A1650" s="5">
        <v>43803.42798611111</v>
      </c>
      <c r="B1650" s="4" t="s">
        <v>30</v>
      </c>
      <c r="C1650" s="4" t="s">
        <v>21</v>
      </c>
      <c r="D1650" s="4" t="s">
        <v>21</v>
      </c>
    </row>
    <row r="1651">
      <c r="A1651" s="5">
        <v>43803.73605324074</v>
      </c>
      <c r="B1651" s="4" t="s">
        <v>30</v>
      </c>
      <c r="C1651" s="4" t="s">
        <v>21</v>
      </c>
      <c r="D1651" s="4" t="s">
        <v>21</v>
      </c>
    </row>
    <row r="1652">
      <c r="A1652" s="5">
        <v>43803.73761574074</v>
      </c>
      <c r="B1652" s="4" t="s">
        <v>30</v>
      </c>
      <c r="C1652" s="4" t="s">
        <v>21</v>
      </c>
      <c r="D1652" s="4" t="s">
        <v>21</v>
      </c>
    </row>
    <row r="1653">
      <c r="A1653" s="5">
        <v>43803.73888888889</v>
      </c>
      <c r="B1653" s="4" t="s">
        <v>30</v>
      </c>
      <c r="C1653" s="4" t="s">
        <v>21</v>
      </c>
      <c r="D1653" s="4" t="s">
        <v>21</v>
      </c>
    </row>
    <row r="1654">
      <c r="A1654" s="5">
        <v>43803.739756944444</v>
      </c>
      <c r="B1654" s="4" t="s">
        <v>30</v>
      </c>
      <c r="C1654" s="4" t="s">
        <v>21</v>
      </c>
      <c r="D1654" s="4" t="s">
        <v>21</v>
      </c>
    </row>
    <row r="1655">
      <c r="A1655" s="5">
        <v>43803.74085648148</v>
      </c>
      <c r="B1655" s="4" t="s">
        <v>30</v>
      </c>
      <c r="C1655" s="4" t="s">
        <v>21</v>
      </c>
      <c r="D1655" s="4" t="s">
        <v>21</v>
      </c>
    </row>
    <row r="1656">
      <c r="A1656" s="5">
        <v>43803.74239583333</v>
      </c>
      <c r="B1656" s="4" t="s">
        <v>30</v>
      </c>
      <c r="C1656" s="4" t="s">
        <v>21</v>
      </c>
      <c r="D1656" s="4" t="s">
        <v>21</v>
      </c>
    </row>
    <row r="1657">
      <c r="A1657" s="5">
        <v>43803.74324074074</v>
      </c>
      <c r="B1657" s="4" t="s">
        <v>30</v>
      </c>
      <c r="C1657" s="4" t="s">
        <v>21</v>
      </c>
      <c r="D1657" s="4" t="s">
        <v>21</v>
      </c>
    </row>
    <row r="1658">
      <c r="A1658" s="5">
        <v>43878.520520833335</v>
      </c>
      <c r="B1658" s="4" t="s">
        <v>30</v>
      </c>
      <c r="C1658" s="4" t="s">
        <v>21</v>
      </c>
      <c r="D1658" s="4" t="s">
        <v>21</v>
      </c>
    </row>
    <row r="1659">
      <c r="A1659" s="5">
        <v>43878.52255787037</v>
      </c>
      <c r="B1659" s="4" t="s">
        <v>30</v>
      </c>
      <c r="C1659" s="4" t="s">
        <v>21</v>
      </c>
      <c r="D1659" s="4" t="s">
        <v>21</v>
      </c>
    </row>
    <row r="1660">
      <c r="A1660" s="5">
        <v>43878.5228125</v>
      </c>
      <c r="B1660" s="4" t="s">
        <v>30</v>
      </c>
      <c r="C1660" s="4" t="s">
        <v>21</v>
      </c>
      <c r="D1660" s="4" t="s">
        <v>21</v>
      </c>
    </row>
    <row r="1661">
      <c r="A1661" s="5">
        <v>43878.52315972222</v>
      </c>
      <c r="B1661" s="4" t="s">
        <v>30</v>
      </c>
      <c r="C1661" s="4" t="s">
        <v>21</v>
      </c>
      <c r="D1661" s="4" t="s">
        <v>21</v>
      </c>
    </row>
    <row r="1662">
      <c r="A1662" s="5">
        <v>43878.524143518516</v>
      </c>
      <c r="B1662" s="4" t="s">
        <v>30</v>
      </c>
      <c r="C1662" s="4" t="s">
        <v>21</v>
      </c>
      <c r="D1662" s="4" t="s">
        <v>21</v>
      </c>
    </row>
    <row r="1663">
      <c r="A1663" s="5">
        <v>43878.527141203704</v>
      </c>
      <c r="B1663" s="4" t="s">
        <v>30</v>
      </c>
      <c r="C1663" s="4" t="s">
        <v>21</v>
      </c>
      <c r="D1663" s="4" t="s">
        <v>21</v>
      </c>
    </row>
    <row r="1664">
      <c r="A1664" s="5">
        <v>43878.527604166666</v>
      </c>
      <c r="B1664" s="4" t="s">
        <v>30</v>
      </c>
      <c r="C1664" s="4" t="s">
        <v>21</v>
      </c>
      <c r="D1664" s="4" t="s">
        <v>21</v>
      </c>
    </row>
    <row r="1665">
      <c r="A1665" s="5">
        <v>43878.5278587963</v>
      </c>
      <c r="B1665" s="4" t="s">
        <v>30</v>
      </c>
      <c r="C1665" s="4" t="s">
        <v>21</v>
      </c>
      <c r="D1665" s="4" t="s">
        <v>21</v>
      </c>
    </row>
    <row r="1666">
      <c r="A1666" s="5">
        <v>43878.5284837963</v>
      </c>
      <c r="B1666" s="4" t="s">
        <v>30</v>
      </c>
      <c r="C1666" s="4" t="s">
        <v>21</v>
      </c>
      <c r="D1666" s="4" t="s">
        <v>21</v>
      </c>
    </row>
    <row r="1667">
      <c r="A1667" s="5">
        <v>43878.530185185184</v>
      </c>
      <c r="B1667" s="4" t="s">
        <v>30</v>
      </c>
      <c r="C1667" s="4" t="s">
        <v>21</v>
      </c>
      <c r="D1667" s="4" t="s">
        <v>21</v>
      </c>
    </row>
    <row r="1668">
      <c r="A1668" s="5">
        <v>43878.53045138889</v>
      </c>
      <c r="B1668" s="4" t="s">
        <v>30</v>
      </c>
      <c r="C1668" s="4" t="s">
        <v>21</v>
      </c>
      <c r="D1668" s="4" t="s">
        <v>21</v>
      </c>
    </row>
    <row r="1669">
      <c r="A1669" s="5">
        <v>43878.530798611115</v>
      </c>
      <c r="B1669" s="4" t="s">
        <v>30</v>
      </c>
      <c r="C1669" s="4" t="s">
        <v>21</v>
      </c>
      <c r="D1669" s="4" t="s">
        <v>21</v>
      </c>
    </row>
    <row r="1670">
      <c r="A1670" s="5">
        <v>43878.53155092592</v>
      </c>
      <c r="B1670" s="4" t="s">
        <v>30</v>
      </c>
      <c r="C1670" s="4" t="s">
        <v>21</v>
      </c>
      <c r="D1670" s="4" t="s">
        <v>21</v>
      </c>
    </row>
    <row r="1671">
      <c r="A1671" s="5">
        <v>43878.532314814816</v>
      </c>
      <c r="B1671" s="4" t="s">
        <v>30</v>
      </c>
      <c r="C1671" s="4" t="s">
        <v>21</v>
      </c>
      <c r="D1671" s="4" t="s">
        <v>21</v>
      </c>
    </row>
    <row r="1672">
      <c r="A1672" s="5">
        <v>43878.53267361111</v>
      </c>
      <c r="B1672" s="4" t="s">
        <v>30</v>
      </c>
      <c r="C1672" s="4" t="s">
        <v>21</v>
      </c>
      <c r="D1672" s="4" t="s">
        <v>21</v>
      </c>
    </row>
    <row r="1673">
      <c r="A1673" s="5">
        <v>43878.53351851852</v>
      </c>
      <c r="B1673" s="4" t="s">
        <v>30</v>
      </c>
      <c r="C1673" s="4" t="s">
        <v>21</v>
      </c>
      <c r="D1673" s="4" t="s">
        <v>21</v>
      </c>
    </row>
    <row r="1674">
      <c r="A1674" s="5">
        <v>43878.53443287037</v>
      </c>
      <c r="B1674" s="4" t="s">
        <v>30</v>
      </c>
      <c r="C1674" s="4" t="s">
        <v>21</v>
      </c>
      <c r="D1674" s="4" t="s">
        <v>21</v>
      </c>
    </row>
    <row r="1675">
      <c r="A1675" s="5">
        <v>43878.534837962965</v>
      </c>
      <c r="B1675" s="4" t="s">
        <v>30</v>
      </c>
      <c r="C1675" s="4" t="s">
        <v>21</v>
      </c>
      <c r="D1675" s="4" t="s">
        <v>21</v>
      </c>
    </row>
    <row r="1676">
      <c r="A1676" s="5">
        <v>43878.53508101852</v>
      </c>
      <c r="B1676" s="4" t="s">
        <v>30</v>
      </c>
      <c r="C1676" s="4" t="s">
        <v>21</v>
      </c>
      <c r="D1676" s="4" t="s">
        <v>21</v>
      </c>
    </row>
    <row r="1677">
      <c r="A1677" s="5">
        <v>43878.535833333335</v>
      </c>
      <c r="B1677" s="4" t="s">
        <v>30</v>
      </c>
      <c r="C1677" s="4" t="s">
        <v>21</v>
      </c>
      <c r="D1677" s="4" t="s">
        <v>21</v>
      </c>
    </row>
    <row r="1678">
      <c r="A1678" s="5">
        <v>43878.536631944444</v>
      </c>
      <c r="B1678" s="4" t="s">
        <v>30</v>
      </c>
      <c r="C1678" s="4" t="s">
        <v>21</v>
      </c>
      <c r="D1678" s="4" t="s">
        <v>21</v>
      </c>
    </row>
    <row r="1679">
      <c r="A1679" s="5">
        <v>43878.53759259259</v>
      </c>
      <c r="B1679" s="4" t="s">
        <v>30</v>
      </c>
      <c r="C1679" s="4" t="s">
        <v>21</v>
      </c>
      <c r="D1679" s="4" t="s">
        <v>21</v>
      </c>
    </row>
    <row r="1680">
      <c r="A1680" s="5">
        <v>43878.5378587963</v>
      </c>
      <c r="B1680" s="4" t="s">
        <v>30</v>
      </c>
      <c r="C1680" s="4" t="s">
        <v>21</v>
      </c>
      <c r="D1680" s="4" t="s">
        <v>21</v>
      </c>
    </row>
    <row r="1681">
      <c r="A1681" s="5">
        <v>43878.53928240741</v>
      </c>
      <c r="B1681" s="4" t="s">
        <v>30</v>
      </c>
      <c r="C1681" s="4" t="s">
        <v>21</v>
      </c>
      <c r="D1681" s="4" t="s">
        <v>21</v>
      </c>
    </row>
    <row r="1682">
      <c r="A1682" s="5">
        <v>43878.53958333333</v>
      </c>
      <c r="B1682" s="4" t="s">
        <v>30</v>
      </c>
      <c r="C1682" s="4" t="s">
        <v>21</v>
      </c>
      <c r="D1682" s="4" t="s">
        <v>21</v>
      </c>
    </row>
    <row r="1683">
      <c r="A1683" s="5">
        <v>43878.54111111111</v>
      </c>
      <c r="B1683" s="4" t="s">
        <v>30</v>
      </c>
      <c r="C1683" s="4" t="s">
        <v>21</v>
      </c>
      <c r="D1683" s="4" t="s">
        <v>21</v>
      </c>
    </row>
    <row r="1684">
      <c r="A1684" s="5">
        <v>43878.54152777778</v>
      </c>
      <c r="B1684" s="4" t="s">
        <v>30</v>
      </c>
      <c r="C1684" s="4" t="s">
        <v>21</v>
      </c>
      <c r="D1684" s="4" t="s">
        <v>21</v>
      </c>
    </row>
    <row r="1685">
      <c r="A1685" s="5">
        <v>43878.54175925926</v>
      </c>
      <c r="B1685" s="4" t="s">
        <v>30</v>
      </c>
      <c r="C1685" s="4" t="s">
        <v>21</v>
      </c>
      <c r="D1685" s="4" t="s">
        <v>21</v>
      </c>
    </row>
    <row r="1686">
      <c r="A1686" s="5">
        <v>43878.71996527778</v>
      </c>
      <c r="B1686" s="4" t="s">
        <v>30</v>
      </c>
      <c r="C1686" s="4" t="s">
        <v>21</v>
      </c>
      <c r="D1686" s="4" t="s">
        <v>21</v>
      </c>
    </row>
    <row r="1687">
      <c r="A1687" s="5">
        <v>43880.39957175926</v>
      </c>
      <c r="B1687" s="4" t="s">
        <v>30</v>
      </c>
      <c r="C1687" s="4" t="s">
        <v>21</v>
      </c>
      <c r="D1687" s="4" t="s">
        <v>21</v>
      </c>
    </row>
    <row r="1688">
      <c r="A1688" s="5">
        <v>43880.43398148148</v>
      </c>
      <c r="B1688" s="4" t="s">
        <v>30</v>
      </c>
      <c r="C1688" s="4" t="s">
        <v>21</v>
      </c>
      <c r="D1688" s="4" t="s">
        <v>21</v>
      </c>
    </row>
    <row r="1689">
      <c r="A1689" s="5">
        <v>43880.4350462963</v>
      </c>
      <c r="B1689" s="4" t="s">
        <v>30</v>
      </c>
      <c r="C1689" s="4" t="s">
        <v>21</v>
      </c>
      <c r="D1689" s="4" t="s">
        <v>21</v>
      </c>
    </row>
    <row r="1690">
      <c r="A1690" s="5">
        <v>43907.67171296296</v>
      </c>
      <c r="B1690" s="4" t="s">
        <v>30</v>
      </c>
      <c r="C1690" s="4" t="s">
        <v>21</v>
      </c>
      <c r="D1690" s="4" t="s">
        <v>21</v>
      </c>
    </row>
    <row r="1691">
      <c r="A1691" s="5">
        <v>43907.67351851852</v>
      </c>
      <c r="B1691" s="4" t="s">
        <v>30</v>
      </c>
      <c r="C1691" s="4" t="s">
        <v>21</v>
      </c>
      <c r="D1691" s="4" t="s">
        <v>21</v>
      </c>
    </row>
    <row r="1692">
      <c r="A1692" s="5">
        <v>43907.67390046296</v>
      </c>
      <c r="B1692" s="4" t="s">
        <v>30</v>
      </c>
      <c r="C1692" s="4" t="s">
        <v>21</v>
      </c>
      <c r="D1692" s="4" t="s">
        <v>21</v>
      </c>
    </row>
    <row r="1693">
      <c r="A1693" s="5">
        <v>43907.67420138889</v>
      </c>
      <c r="B1693" s="4" t="s">
        <v>30</v>
      </c>
      <c r="C1693" s="4" t="s">
        <v>21</v>
      </c>
      <c r="D1693" s="4" t="s">
        <v>21</v>
      </c>
    </row>
    <row r="1694">
      <c r="A1694" s="5">
        <v>43907.67450231482</v>
      </c>
      <c r="B1694" s="4" t="s">
        <v>30</v>
      </c>
      <c r="C1694" s="4" t="s">
        <v>21</v>
      </c>
      <c r="D1694" s="4" t="s">
        <v>21</v>
      </c>
    </row>
    <row r="1695">
      <c r="A1695" s="5">
        <v>43907.67545138889</v>
      </c>
      <c r="B1695" s="4" t="s">
        <v>30</v>
      </c>
      <c r="C1695" s="4" t="s">
        <v>21</v>
      </c>
      <c r="D1695" s="4" t="s">
        <v>21</v>
      </c>
    </row>
    <row r="1696">
      <c r="A1696" s="5">
        <v>43907.67613425926</v>
      </c>
      <c r="B1696" s="4" t="s">
        <v>30</v>
      </c>
      <c r="C1696" s="4" t="s">
        <v>21</v>
      </c>
      <c r="D1696" s="4" t="s">
        <v>21</v>
      </c>
    </row>
    <row r="1697">
      <c r="A1697" s="5">
        <v>43907.6771875</v>
      </c>
      <c r="B1697" s="4" t="s">
        <v>30</v>
      </c>
      <c r="C1697" s="4" t="s">
        <v>21</v>
      </c>
      <c r="D1697" s="4" t="s">
        <v>21</v>
      </c>
    </row>
    <row r="1698">
      <c r="A1698" s="5">
        <v>43907.67747685185</v>
      </c>
      <c r="B1698" s="4" t="s">
        <v>30</v>
      </c>
      <c r="C1698" s="4" t="s">
        <v>21</v>
      </c>
      <c r="D1698" s="4" t="s">
        <v>21</v>
      </c>
    </row>
    <row r="1699">
      <c r="A1699" s="5">
        <v>43907.68237268519</v>
      </c>
      <c r="B1699" s="4" t="s">
        <v>30</v>
      </c>
      <c r="C1699" s="4" t="s">
        <v>21</v>
      </c>
      <c r="D1699" s="4" t="s">
        <v>21</v>
      </c>
    </row>
    <row r="1700">
      <c r="A1700" s="5">
        <v>43907.68282407407</v>
      </c>
      <c r="B1700" s="4" t="s">
        <v>30</v>
      </c>
      <c r="C1700" s="4" t="s">
        <v>21</v>
      </c>
      <c r="D1700" s="4" t="s">
        <v>21</v>
      </c>
    </row>
    <row r="1701">
      <c r="A1701" s="5">
        <v>43907.68314814815</v>
      </c>
      <c r="B1701" s="4" t="s">
        <v>30</v>
      </c>
      <c r="C1701" s="4" t="s">
        <v>21</v>
      </c>
      <c r="D1701" s="4" t="s">
        <v>21</v>
      </c>
    </row>
    <row r="1702">
      <c r="A1702" s="5">
        <v>43907.683657407404</v>
      </c>
      <c r="B1702" s="4" t="s">
        <v>30</v>
      </c>
      <c r="C1702" s="4" t="s">
        <v>21</v>
      </c>
      <c r="D1702" s="4" t="s">
        <v>21</v>
      </c>
    </row>
    <row r="1703">
      <c r="A1703" s="5">
        <v>43907.684745370374</v>
      </c>
      <c r="B1703" s="4" t="s">
        <v>30</v>
      </c>
      <c r="C1703" s="4" t="s">
        <v>21</v>
      </c>
      <c r="D1703" s="4" t="s">
        <v>21</v>
      </c>
    </row>
    <row r="1704">
      <c r="A1704" s="5">
        <v>43907.68591435185</v>
      </c>
      <c r="B1704" s="4" t="s">
        <v>30</v>
      </c>
      <c r="C1704" s="4" t="s">
        <v>21</v>
      </c>
      <c r="D1704" s="4" t="s">
        <v>21</v>
      </c>
    </row>
    <row r="1705">
      <c r="A1705" s="5">
        <v>43907.68662037037</v>
      </c>
      <c r="B1705" s="4" t="s">
        <v>30</v>
      </c>
      <c r="C1705" s="4" t="s">
        <v>21</v>
      </c>
      <c r="D1705" s="4" t="s">
        <v>21</v>
      </c>
    </row>
    <row r="1706">
      <c r="A1706" s="5">
        <v>43908.38693287037</v>
      </c>
      <c r="B1706" s="4" t="s">
        <v>30</v>
      </c>
      <c r="C1706" s="4" t="s">
        <v>21</v>
      </c>
      <c r="D1706" s="4" t="s">
        <v>21</v>
      </c>
    </row>
    <row r="1707">
      <c r="A1707" s="5">
        <v>43927.71564814815</v>
      </c>
      <c r="B1707" s="4" t="s">
        <v>30</v>
      </c>
      <c r="C1707" s="4" t="s">
        <v>21</v>
      </c>
      <c r="D1707" s="4" t="s">
        <v>21</v>
      </c>
    </row>
    <row r="1708">
      <c r="A1708" s="5">
        <v>43927.71704861111</v>
      </c>
      <c r="B1708" s="4" t="s">
        <v>30</v>
      </c>
      <c r="C1708" s="4" t="s">
        <v>21</v>
      </c>
      <c r="D1708" s="4" t="s">
        <v>21</v>
      </c>
    </row>
    <row r="1709">
      <c r="A1709" s="5">
        <v>43927.7187962963</v>
      </c>
      <c r="B1709" s="4" t="s">
        <v>30</v>
      </c>
      <c r="C1709" s="4" t="s">
        <v>21</v>
      </c>
      <c r="D1709" s="4" t="s">
        <v>21</v>
      </c>
    </row>
    <row r="1710">
      <c r="A1710" s="5">
        <v>43927.71980324074</v>
      </c>
      <c r="B1710" s="4" t="s">
        <v>30</v>
      </c>
      <c r="C1710" s="4" t="s">
        <v>21</v>
      </c>
      <c r="D1710" s="4" t="s">
        <v>21</v>
      </c>
    </row>
    <row r="1711">
      <c r="A1711" s="5">
        <v>43927.72488425926</v>
      </c>
      <c r="B1711" s="4" t="s">
        <v>30</v>
      </c>
      <c r="C1711" s="4" t="s">
        <v>21</v>
      </c>
      <c r="D1711" s="4" t="s">
        <v>21</v>
      </c>
    </row>
    <row r="1712">
      <c r="A1712" s="5">
        <v>43927.725625</v>
      </c>
      <c r="B1712" s="4" t="s">
        <v>30</v>
      </c>
      <c r="C1712" s="4" t="s">
        <v>21</v>
      </c>
      <c r="D1712" s="4" t="s">
        <v>21</v>
      </c>
    </row>
    <row r="1713">
      <c r="A1713" s="5">
        <v>43927.727164351854</v>
      </c>
      <c r="B1713" s="4" t="s">
        <v>30</v>
      </c>
      <c r="C1713" s="4" t="s">
        <v>21</v>
      </c>
      <c r="D1713" s="4" t="s">
        <v>21</v>
      </c>
    </row>
    <row r="1714">
      <c r="A1714" s="5">
        <v>43927.72887731482</v>
      </c>
      <c r="B1714" s="4" t="s">
        <v>30</v>
      </c>
      <c r="C1714" s="4" t="s">
        <v>21</v>
      </c>
      <c r="D1714" s="4" t="s">
        <v>21</v>
      </c>
    </row>
    <row r="1715">
      <c r="A1715" s="5">
        <v>43969.49565972222</v>
      </c>
      <c r="B1715" s="4" t="s">
        <v>30</v>
      </c>
      <c r="C1715" s="4" t="s">
        <v>21</v>
      </c>
      <c r="D1715" s="4" t="s">
        <v>21</v>
      </c>
    </row>
    <row r="1716">
      <c r="A1716" s="5">
        <v>43969.49711805556</v>
      </c>
      <c r="B1716" s="4" t="s">
        <v>30</v>
      </c>
      <c r="C1716" s="4" t="s">
        <v>21</v>
      </c>
      <c r="D1716" s="4" t="s">
        <v>21</v>
      </c>
    </row>
    <row r="1717">
      <c r="A1717" s="5">
        <v>43969.49759259259</v>
      </c>
      <c r="B1717" s="4" t="s">
        <v>30</v>
      </c>
      <c r="C1717" s="4" t="s">
        <v>21</v>
      </c>
      <c r="D1717" s="4" t="s">
        <v>21</v>
      </c>
    </row>
    <row r="1718">
      <c r="A1718" s="5">
        <v>43969.49858796296</v>
      </c>
      <c r="B1718" s="4" t="s">
        <v>30</v>
      </c>
      <c r="C1718" s="4" t="s">
        <v>21</v>
      </c>
      <c r="D1718" s="4" t="s">
        <v>21</v>
      </c>
    </row>
    <row r="1719">
      <c r="A1719" s="5">
        <v>43969.534583333334</v>
      </c>
      <c r="B1719" s="4" t="s">
        <v>30</v>
      </c>
      <c r="C1719" s="4" t="s">
        <v>21</v>
      </c>
      <c r="D1719" s="4" t="s">
        <v>21</v>
      </c>
    </row>
    <row r="1720">
      <c r="A1720" s="5">
        <v>43969.53508101852</v>
      </c>
      <c r="B1720" s="4" t="s">
        <v>30</v>
      </c>
      <c r="C1720" s="4" t="s">
        <v>21</v>
      </c>
      <c r="D1720" s="4" t="s">
        <v>21</v>
      </c>
    </row>
    <row r="1721">
      <c r="A1721" s="5">
        <v>43969.5359837963</v>
      </c>
      <c r="B1721" s="4" t="s">
        <v>30</v>
      </c>
      <c r="C1721" s="4" t="s">
        <v>21</v>
      </c>
      <c r="D1721" s="4" t="s">
        <v>21</v>
      </c>
    </row>
    <row r="1722">
      <c r="A1722" s="5">
        <v>43969.53665509259</v>
      </c>
      <c r="B1722" s="4" t="s">
        <v>30</v>
      </c>
      <c r="C1722" s="4" t="s">
        <v>21</v>
      </c>
      <c r="D1722" s="4" t="s">
        <v>21</v>
      </c>
    </row>
    <row r="1723">
      <c r="A1723" s="5">
        <v>43969.54518518518</v>
      </c>
      <c r="B1723" s="4" t="s">
        <v>30</v>
      </c>
      <c r="C1723" s="4" t="s">
        <v>21</v>
      </c>
      <c r="D1723" s="4" t="s">
        <v>21</v>
      </c>
    </row>
    <row r="1724">
      <c r="A1724" s="5">
        <v>43969.548171296294</v>
      </c>
      <c r="B1724" s="4" t="s">
        <v>30</v>
      </c>
      <c r="C1724" s="4" t="s">
        <v>21</v>
      </c>
      <c r="D1724" s="4" t="s">
        <v>21</v>
      </c>
    </row>
    <row r="1725">
      <c r="A1725" s="5">
        <v>43836.54854166666</v>
      </c>
      <c r="B1725" s="4" t="s">
        <v>30</v>
      </c>
      <c r="C1725" s="4" t="s">
        <v>21</v>
      </c>
      <c r="D1725" s="4" t="s">
        <v>21</v>
      </c>
    </row>
    <row r="1726">
      <c r="A1726" s="5">
        <v>43836.54861111111</v>
      </c>
      <c r="B1726" s="4" t="s">
        <v>30</v>
      </c>
      <c r="C1726" s="4" t="s">
        <v>21</v>
      </c>
      <c r="D1726" s="4" t="s">
        <v>21</v>
      </c>
    </row>
    <row r="1727">
      <c r="A1727" s="5">
        <v>43836.548726851855</v>
      </c>
      <c r="B1727" s="4" t="s">
        <v>30</v>
      </c>
      <c r="C1727" s="4" t="s">
        <v>21</v>
      </c>
      <c r="D1727" s="4" t="s">
        <v>21</v>
      </c>
    </row>
    <row r="1728">
      <c r="A1728" s="5">
        <v>43836.548796296294</v>
      </c>
      <c r="B1728" s="4" t="s">
        <v>30</v>
      </c>
      <c r="C1728" s="4" t="s">
        <v>21</v>
      </c>
      <c r="D1728" s="4" t="s">
        <v>21</v>
      </c>
    </row>
    <row r="1729">
      <c r="A1729" s="5">
        <v>43836.54890046296</v>
      </c>
      <c r="B1729" s="4" t="s">
        <v>30</v>
      </c>
      <c r="C1729" s="4" t="s">
        <v>21</v>
      </c>
      <c r="D1729" s="4" t="s">
        <v>21</v>
      </c>
    </row>
    <row r="1730">
      <c r="A1730" s="5">
        <v>43836.54898148148</v>
      </c>
      <c r="B1730" s="4" t="s">
        <v>30</v>
      </c>
      <c r="C1730" s="4" t="s">
        <v>21</v>
      </c>
      <c r="D1730" s="4" t="s">
        <v>21</v>
      </c>
    </row>
    <row r="1731">
      <c r="A1731" s="5">
        <v>43836.54908564815</v>
      </c>
      <c r="B1731" s="4" t="s">
        <v>30</v>
      </c>
      <c r="C1731" s="4" t="s">
        <v>21</v>
      </c>
      <c r="D1731" s="4" t="s">
        <v>21</v>
      </c>
    </row>
    <row r="1732">
      <c r="A1732" s="5">
        <v>43836.549155092594</v>
      </c>
      <c r="B1732" s="4" t="s">
        <v>30</v>
      </c>
      <c r="C1732" s="4" t="s">
        <v>21</v>
      </c>
      <c r="D1732" s="4" t="s">
        <v>21</v>
      </c>
    </row>
    <row r="1733">
      <c r="A1733" s="5">
        <v>43836.549259259256</v>
      </c>
      <c r="B1733" s="4" t="s">
        <v>30</v>
      </c>
      <c r="C1733" s="4" t="s">
        <v>21</v>
      </c>
      <c r="D1733" s="4" t="s">
        <v>21</v>
      </c>
    </row>
    <row r="1734">
      <c r="A1734" s="5">
        <v>43837.66923611111</v>
      </c>
      <c r="B1734" s="4" t="s">
        <v>30</v>
      </c>
      <c r="C1734" s="4" t="s">
        <v>21</v>
      </c>
      <c r="D1734" s="4" t="s">
        <v>21</v>
      </c>
    </row>
    <row r="1735">
      <c r="A1735" s="5">
        <v>43984.51283564815</v>
      </c>
      <c r="B1735" s="4" t="s">
        <v>30</v>
      </c>
      <c r="C1735" s="4" t="s">
        <v>21</v>
      </c>
      <c r="D1735" s="4" t="s">
        <v>21</v>
      </c>
    </row>
    <row r="1736">
      <c r="A1736" s="5">
        <v>43984.513032407405</v>
      </c>
      <c r="B1736" s="4" t="s">
        <v>30</v>
      </c>
      <c r="C1736" s="4" t="s">
        <v>21</v>
      </c>
      <c r="D1736" s="4" t="s">
        <v>21</v>
      </c>
    </row>
    <row r="1737">
      <c r="A1737" s="5">
        <v>43684.86525462963</v>
      </c>
      <c r="B1737" s="4" t="s">
        <v>30</v>
      </c>
      <c r="C1737" s="4" t="s">
        <v>21</v>
      </c>
      <c r="D1737" s="4" t="s">
        <v>21</v>
      </c>
    </row>
    <row r="1738">
      <c r="A1738" s="5">
        <v>43733.26936342593</v>
      </c>
      <c r="B1738" s="4" t="s">
        <v>30</v>
      </c>
      <c r="C1738" s="4" t="s">
        <v>21</v>
      </c>
      <c r="D1738" s="4" t="s">
        <v>21</v>
      </c>
    </row>
    <row r="1739">
      <c r="A1739" s="5">
        <v>43741.37469907408</v>
      </c>
      <c r="B1739" s="4" t="s">
        <v>30</v>
      </c>
      <c r="C1739" s="4" t="s">
        <v>21</v>
      </c>
      <c r="D1739" s="4" t="s">
        <v>21</v>
      </c>
    </row>
    <row r="1740">
      <c r="A1740" s="5">
        <v>43741.384097222224</v>
      </c>
      <c r="B1740" s="4" t="s">
        <v>30</v>
      </c>
      <c r="C1740" s="4" t="s">
        <v>21</v>
      </c>
      <c r="D1740" s="4" t="s">
        <v>21</v>
      </c>
    </row>
    <row r="1741">
      <c r="A1741" s="5">
        <v>43783.54887731482</v>
      </c>
      <c r="B1741" s="4" t="s">
        <v>30</v>
      </c>
      <c r="C1741" s="4" t="s">
        <v>21</v>
      </c>
      <c r="D1741" s="4" t="s">
        <v>21</v>
      </c>
    </row>
    <row r="1742">
      <c r="A1742" s="5">
        <v>43808.38484953704</v>
      </c>
      <c r="B1742" s="4" t="s">
        <v>30</v>
      </c>
      <c r="C1742" s="4" t="s">
        <v>21</v>
      </c>
      <c r="D1742" s="4" t="s">
        <v>21</v>
      </c>
    </row>
    <row r="1743">
      <c r="A1743" s="5">
        <v>43838.81599537037</v>
      </c>
      <c r="B1743" s="4" t="s">
        <v>30</v>
      </c>
      <c r="C1743" s="4" t="s">
        <v>21</v>
      </c>
      <c r="D1743" s="4" t="s">
        <v>21</v>
      </c>
    </row>
    <row r="1744">
      <c r="A1744" s="5">
        <v>43844.35298611111</v>
      </c>
      <c r="B1744" s="4" t="s">
        <v>30</v>
      </c>
      <c r="C1744" s="4" t="s">
        <v>21</v>
      </c>
      <c r="D1744" s="4" t="s">
        <v>21</v>
      </c>
    </row>
    <row r="1745">
      <c r="A1745" s="5">
        <v>43844.382627314815</v>
      </c>
      <c r="B1745" s="4" t="s">
        <v>30</v>
      </c>
      <c r="C1745" s="4" t="s">
        <v>21</v>
      </c>
      <c r="D1745" s="4" t="s">
        <v>21</v>
      </c>
    </row>
    <row r="1746">
      <c r="A1746" s="5">
        <v>43851.54981481482</v>
      </c>
      <c r="B1746" s="4" t="s">
        <v>30</v>
      </c>
      <c r="C1746" s="4" t="s">
        <v>21</v>
      </c>
      <c r="D1746" s="4" t="s">
        <v>21</v>
      </c>
    </row>
    <row r="1747">
      <c r="A1747" s="5">
        <v>43851.56297453704</v>
      </c>
      <c r="B1747" s="4" t="s">
        <v>30</v>
      </c>
      <c r="C1747" s="4" t="s">
        <v>21</v>
      </c>
      <c r="D1747" s="4" t="s">
        <v>21</v>
      </c>
    </row>
    <row r="1748">
      <c r="A1748" s="5">
        <v>43853.872083333335</v>
      </c>
      <c r="B1748" s="4" t="s">
        <v>30</v>
      </c>
      <c r="C1748" s="4" t="s">
        <v>21</v>
      </c>
      <c r="D1748" s="4" t="s">
        <v>21</v>
      </c>
    </row>
    <row r="1749">
      <c r="A1749" s="5">
        <v>43901.63835648148</v>
      </c>
      <c r="B1749" s="4" t="s">
        <v>30</v>
      </c>
      <c r="C1749" s="4" t="s">
        <v>21</v>
      </c>
      <c r="D1749" s="4" t="s">
        <v>21</v>
      </c>
    </row>
    <row r="1750">
      <c r="A1750" s="5">
        <v>43930.420486111114</v>
      </c>
      <c r="B1750" s="4" t="s">
        <v>30</v>
      </c>
      <c r="C1750" s="4" t="s">
        <v>21</v>
      </c>
      <c r="D1750" s="4" t="s">
        <v>21</v>
      </c>
    </row>
    <row r="1751">
      <c r="A1751" s="5">
        <v>43937.681655092594</v>
      </c>
      <c r="B1751" s="4" t="s">
        <v>30</v>
      </c>
      <c r="C1751" s="4" t="s">
        <v>21</v>
      </c>
      <c r="D1751" s="4" t="s">
        <v>21</v>
      </c>
    </row>
    <row r="1752">
      <c r="A1752" s="5">
        <v>43950.39829861111</v>
      </c>
      <c r="B1752" s="4" t="s">
        <v>30</v>
      </c>
      <c r="C1752" s="4" t="s">
        <v>21</v>
      </c>
      <c r="D1752" s="4" t="s">
        <v>21</v>
      </c>
    </row>
    <row r="1753">
      <c r="A1753" s="5">
        <v>43967.70685185185</v>
      </c>
      <c r="B1753" s="4" t="s">
        <v>30</v>
      </c>
      <c r="C1753" s="4" t="s">
        <v>21</v>
      </c>
      <c r="D1753" s="4" t="s">
        <v>21</v>
      </c>
    </row>
    <row r="1754">
      <c r="A1754" s="5">
        <v>43967.70706018519</v>
      </c>
      <c r="B1754" s="4" t="s">
        <v>30</v>
      </c>
      <c r="C1754" s="4" t="s">
        <v>21</v>
      </c>
      <c r="D1754" s="4" t="s">
        <v>21</v>
      </c>
    </row>
    <row r="1755">
      <c r="A1755" s="5">
        <v>43967.70726851852</v>
      </c>
      <c r="B1755" s="4" t="s">
        <v>30</v>
      </c>
      <c r="C1755" s="4" t="s">
        <v>21</v>
      </c>
      <c r="D1755" s="4" t="s">
        <v>21</v>
      </c>
    </row>
    <row r="1756">
      <c r="A1756" s="5">
        <v>43967.70747685185</v>
      </c>
      <c r="B1756" s="4" t="s">
        <v>30</v>
      </c>
      <c r="C1756" s="4" t="s">
        <v>21</v>
      </c>
      <c r="D1756" s="4" t="s">
        <v>21</v>
      </c>
    </row>
    <row r="1757">
      <c r="A1757" s="5">
        <v>43967.70769675926</v>
      </c>
      <c r="B1757" s="4" t="s">
        <v>30</v>
      </c>
      <c r="C1757" s="4" t="s">
        <v>21</v>
      </c>
      <c r="D1757" s="4" t="s">
        <v>21</v>
      </c>
    </row>
    <row r="1758">
      <c r="A1758" s="5">
        <v>43967.70790509259</v>
      </c>
      <c r="B1758" s="4" t="s">
        <v>30</v>
      </c>
      <c r="C1758" s="4" t="s">
        <v>21</v>
      </c>
      <c r="D1758" s="4" t="s">
        <v>21</v>
      </c>
    </row>
    <row r="1759">
      <c r="A1759" s="5">
        <v>43967.70811342593</v>
      </c>
      <c r="B1759" s="4" t="s">
        <v>30</v>
      </c>
      <c r="C1759" s="4" t="s">
        <v>21</v>
      </c>
      <c r="D1759" s="4" t="s">
        <v>21</v>
      </c>
    </row>
    <row r="1760">
      <c r="A1760" s="5">
        <v>43967.70832175926</v>
      </c>
      <c r="B1760" s="4" t="s">
        <v>30</v>
      </c>
      <c r="C1760" s="4" t="s">
        <v>21</v>
      </c>
      <c r="D1760" s="4" t="s">
        <v>21</v>
      </c>
    </row>
    <row r="1761">
      <c r="A1761" s="5">
        <v>43967.70854166667</v>
      </c>
      <c r="B1761" s="4" t="s">
        <v>30</v>
      </c>
      <c r="C1761" s="4" t="s">
        <v>21</v>
      </c>
      <c r="D1761" s="4" t="s">
        <v>21</v>
      </c>
    </row>
    <row r="1762">
      <c r="A1762" s="5">
        <v>43967.70875</v>
      </c>
      <c r="B1762" s="4" t="s">
        <v>30</v>
      </c>
      <c r="C1762" s="4" t="s">
        <v>21</v>
      </c>
      <c r="D1762" s="4" t="s">
        <v>21</v>
      </c>
    </row>
    <row r="1763">
      <c r="A1763" s="5">
        <v>43967.708969907406</v>
      </c>
      <c r="B1763" s="4" t="s">
        <v>30</v>
      </c>
      <c r="C1763" s="4" t="s">
        <v>21</v>
      </c>
      <c r="D1763" s="4" t="s">
        <v>21</v>
      </c>
    </row>
    <row r="1764">
      <c r="A1764" s="5">
        <v>43967.709178240744</v>
      </c>
      <c r="B1764" s="4" t="s">
        <v>30</v>
      </c>
      <c r="C1764" s="4" t="s">
        <v>21</v>
      </c>
      <c r="D1764" s="4" t="s">
        <v>21</v>
      </c>
    </row>
    <row r="1765">
      <c r="A1765" s="5">
        <v>43967.709386574075</v>
      </c>
      <c r="B1765" s="4" t="s">
        <v>30</v>
      </c>
      <c r="C1765" s="4" t="s">
        <v>21</v>
      </c>
      <c r="D1765" s="4" t="s">
        <v>21</v>
      </c>
    </row>
    <row r="1766">
      <c r="A1766" s="5">
        <v>43967.70959490741</v>
      </c>
      <c r="B1766" s="4" t="s">
        <v>30</v>
      </c>
      <c r="C1766" s="4" t="s">
        <v>21</v>
      </c>
      <c r="D1766" s="4" t="s">
        <v>21</v>
      </c>
    </row>
    <row r="1767">
      <c r="A1767" s="5">
        <v>43967.709814814814</v>
      </c>
      <c r="B1767" s="4" t="s">
        <v>30</v>
      </c>
      <c r="C1767" s="4" t="s">
        <v>21</v>
      </c>
      <c r="D1767" s="4" t="s">
        <v>21</v>
      </c>
    </row>
    <row r="1768">
      <c r="A1768" s="5">
        <v>43967.710023148145</v>
      </c>
      <c r="B1768" s="4" t="s">
        <v>30</v>
      </c>
      <c r="C1768" s="4" t="s">
        <v>21</v>
      </c>
      <c r="D1768" s="4" t="s">
        <v>21</v>
      </c>
    </row>
    <row r="1769">
      <c r="A1769" s="5">
        <v>43967.710231481484</v>
      </c>
      <c r="B1769" s="4" t="s">
        <v>30</v>
      </c>
      <c r="C1769" s="4" t="s">
        <v>21</v>
      </c>
      <c r="D1769" s="4" t="s">
        <v>21</v>
      </c>
    </row>
    <row r="1770">
      <c r="A1770" s="5">
        <v>43967.710439814815</v>
      </c>
      <c r="B1770" s="4" t="s">
        <v>30</v>
      </c>
      <c r="C1770" s="4" t="s">
        <v>21</v>
      </c>
      <c r="D1770" s="4" t="s">
        <v>21</v>
      </c>
    </row>
    <row r="1771">
      <c r="A1771" s="5">
        <v>43967.710648148146</v>
      </c>
      <c r="B1771" s="4" t="s">
        <v>30</v>
      </c>
      <c r="C1771" s="4" t="s">
        <v>21</v>
      </c>
      <c r="D1771" s="4" t="s">
        <v>21</v>
      </c>
    </row>
    <row r="1772">
      <c r="A1772" s="5">
        <v>43967.710856481484</v>
      </c>
      <c r="B1772" s="4" t="s">
        <v>30</v>
      </c>
      <c r="C1772" s="4" t="s">
        <v>21</v>
      </c>
      <c r="D1772" s="4" t="s">
        <v>21</v>
      </c>
    </row>
    <row r="1773">
      <c r="A1773" s="5">
        <v>43967.711064814815</v>
      </c>
      <c r="B1773" s="4" t="s">
        <v>30</v>
      </c>
      <c r="C1773" s="4" t="s">
        <v>21</v>
      </c>
      <c r="D1773" s="4" t="s">
        <v>21</v>
      </c>
    </row>
    <row r="1774">
      <c r="A1774" s="5">
        <v>43967.71127314815</v>
      </c>
      <c r="B1774" s="4" t="s">
        <v>30</v>
      </c>
      <c r="C1774" s="4" t="s">
        <v>21</v>
      </c>
      <c r="D1774" s="4" t="s">
        <v>21</v>
      </c>
    </row>
    <row r="1775">
      <c r="A1775" s="5">
        <v>43967.711481481485</v>
      </c>
      <c r="B1775" s="4" t="s">
        <v>30</v>
      </c>
      <c r="C1775" s="4" t="s">
        <v>21</v>
      </c>
      <c r="D1775" s="4" t="s">
        <v>21</v>
      </c>
    </row>
    <row r="1776">
      <c r="A1776" s="5">
        <v>43967.711689814816</v>
      </c>
      <c r="B1776" s="4" t="s">
        <v>30</v>
      </c>
      <c r="C1776" s="4" t="s">
        <v>21</v>
      </c>
      <c r="D1776" s="4" t="s">
        <v>21</v>
      </c>
    </row>
    <row r="1777">
      <c r="A1777" s="5">
        <v>43967.71189814815</v>
      </c>
      <c r="B1777" s="4" t="s">
        <v>30</v>
      </c>
      <c r="C1777" s="4" t="s">
        <v>21</v>
      </c>
      <c r="D1777" s="4" t="s">
        <v>21</v>
      </c>
    </row>
    <row r="1778">
      <c r="A1778" s="5">
        <v>43967.71210648148</v>
      </c>
      <c r="B1778" s="4" t="s">
        <v>30</v>
      </c>
      <c r="C1778" s="4" t="s">
        <v>21</v>
      </c>
      <c r="D1778" s="4" t="s">
        <v>21</v>
      </c>
    </row>
    <row r="1779">
      <c r="A1779" s="5">
        <v>43967.71231481482</v>
      </c>
      <c r="B1779" s="4" t="s">
        <v>30</v>
      </c>
      <c r="C1779" s="4" t="s">
        <v>21</v>
      </c>
      <c r="D1779" s="4" t="s">
        <v>21</v>
      </c>
    </row>
    <row r="1780">
      <c r="A1780" s="5">
        <v>43958.646469907406</v>
      </c>
      <c r="B1780" s="4" t="s">
        <v>30</v>
      </c>
      <c r="C1780" s="4" t="s">
        <v>21</v>
      </c>
      <c r="D1780" s="4" t="s">
        <v>21</v>
      </c>
    </row>
    <row r="1781">
      <c r="A1781" s="5">
        <v>43958.6472337963</v>
      </c>
      <c r="B1781" s="4" t="s">
        <v>30</v>
      </c>
      <c r="C1781" s="4" t="s">
        <v>21</v>
      </c>
      <c r="D1781" s="4" t="s">
        <v>21</v>
      </c>
    </row>
    <row r="1782">
      <c r="A1782" s="5">
        <v>43958.64753472222</v>
      </c>
      <c r="B1782" s="4" t="s">
        <v>30</v>
      </c>
      <c r="C1782" s="4" t="s">
        <v>21</v>
      </c>
      <c r="D1782" s="4" t="s">
        <v>21</v>
      </c>
    </row>
    <row r="1783">
      <c r="A1783" s="5">
        <v>43745.51762731482</v>
      </c>
      <c r="B1783" s="4" t="s">
        <v>30</v>
      </c>
      <c r="C1783" s="4" t="s">
        <v>21</v>
      </c>
      <c r="D1783" s="4" t="s">
        <v>21</v>
      </c>
    </row>
    <row r="1784">
      <c r="A1784" s="5">
        <v>43802.48605324074</v>
      </c>
      <c r="B1784" s="4" t="s">
        <v>30</v>
      </c>
      <c r="C1784" s="4" t="s">
        <v>21</v>
      </c>
      <c r="D1784" s="4" t="s">
        <v>21</v>
      </c>
    </row>
    <row r="1785">
      <c r="A1785" s="5">
        <v>43808.6534837963</v>
      </c>
      <c r="B1785" s="4" t="s">
        <v>30</v>
      </c>
      <c r="C1785" s="4" t="s">
        <v>21</v>
      </c>
      <c r="D1785" s="4" t="s">
        <v>21</v>
      </c>
    </row>
    <row r="1786">
      <c r="A1786" s="5">
        <v>43837.41574074074</v>
      </c>
      <c r="B1786" s="4" t="s">
        <v>30</v>
      </c>
      <c r="C1786" s="4" t="s">
        <v>21</v>
      </c>
      <c r="D1786" s="4" t="s">
        <v>21</v>
      </c>
    </row>
    <row r="1787">
      <c r="A1787" s="5">
        <v>43837.41847222222</v>
      </c>
      <c r="B1787" s="4" t="s">
        <v>30</v>
      </c>
      <c r="C1787" s="4" t="s">
        <v>21</v>
      </c>
      <c r="D1787" s="4" t="s">
        <v>21</v>
      </c>
    </row>
    <row r="1788">
      <c r="A1788" s="5">
        <v>43837.46894675926</v>
      </c>
      <c r="B1788" s="4" t="s">
        <v>30</v>
      </c>
      <c r="C1788" s="4" t="s">
        <v>21</v>
      </c>
      <c r="D1788" s="4" t="s">
        <v>21</v>
      </c>
    </row>
    <row r="1789">
      <c r="A1789" s="5">
        <v>43837.48028935185</v>
      </c>
      <c r="B1789" s="4" t="s">
        <v>30</v>
      </c>
      <c r="C1789" s="4" t="s">
        <v>21</v>
      </c>
      <c r="D1789" s="4" t="s">
        <v>21</v>
      </c>
    </row>
    <row r="1790">
      <c r="A1790" s="5">
        <v>43843.665983796294</v>
      </c>
      <c r="B1790" s="4" t="s">
        <v>30</v>
      </c>
      <c r="C1790" s="4" t="s">
        <v>21</v>
      </c>
      <c r="D1790" s="4" t="s">
        <v>21</v>
      </c>
    </row>
    <row r="1791">
      <c r="A1791" s="5">
        <v>43879.6453587963</v>
      </c>
      <c r="B1791" s="4" t="s">
        <v>30</v>
      </c>
      <c r="C1791" s="4" t="s">
        <v>21</v>
      </c>
      <c r="D1791" s="4" t="s">
        <v>21</v>
      </c>
    </row>
    <row r="1792">
      <c r="A1792" s="5">
        <v>43879.66967592593</v>
      </c>
      <c r="B1792" s="4" t="s">
        <v>30</v>
      </c>
      <c r="C1792" s="4" t="s">
        <v>21</v>
      </c>
      <c r="D1792" s="4" t="s">
        <v>21</v>
      </c>
    </row>
    <row r="1793">
      <c r="A1793" s="5">
        <v>43879.669756944444</v>
      </c>
      <c r="B1793" s="4" t="s">
        <v>30</v>
      </c>
      <c r="C1793" s="4" t="s">
        <v>21</v>
      </c>
      <c r="D1793" s="4" t="s">
        <v>21</v>
      </c>
    </row>
    <row r="1794">
      <c r="A1794" s="5">
        <v>43879.66983796296</v>
      </c>
      <c r="B1794" s="4" t="s">
        <v>30</v>
      </c>
      <c r="C1794" s="4" t="s">
        <v>21</v>
      </c>
      <c r="D1794" s="4" t="s">
        <v>21</v>
      </c>
    </row>
    <row r="1795">
      <c r="A1795" s="5">
        <v>43879.669907407406</v>
      </c>
      <c r="B1795" s="4" t="s">
        <v>30</v>
      </c>
      <c r="C1795" s="4" t="s">
        <v>21</v>
      </c>
      <c r="D1795" s="4" t="s">
        <v>21</v>
      </c>
    </row>
    <row r="1796">
      <c r="A1796" s="5">
        <v>43879.66998842593</v>
      </c>
      <c r="B1796" s="4" t="s">
        <v>30</v>
      </c>
      <c r="C1796" s="4" t="s">
        <v>21</v>
      </c>
      <c r="D1796" s="4" t="s">
        <v>21</v>
      </c>
    </row>
    <row r="1797">
      <c r="A1797" s="5">
        <v>43879.67005787037</v>
      </c>
      <c r="B1797" s="4" t="s">
        <v>30</v>
      </c>
      <c r="C1797" s="4" t="s">
        <v>21</v>
      </c>
      <c r="D1797" s="4" t="s">
        <v>21</v>
      </c>
    </row>
    <row r="1798">
      <c r="A1798" s="5">
        <v>43879.67013888889</v>
      </c>
      <c r="B1798" s="4" t="s">
        <v>30</v>
      </c>
      <c r="C1798" s="4" t="s">
        <v>21</v>
      </c>
      <c r="D1798" s="4" t="s">
        <v>21</v>
      </c>
    </row>
    <row r="1799">
      <c r="A1799" s="5">
        <v>43879.67020833334</v>
      </c>
      <c r="B1799" s="4" t="s">
        <v>30</v>
      </c>
      <c r="C1799" s="4" t="s">
        <v>21</v>
      </c>
      <c r="D1799" s="4" t="s">
        <v>21</v>
      </c>
    </row>
    <row r="1800">
      <c r="A1800" s="5">
        <v>43879.67028935185</v>
      </c>
      <c r="B1800" s="4" t="s">
        <v>30</v>
      </c>
      <c r="C1800" s="4" t="s">
        <v>21</v>
      </c>
      <c r="D1800" s="4" t="s">
        <v>21</v>
      </c>
    </row>
    <row r="1801">
      <c r="A1801" s="5">
        <v>43879.6703587963</v>
      </c>
      <c r="B1801" s="4" t="s">
        <v>30</v>
      </c>
      <c r="C1801" s="4" t="s">
        <v>21</v>
      </c>
      <c r="D1801" s="4" t="s">
        <v>21</v>
      </c>
    </row>
    <row r="1802">
      <c r="A1802" s="5">
        <v>43879.67042824074</v>
      </c>
      <c r="B1802" s="4" t="s">
        <v>30</v>
      </c>
      <c r="C1802" s="4" t="s">
        <v>21</v>
      </c>
      <c r="D1802" s="4" t="s">
        <v>21</v>
      </c>
    </row>
    <row r="1803">
      <c r="A1803" s="5">
        <v>43879.67050925926</v>
      </c>
      <c r="B1803" s="4" t="s">
        <v>30</v>
      </c>
      <c r="C1803" s="4" t="s">
        <v>21</v>
      </c>
      <c r="D1803" s="4" t="s">
        <v>21</v>
      </c>
    </row>
    <row r="1804">
      <c r="A1804" s="5">
        <v>43879.670578703706</v>
      </c>
      <c r="B1804" s="4" t="s">
        <v>30</v>
      </c>
      <c r="C1804" s="4" t="s">
        <v>21</v>
      </c>
      <c r="D1804" s="4" t="s">
        <v>21</v>
      </c>
    </row>
    <row r="1805">
      <c r="A1805" s="5">
        <v>43879.670648148145</v>
      </c>
      <c r="B1805" s="4" t="s">
        <v>30</v>
      </c>
      <c r="C1805" s="4" t="s">
        <v>21</v>
      </c>
      <c r="D1805" s="4" t="s">
        <v>21</v>
      </c>
    </row>
    <row r="1806">
      <c r="A1806" s="5">
        <v>43879.67072916667</v>
      </c>
      <c r="B1806" s="4" t="s">
        <v>30</v>
      </c>
      <c r="C1806" s="4" t="s">
        <v>21</v>
      </c>
      <c r="D1806" s="4" t="s">
        <v>21</v>
      </c>
    </row>
    <row r="1807">
      <c r="A1807" s="5">
        <v>43879.670798611114</v>
      </c>
      <c r="B1807" s="4" t="s">
        <v>30</v>
      </c>
      <c r="C1807" s="4" t="s">
        <v>21</v>
      </c>
      <c r="D1807" s="4" t="s">
        <v>21</v>
      </c>
    </row>
    <row r="1808">
      <c r="A1808" s="5">
        <v>43879.67086805555</v>
      </c>
      <c r="B1808" s="4" t="s">
        <v>30</v>
      </c>
      <c r="C1808" s="4" t="s">
        <v>21</v>
      </c>
      <c r="D1808" s="4" t="s">
        <v>21</v>
      </c>
    </row>
    <row r="1809">
      <c r="A1809" s="5">
        <v>43879.670949074076</v>
      </c>
      <c r="B1809" s="4" t="s">
        <v>30</v>
      </c>
      <c r="C1809" s="4" t="s">
        <v>21</v>
      </c>
      <c r="D1809" s="4" t="s">
        <v>21</v>
      </c>
    </row>
    <row r="1810">
      <c r="A1810" s="5">
        <v>43879.67101851852</v>
      </c>
      <c r="B1810" s="4" t="s">
        <v>30</v>
      </c>
      <c r="C1810" s="4" t="s">
        <v>21</v>
      </c>
      <c r="D1810" s="4" t="s">
        <v>21</v>
      </c>
    </row>
    <row r="1811">
      <c r="A1811" s="5">
        <v>43879.67108796296</v>
      </c>
      <c r="B1811" s="4" t="s">
        <v>30</v>
      </c>
      <c r="C1811" s="4" t="s">
        <v>21</v>
      </c>
      <c r="D1811" s="4" t="s">
        <v>21</v>
      </c>
    </row>
    <row r="1812">
      <c r="A1812" s="5">
        <v>43879.671168981484</v>
      </c>
      <c r="B1812" s="4" t="s">
        <v>30</v>
      </c>
      <c r="C1812" s="4" t="s">
        <v>21</v>
      </c>
      <c r="D1812" s="4" t="s">
        <v>21</v>
      </c>
    </row>
    <row r="1813">
      <c r="A1813" s="5">
        <v>43879.67123842592</v>
      </c>
      <c r="B1813" s="4" t="s">
        <v>30</v>
      </c>
      <c r="C1813" s="4" t="s">
        <v>21</v>
      </c>
      <c r="D1813" s="4" t="s">
        <v>21</v>
      </c>
    </row>
    <row r="1814">
      <c r="A1814" s="5">
        <v>43879.67130787037</v>
      </c>
      <c r="B1814" s="4" t="s">
        <v>30</v>
      </c>
      <c r="C1814" s="4" t="s">
        <v>21</v>
      </c>
      <c r="D1814" s="4" t="s">
        <v>21</v>
      </c>
    </row>
    <row r="1815">
      <c r="A1815" s="5">
        <v>43879.67138888889</v>
      </c>
      <c r="B1815" s="4" t="s">
        <v>30</v>
      </c>
      <c r="C1815" s="4" t="s">
        <v>21</v>
      </c>
      <c r="D1815" s="4" t="s">
        <v>21</v>
      </c>
    </row>
    <row r="1816">
      <c r="A1816" s="5">
        <v>43879.67145833333</v>
      </c>
      <c r="B1816" s="4" t="s">
        <v>30</v>
      </c>
      <c r="C1816" s="4" t="s">
        <v>21</v>
      </c>
      <c r="D1816" s="4" t="s">
        <v>21</v>
      </c>
    </row>
    <row r="1817">
      <c r="A1817" s="5">
        <v>43879.67153935185</v>
      </c>
      <c r="B1817" s="4" t="s">
        <v>30</v>
      </c>
      <c r="C1817" s="4" t="s">
        <v>21</v>
      </c>
      <c r="D1817" s="4" t="s">
        <v>21</v>
      </c>
    </row>
    <row r="1818">
      <c r="A1818" s="5">
        <v>43879.67162037037</v>
      </c>
      <c r="B1818" s="4" t="s">
        <v>30</v>
      </c>
      <c r="C1818" s="4" t="s">
        <v>21</v>
      </c>
      <c r="D1818" s="4" t="s">
        <v>21</v>
      </c>
    </row>
    <row r="1819">
      <c r="A1819" s="5">
        <v>43879.67171296296</v>
      </c>
      <c r="B1819" s="4" t="s">
        <v>30</v>
      </c>
      <c r="C1819" s="4" t="s">
        <v>21</v>
      </c>
      <c r="D1819" s="4" t="s">
        <v>21</v>
      </c>
    </row>
    <row r="1820">
      <c r="A1820" s="5">
        <v>43879.67178240741</v>
      </c>
      <c r="B1820" s="4" t="s">
        <v>30</v>
      </c>
      <c r="C1820" s="4" t="s">
        <v>21</v>
      </c>
      <c r="D1820" s="4" t="s">
        <v>21</v>
      </c>
    </row>
    <row r="1821">
      <c r="A1821" s="5">
        <v>43879.67186342592</v>
      </c>
      <c r="B1821" s="4" t="s">
        <v>30</v>
      </c>
      <c r="C1821" s="4" t="s">
        <v>21</v>
      </c>
      <c r="D1821" s="4" t="s">
        <v>21</v>
      </c>
    </row>
    <row r="1822">
      <c r="A1822" s="5">
        <v>43879.67193287037</v>
      </c>
      <c r="B1822" s="4" t="s">
        <v>30</v>
      </c>
      <c r="C1822" s="4" t="s">
        <v>21</v>
      </c>
      <c r="D1822" s="4" t="s">
        <v>21</v>
      </c>
    </row>
    <row r="1823">
      <c r="A1823" s="5">
        <v>43879.67201388889</v>
      </c>
      <c r="B1823" s="4" t="s">
        <v>30</v>
      </c>
      <c r="C1823" s="4" t="s">
        <v>21</v>
      </c>
      <c r="D1823" s="4" t="s">
        <v>21</v>
      </c>
    </row>
    <row r="1824">
      <c r="A1824" s="5">
        <v>43879.67208333333</v>
      </c>
      <c r="B1824" s="4" t="s">
        <v>30</v>
      </c>
      <c r="C1824" s="4" t="s">
        <v>21</v>
      </c>
      <c r="D1824" s="4" t="s">
        <v>21</v>
      </c>
    </row>
    <row r="1825">
      <c r="A1825" s="5">
        <v>43879.67215277778</v>
      </c>
      <c r="B1825" s="4" t="s">
        <v>30</v>
      </c>
      <c r="C1825" s="4" t="s">
        <v>21</v>
      </c>
      <c r="D1825" s="4" t="s">
        <v>21</v>
      </c>
    </row>
    <row r="1826">
      <c r="A1826" s="5">
        <v>43879.67223379629</v>
      </c>
      <c r="B1826" s="4" t="s">
        <v>30</v>
      </c>
      <c r="C1826" s="4" t="s">
        <v>21</v>
      </c>
      <c r="D1826" s="4" t="s">
        <v>21</v>
      </c>
    </row>
    <row r="1827">
      <c r="A1827" s="5">
        <v>43879.67230324074</v>
      </c>
      <c r="B1827" s="4" t="s">
        <v>30</v>
      </c>
      <c r="C1827" s="4" t="s">
        <v>21</v>
      </c>
      <c r="D1827" s="4" t="s">
        <v>21</v>
      </c>
    </row>
    <row r="1828">
      <c r="A1828" s="5">
        <v>43879.67238425926</v>
      </c>
      <c r="B1828" s="4" t="s">
        <v>30</v>
      </c>
      <c r="C1828" s="4" t="s">
        <v>21</v>
      </c>
      <c r="D1828" s="4" t="s">
        <v>21</v>
      </c>
    </row>
    <row r="1829">
      <c r="A1829" s="5">
        <v>43879.6724537037</v>
      </c>
      <c r="B1829" s="4" t="s">
        <v>30</v>
      </c>
      <c r="C1829" s="4" t="s">
        <v>21</v>
      </c>
      <c r="D1829" s="4" t="s">
        <v>21</v>
      </c>
    </row>
    <row r="1830">
      <c r="A1830" s="5">
        <v>43879.67252314815</v>
      </c>
      <c r="B1830" s="4" t="s">
        <v>30</v>
      </c>
      <c r="C1830" s="4" t="s">
        <v>21</v>
      </c>
      <c r="D1830" s="4" t="s">
        <v>21</v>
      </c>
    </row>
    <row r="1831">
      <c r="A1831" s="5">
        <v>43879.67260416667</v>
      </c>
      <c r="B1831" s="4" t="s">
        <v>30</v>
      </c>
      <c r="C1831" s="4" t="s">
        <v>21</v>
      </c>
      <c r="D1831" s="4" t="s">
        <v>21</v>
      </c>
    </row>
    <row r="1832">
      <c r="A1832" s="5">
        <v>43879.67267361111</v>
      </c>
      <c r="B1832" s="4" t="s">
        <v>30</v>
      </c>
      <c r="C1832" s="4" t="s">
        <v>21</v>
      </c>
      <c r="D1832" s="4" t="s">
        <v>21</v>
      </c>
    </row>
    <row r="1833">
      <c r="A1833" s="5">
        <v>43880.371724537035</v>
      </c>
      <c r="B1833" s="4" t="s">
        <v>30</v>
      </c>
      <c r="C1833" s="4" t="s">
        <v>21</v>
      </c>
      <c r="D1833" s="4" t="s">
        <v>21</v>
      </c>
    </row>
    <row r="1834">
      <c r="A1834" s="5">
        <v>43880.38296296296</v>
      </c>
      <c r="B1834" s="4" t="s">
        <v>30</v>
      </c>
      <c r="C1834" s="4" t="s">
        <v>21</v>
      </c>
      <c r="D1834" s="4" t="s">
        <v>21</v>
      </c>
    </row>
    <row r="1835">
      <c r="A1835" s="5">
        <v>43881.4425</v>
      </c>
      <c r="B1835" s="4" t="s">
        <v>30</v>
      </c>
      <c r="C1835" s="4" t="s">
        <v>21</v>
      </c>
      <c r="D1835" s="4" t="s">
        <v>21</v>
      </c>
    </row>
    <row r="1836">
      <c r="A1836" s="5">
        <v>43966.62875</v>
      </c>
      <c r="B1836" s="4" t="s">
        <v>30</v>
      </c>
      <c r="C1836" s="4" t="s">
        <v>21</v>
      </c>
      <c r="D1836" s="4" t="s">
        <v>21</v>
      </c>
    </row>
    <row r="1837">
      <c r="A1837" s="5">
        <v>43683.38175925926</v>
      </c>
      <c r="B1837" s="4" t="s">
        <v>30</v>
      </c>
      <c r="C1837" s="4" t="s">
        <v>21</v>
      </c>
      <c r="D1837" s="4" t="s">
        <v>21</v>
      </c>
    </row>
    <row r="1838">
      <c r="A1838" s="5">
        <v>43685.82162037037</v>
      </c>
      <c r="B1838" s="4" t="s">
        <v>30</v>
      </c>
      <c r="C1838" s="4" t="s">
        <v>21</v>
      </c>
      <c r="D1838" s="4" t="s">
        <v>21</v>
      </c>
    </row>
    <row r="1839">
      <c r="A1839" s="5">
        <v>43702.75616898148</v>
      </c>
      <c r="B1839" s="4" t="s">
        <v>30</v>
      </c>
      <c r="C1839" s="4" t="s">
        <v>21</v>
      </c>
      <c r="D1839" s="4" t="s">
        <v>21</v>
      </c>
    </row>
    <row r="1840">
      <c r="A1840" s="5">
        <v>43936.39079861111</v>
      </c>
      <c r="B1840" s="4" t="s">
        <v>30</v>
      </c>
      <c r="C1840" s="4" t="s">
        <v>21</v>
      </c>
      <c r="D1840" s="4" t="s">
        <v>21</v>
      </c>
    </row>
    <row r="1841">
      <c r="A1841" s="5">
        <v>43837.61655092592</v>
      </c>
      <c r="B1841" s="4" t="s">
        <v>30</v>
      </c>
      <c r="C1841" s="4" t="s">
        <v>21</v>
      </c>
      <c r="D1841" s="4" t="s">
        <v>21</v>
      </c>
    </row>
    <row r="1842">
      <c r="A1842" s="5">
        <v>43684.59150462963</v>
      </c>
      <c r="B1842" s="4" t="s">
        <v>30</v>
      </c>
      <c r="C1842" s="4" t="s">
        <v>21</v>
      </c>
      <c r="D1842" s="4" t="s">
        <v>21</v>
      </c>
    </row>
    <row r="1843">
      <c r="A1843" s="5">
        <v>43759.507372685184</v>
      </c>
      <c r="B1843" s="4" t="s">
        <v>30</v>
      </c>
      <c r="C1843" s="4" t="s">
        <v>21</v>
      </c>
      <c r="D1843" s="4" t="s">
        <v>21</v>
      </c>
    </row>
    <row r="1844">
      <c r="A1844" s="5">
        <v>43885.538125</v>
      </c>
      <c r="B1844" s="4" t="s">
        <v>30</v>
      </c>
      <c r="C1844" s="4" t="s">
        <v>21</v>
      </c>
      <c r="D1844" s="4" t="s">
        <v>21</v>
      </c>
    </row>
    <row r="1845">
      <c r="A1845" s="5">
        <v>43977.3490625</v>
      </c>
      <c r="B1845" s="4" t="s">
        <v>30</v>
      </c>
      <c r="C1845" s="4" t="s">
        <v>21</v>
      </c>
      <c r="D1845" s="4" t="s">
        <v>21</v>
      </c>
    </row>
    <row r="1846">
      <c r="A1846" s="5">
        <v>43977.40013888889</v>
      </c>
      <c r="B1846" s="4" t="s">
        <v>30</v>
      </c>
      <c r="C1846" s="4" t="s">
        <v>21</v>
      </c>
      <c r="D1846" s="4" t="s">
        <v>21</v>
      </c>
    </row>
    <row r="1847">
      <c r="A1847" s="5">
        <v>43983.50879629629</v>
      </c>
      <c r="B1847" s="4" t="s">
        <v>30</v>
      </c>
      <c r="C1847" s="4" t="s">
        <v>21</v>
      </c>
      <c r="D1847" s="4" t="s">
        <v>21</v>
      </c>
    </row>
    <row r="1848">
      <c r="A1848" s="5">
        <v>43684.58770833333</v>
      </c>
      <c r="B1848" s="4" t="s">
        <v>30</v>
      </c>
      <c r="C1848" s="4" t="s">
        <v>21</v>
      </c>
      <c r="D1848" s="4" t="s">
        <v>21</v>
      </c>
    </row>
    <row r="1849">
      <c r="A1849" s="5">
        <v>43684.59717592593</v>
      </c>
      <c r="B1849" s="4" t="s">
        <v>30</v>
      </c>
      <c r="C1849" s="4" t="s">
        <v>21</v>
      </c>
      <c r="D1849" s="4" t="s">
        <v>21</v>
      </c>
    </row>
    <row r="1850">
      <c r="A1850" s="5">
        <v>43760.73002314815</v>
      </c>
      <c r="B1850" s="4" t="s">
        <v>30</v>
      </c>
      <c r="C1850" s="4" t="s">
        <v>21</v>
      </c>
      <c r="D1850" s="4" t="s">
        <v>21</v>
      </c>
    </row>
    <row r="1851">
      <c r="A1851" s="5">
        <v>43986.62701388889</v>
      </c>
      <c r="B1851" s="4" t="s">
        <v>30</v>
      </c>
      <c r="C1851" s="4" t="s">
        <v>21</v>
      </c>
      <c r="D1851" s="4" t="s">
        <v>21</v>
      </c>
    </row>
    <row r="1852">
      <c r="A1852" s="5">
        <v>43840.31964120371</v>
      </c>
      <c r="B1852" s="4" t="s">
        <v>30</v>
      </c>
      <c r="C1852" s="4" t="s">
        <v>21</v>
      </c>
      <c r="D1852" s="4" t="s">
        <v>21</v>
      </c>
    </row>
    <row r="1853">
      <c r="A1853" s="5">
        <v>43851.354791666665</v>
      </c>
      <c r="B1853" s="4" t="s">
        <v>30</v>
      </c>
      <c r="C1853" s="4" t="s">
        <v>21</v>
      </c>
      <c r="D1853" s="4" t="s">
        <v>21</v>
      </c>
    </row>
    <row r="1854">
      <c r="A1854" s="5">
        <v>43559.314479166664</v>
      </c>
      <c r="B1854" s="4" t="s">
        <v>33</v>
      </c>
      <c r="C1854" s="4" t="s">
        <v>21</v>
      </c>
      <c r="D1854" s="4" t="s">
        <v>21</v>
      </c>
    </row>
    <row r="1855">
      <c r="A1855" s="5">
        <v>43507.711550925924</v>
      </c>
      <c r="B1855" s="4" t="s">
        <v>33</v>
      </c>
      <c r="C1855" s="4" t="s">
        <v>21</v>
      </c>
      <c r="D1855" s="4" t="s">
        <v>21</v>
      </c>
    </row>
    <row r="1856">
      <c r="A1856" s="5">
        <v>43508.66688657407</v>
      </c>
      <c r="B1856" s="4" t="s">
        <v>33</v>
      </c>
      <c r="C1856" s="4" t="s">
        <v>21</v>
      </c>
      <c r="D1856" s="4" t="s">
        <v>21</v>
      </c>
    </row>
    <row r="1857">
      <c r="A1857" s="5">
        <v>43563.55063657407</v>
      </c>
      <c r="B1857" s="4" t="s">
        <v>33</v>
      </c>
      <c r="C1857" s="4" t="s">
        <v>21</v>
      </c>
      <c r="D1857" s="4" t="s">
        <v>21</v>
      </c>
    </row>
    <row r="1858">
      <c r="A1858" s="5">
        <v>43623.42130787037</v>
      </c>
      <c r="B1858" s="4" t="s">
        <v>33</v>
      </c>
      <c r="C1858" s="4" t="s">
        <v>21</v>
      </c>
      <c r="D1858" s="4" t="s">
        <v>21</v>
      </c>
    </row>
    <row r="1859">
      <c r="A1859" s="5">
        <v>43556.592361111114</v>
      </c>
      <c r="B1859" s="4" t="s">
        <v>33</v>
      </c>
      <c r="C1859" s="4" t="s">
        <v>21</v>
      </c>
      <c r="D1859" s="4" t="s">
        <v>21</v>
      </c>
    </row>
    <row r="1860">
      <c r="A1860" s="5">
        <v>43418.65840277778</v>
      </c>
      <c r="B1860" s="4" t="s">
        <v>33</v>
      </c>
      <c r="C1860" s="4" t="s">
        <v>21</v>
      </c>
      <c r="D1860" s="4" t="s">
        <v>21</v>
      </c>
    </row>
    <row r="1861">
      <c r="A1861" s="5">
        <v>43528.36142361111</v>
      </c>
      <c r="B1861" s="4" t="s">
        <v>33</v>
      </c>
      <c r="C1861" s="4" t="s">
        <v>21</v>
      </c>
      <c r="D1861" s="4" t="s">
        <v>21</v>
      </c>
    </row>
    <row r="1862">
      <c r="A1862" s="5">
        <v>43509.50042824074</v>
      </c>
      <c r="B1862" s="4" t="s">
        <v>33</v>
      </c>
      <c r="C1862" s="4" t="s">
        <v>21</v>
      </c>
      <c r="D1862" s="4" t="s">
        <v>21</v>
      </c>
    </row>
    <row r="1863">
      <c r="A1863" s="5">
        <v>43570.25760416667</v>
      </c>
      <c r="B1863" s="4" t="s">
        <v>33</v>
      </c>
      <c r="C1863" s="4" t="s">
        <v>21</v>
      </c>
      <c r="D1863" s="4" t="s">
        <v>21</v>
      </c>
    </row>
    <row r="1864" hidden="1">
      <c r="A1864" s="5">
        <v>43525.94405092593</v>
      </c>
      <c r="B1864" s="4" t="s">
        <v>34</v>
      </c>
      <c r="C1864" s="4" t="s">
        <v>21</v>
      </c>
      <c r="D1864" s="4" t="s">
        <v>21</v>
      </c>
    </row>
    <row r="1865">
      <c r="A1865" s="5">
        <v>43488.42412037037</v>
      </c>
      <c r="B1865" s="4" t="s">
        <v>33</v>
      </c>
      <c r="C1865" s="4" t="s">
        <v>21</v>
      </c>
      <c r="D1865" s="4" t="s">
        <v>21</v>
      </c>
    </row>
    <row r="1866" hidden="1">
      <c r="A1866" s="5">
        <v>43487.375243055554</v>
      </c>
      <c r="B1866" s="4" t="s">
        <v>35</v>
      </c>
      <c r="C1866" s="4" t="s">
        <v>21</v>
      </c>
      <c r="D1866" s="4" t="s">
        <v>21</v>
      </c>
    </row>
    <row r="1867">
      <c r="A1867" s="5">
        <v>43481.44096064815</v>
      </c>
      <c r="B1867" s="4" t="s">
        <v>33</v>
      </c>
      <c r="C1867" s="4" t="s">
        <v>21</v>
      </c>
      <c r="D1867" s="4" t="s">
        <v>21</v>
      </c>
    </row>
    <row r="1868">
      <c r="A1868" s="5">
        <v>43446.35590277778</v>
      </c>
      <c r="B1868" s="4" t="s">
        <v>33</v>
      </c>
      <c r="C1868" s="4" t="s">
        <v>21</v>
      </c>
      <c r="D1868" s="4" t="s">
        <v>21</v>
      </c>
    </row>
    <row r="1869">
      <c r="A1869" s="5">
        <v>43445.423368055555</v>
      </c>
      <c r="B1869" s="4" t="s">
        <v>33</v>
      </c>
      <c r="C1869" s="4" t="s">
        <v>21</v>
      </c>
      <c r="D1869" s="4" t="s">
        <v>21</v>
      </c>
    </row>
    <row r="1870">
      <c r="A1870" s="5">
        <v>43571.369988425926</v>
      </c>
      <c r="B1870" s="4" t="s">
        <v>33</v>
      </c>
      <c r="C1870" s="4" t="s">
        <v>21</v>
      </c>
      <c r="D1870" s="4" t="s">
        <v>21</v>
      </c>
    </row>
    <row r="1871">
      <c r="A1871" s="5">
        <v>43564.021782407406</v>
      </c>
      <c r="B1871" s="4" t="s">
        <v>33</v>
      </c>
      <c r="C1871" s="4" t="s">
        <v>21</v>
      </c>
      <c r="D1871" s="4" t="s">
        <v>21</v>
      </c>
    </row>
    <row r="1872">
      <c r="A1872" s="5">
        <v>43455.323599537034</v>
      </c>
      <c r="B1872" s="4" t="s">
        <v>33</v>
      </c>
      <c r="C1872" s="4" t="s">
        <v>21</v>
      </c>
      <c r="D1872" s="4" t="s">
        <v>21</v>
      </c>
    </row>
    <row r="1873">
      <c r="A1873" s="5">
        <v>43483.442407407405</v>
      </c>
      <c r="B1873" s="4" t="s">
        <v>33</v>
      </c>
      <c r="C1873" s="4" t="s">
        <v>21</v>
      </c>
      <c r="D1873" s="4" t="s">
        <v>21</v>
      </c>
    </row>
    <row r="1874">
      <c r="A1874" s="5">
        <v>43518.45070601852</v>
      </c>
      <c r="B1874" s="4" t="s">
        <v>33</v>
      </c>
      <c r="C1874" s="4" t="s">
        <v>21</v>
      </c>
      <c r="D1874" s="4" t="s">
        <v>21</v>
      </c>
    </row>
    <row r="1875">
      <c r="A1875" s="5">
        <v>43614.295949074076</v>
      </c>
      <c r="B1875" s="4" t="s">
        <v>33</v>
      </c>
      <c r="C1875" s="4" t="s">
        <v>21</v>
      </c>
      <c r="D1875" s="4" t="s">
        <v>21</v>
      </c>
    </row>
    <row r="1876" hidden="1">
      <c r="A1876" s="5">
        <v>43623.98364583333</v>
      </c>
      <c r="B1876" s="4" t="s">
        <v>35</v>
      </c>
      <c r="C1876" s="4" t="s">
        <v>21</v>
      </c>
      <c r="D1876" s="4" t="s">
        <v>21</v>
      </c>
    </row>
    <row r="1877">
      <c r="A1877" s="5">
        <v>43642.23652777778</v>
      </c>
      <c r="B1877" s="4" t="s">
        <v>33</v>
      </c>
      <c r="C1877" s="4" t="s">
        <v>21</v>
      </c>
      <c r="D1877" s="4" t="s">
        <v>21</v>
      </c>
    </row>
    <row r="1878">
      <c r="A1878" s="5">
        <v>43384.71650462963</v>
      </c>
      <c r="B1878" s="4" t="s">
        <v>33</v>
      </c>
      <c r="C1878" s="4" t="s">
        <v>21</v>
      </c>
      <c r="D1878" s="4" t="s">
        <v>21</v>
      </c>
    </row>
    <row r="1879">
      <c r="A1879" s="5">
        <v>43502.36818287037</v>
      </c>
      <c r="B1879" s="4" t="s">
        <v>33</v>
      </c>
      <c r="C1879" s="4" t="s">
        <v>21</v>
      </c>
      <c r="D1879" s="4" t="s">
        <v>23</v>
      </c>
    </row>
    <row r="1880">
      <c r="A1880" s="5">
        <v>43455.30701388889</v>
      </c>
      <c r="B1880" s="4" t="s">
        <v>33</v>
      </c>
      <c r="C1880" s="4" t="s">
        <v>21</v>
      </c>
      <c r="D1880" s="4" t="s">
        <v>21</v>
      </c>
    </row>
    <row r="1881">
      <c r="A1881" s="5">
        <v>43602.47599537037</v>
      </c>
      <c r="B1881" s="4" t="s">
        <v>33</v>
      </c>
      <c r="C1881" s="4" t="s">
        <v>21</v>
      </c>
      <c r="D1881" s="4" t="s">
        <v>21</v>
      </c>
    </row>
    <row r="1882">
      <c r="A1882" s="5">
        <v>43455.298993055556</v>
      </c>
      <c r="B1882" s="4" t="s">
        <v>33</v>
      </c>
      <c r="C1882" s="4" t="s">
        <v>21</v>
      </c>
      <c r="D1882" s="4" t="s">
        <v>21</v>
      </c>
    </row>
    <row r="1883" hidden="1">
      <c r="A1883" s="5">
        <v>43536.02700231481</v>
      </c>
      <c r="B1883" s="4" t="s">
        <v>35</v>
      </c>
      <c r="C1883" s="4" t="s">
        <v>21</v>
      </c>
      <c r="D1883" s="4" t="s">
        <v>21</v>
      </c>
    </row>
    <row r="1884">
      <c r="A1884" s="5">
        <v>43482.391018518516</v>
      </c>
      <c r="B1884" s="4" t="s">
        <v>33</v>
      </c>
      <c r="C1884" s="4" t="s">
        <v>21</v>
      </c>
      <c r="D1884" s="4" t="s">
        <v>21</v>
      </c>
    </row>
    <row r="1885">
      <c r="A1885" s="5">
        <v>43495.431655092594</v>
      </c>
      <c r="B1885" s="4" t="s">
        <v>33</v>
      </c>
      <c r="C1885" s="4" t="s">
        <v>21</v>
      </c>
      <c r="D1885" s="4" t="s">
        <v>21</v>
      </c>
    </row>
    <row r="1886">
      <c r="A1886" s="5">
        <v>43602.09768518519</v>
      </c>
      <c r="B1886" s="4" t="s">
        <v>33</v>
      </c>
      <c r="C1886" s="4" t="s">
        <v>21</v>
      </c>
      <c r="D1886" s="4" t="s">
        <v>21</v>
      </c>
    </row>
    <row r="1887" hidden="1">
      <c r="A1887" s="5">
        <v>43613.928194444445</v>
      </c>
      <c r="B1887" s="4" t="s">
        <v>35</v>
      </c>
      <c r="C1887" s="4" t="s">
        <v>21</v>
      </c>
      <c r="D1887" s="4" t="s">
        <v>21</v>
      </c>
    </row>
    <row r="1888">
      <c r="A1888" s="5">
        <v>43602.44479166667</v>
      </c>
      <c r="B1888" s="4" t="s">
        <v>33</v>
      </c>
      <c r="C1888" s="4" t="s">
        <v>21</v>
      </c>
      <c r="D1888" s="4" t="s">
        <v>21</v>
      </c>
    </row>
    <row r="1889">
      <c r="A1889" s="5">
        <v>43271.51755787037</v>
      </c>
      <c r="B1889" s="4" t="s">
        <v>33</v>
      </c>
      <c r="C1889" s="4" t="s">
        <v>21</v>
      </c>
      <c r="D1889" s="4" t="s">
        <v>21</v>
      </c>
    </row>
    <row r="1890">
      <c r="A1890" s="5">
        <v>43525.57666666667</v>
      </c>
      <c r="B1890" s="4" t="s">
        <v>33</v>
      </c>
      <c r="C1890" s="4" t="s">
        <v>21</v>
      </c>
      <c r="D1890" s="4" t="s">
        <v>21</v>
      </c>
    </row>
    <row r="1891">
      <c r="A1891" s="5">
        <v>43525.7296875</v>
      </c>
      <c r="B1891" s="4" t="s">
        <v>33</v>
      </c>
      <c r="C1891" s="4" t="s">
        <v>21</v>
      </c>
      <c r="D1891" s="4" t="s">
        <v>21</v>
      </c>
    </row>
    <row r="1892">
      <c r="A1892" s="5">
        <v>43525.75037037037</v>
      </c>
      <c r="B1892" s="4" t="s">
        <v>33</v>
      </c>
      <c r="C1892" s="4" t="s">
        <v>21</v>
      </c>
      <c r="D1892" s="4" t="s">
        <v>21</v>
      </c>
    </row>
    <row r="1893">
      <c r="A1893" s="5">
        <v>43501.3615162037</v>
      </c>
      <c r="B1893" s="4" t="s">
        <v>33</v>
      </c>
      <c r="C1893" s="4" t="s">
        <v>21</v>
      </c>
      <c r="D1893" s="4" t="s">
        <v>23</v>
      </c>
    </row>
    <row r="1894">
      <c r="A1894" s="5">
        <v>43494.33354166667</v>
      </c>
      <c r="B1894" s="4" t="s">
        <v>33</v>
      </c>
      <c r="C1894" s="4" t="s">
        <v>21</v>
      </c>
      <c r="D1894" s="4" t="s">
        <v>21</v>
      </c>
    </row>
    <row r="1895">
      <c r="A1895" s="5">
        <v>43574.92017361111</v>
      </c>
      <c r="B1895" s="4" t="s">
        <v>33</v>
      </c>
      <c r="C1895" s="4" t="s">
        <v>21</v>
      </c>
      <c r="D1895" s="4" t="s">
        <v>21</v>
      </c>
    </row>
    <row r="1896">
      <c r="A1896" s="5">
        <v>43437.55479166667</v>
      </c>
      <c r="B1896" s="4" t="s">
        <v>33</v>
      </c>
      <c r="C1896" s="4" t="s">
        <v>21</v>
      </c>
      <c r="D1896" s="4" t="s">
        <v>21</v>
      </c>
    </row>
    <row r="1897">
      <c r="A1897" s="5">
        <v>43446.55800925926</v>
      </c>
      <c r="B1897" s="4" t="s">
        <v>33</v>
      </c>
      <c r="C1897" s="4" t="s">
        <v>21</v>
      </c>
      <c r="D1897" s="4" t="s">
        <v>21</v>
      </c>
    </row>
    <row r="1898">
      <c r="A1898" s="5">
        <v>43453.54525462963</v>
      </c>
      <c r="B1898" s="4" t="s">
        <v>33</v>
      </c>
      <c r="C1898" s="4" t="s">
        <v>21</v>
      </c>
      <c r="D1898" s="4" t="s">
        <v>21</v>
      </c>
    </row>
    <row r="1899">
      <c r="A1899" s="5">
        <v>43487.46256944445</v>
      </c>
      <c r="B1899" s="4" t="s">
        <v>33</v>
      </c>
      <c r="C1899" s="4" t="s">
        <v>21</v>
      </c>
      <c r="D1899" s="4" t="s">
        <v>21</v>
      </c>
    </row>
    <row r="1900">
      <c r="A1900" s="5">
        <v>43490.98105324074</v>
      </c>
      <c r="B1900" s="4" t="s">
        <v>33</v>
      </c>
      <c r="C1900" s="4" t="s">
        <v>21</v>
      </c>
      <c r="D1900" s="4" t="s">
        <v>21</v>
      </c>
    </row>
    <row r="1901">
      <c r="A1901" s="5">
        <v>43496.611967592595</v>
      </c>
      <c r="B1901" s="4" t="s">
        <v>33</v>
      </c>
      <c r="C1901" s="4" t="s">
        <v>21</v>
      </c>
      <c r="D1901" s="4" t="s">
        <v>21</v>
      </c>
    </row>
    <row r="1902">
      <c r="A1902" s="5">
        <v>43502.91143518518</v>
      </c>
      <c r="B1902" s="4" t="s">
        <v>33</v>
      </c>
      <c r="C1902" s="4" t="s">
        <v>21</v>
      </c>
      <c r="D1902" s="4" t="s">
        <v>23</v>
      </c>
    </row>
    <row r="1903">
      <c r="A1903" s="5">
        <v>43504.013194444444</v>
      </c>
      <c r="B1903" s="4" t="s">
        <v>33</v>
      </c>
      <c r="C1903" s="4" t="s">
        <v>21</v>
      </c>
      <c r="D1903" s="4" t="s">
        <v>23</v>
      </c>
    </row>
    <row r="1904">
      <c r="A1904" s="5">
        <v>43518.75603009259</v>
      </c>
      <c r="B1904" s="4" t="s">
        <v>33</v>
      </c>
      <c r="C1904" s="4" t="s">
        <v>21</v>
      </c>
      <c r="D1904" s="4" t="s">
        <v>21</v>
      </c>
    </row>
    <row r="1905" hidden="1">
      <c r="A1905" s="5">
        <v>43526.09276620371</v>
      </c>
      <c r="B1905" s="4" t="s">
        <v>35</v>
      </c>
      <c r="C1905" s="4" t="s">
        <v>21</v>
      </c>
      <c r="D1905" s="4" t="s">
        <v>21</v>
      </c>
    </row>
    <row r="1906">
      <c r="A1906" s="5">
        <v>43536.809479166666</v>
      </c>
      <c r="B1906" s="4" t="s">
        <v>33</v>
      </c>
      <c r="C1906" s="4" t="s">
        <v>21</v>
      </c>
      <c r="D1906" s="4" t="s">
        <v>21</v>
      </c>
    </row>
    <row r="1907">
      <c r="A1907" s="5">
        <v>43551.49224537037</v>
      </c>
      <c r="B1907" s="4" t="s">
        <v>33</v>
      </c>
      <c r="C1907" s="4" t="s">
        <v>21</v>
      </c>
      <c r="D1907" s="4" t="s">
        <v>21</v>
      </c>
    </row>
    <row r="1908">
      <c r="A1908" s="5">
        <v>43553.37875</v>
      </c>
      <c r="B1908" s="4" t="s">
        <v>33</v>
      </c>
      <c r="C1908" s="4" t="s">
        <v>21</v>
      </c>
      <c r="D1908" s="4" t="s">
        <v>21</v>
      </c>
    </row>
    <row r="1909">
      <c r="A1909" s="5">
        <v>43557.28251157407</v>
      </c>
      <c r="B1909" s="4" t="s">
        <v>33</v>
      </c>
      <c r="C1909" s="4" t="s">
        <v>21</v>
      </c>
      <c r="D1909" s="4" t="s">
        <v>21</v>
      </c>
    </row>
    <row r="1910">
      <c r="A1910" s="5">
        <v>43591.82670138889</v>
      </c>
      <c r="B1910" s="4" t="s">
        <v>33</v>
      </c>
      <c r="C1910" s="4" t="s">
        <v>21</v>
      </c>
      <c r="D1910" s="4" t="s">
        <v>21</v>
      </c>
    </row>
    <row r="1911">
      <c r="A1911" s="5">
        <v>43602.17228009259</v>
      </c>
      <c r="B1911" s="4" t="s">
        <v>33</v>
      </c>
      <c r="C1911" s="4" t="s">
        <v>21</v>
      </c>
      <c r="D1911" s="4" t="s">
        <v>21</v>
      </c>
    </row>
    <row r="1912">
      <c r="A1912" s="5">
        <v>43602.447291666664</v>
      </c>
      <c r="B1912" s="4" t="s">
        <v>33</v>
      </c>
      <c r="C1912" s="4" t="s">
        <v>21</v>
      </c>
      <c r="D1912" s="4" t="s">
        <v>21</v>
      </c>
    </row>
    <row r="1913">
      <c r="A1913" s="5">
        <v>43644.67414351852</v>
      </c>
      <c r="B1913" s="4" t="s">
        <v>33</v>
      </c>
      <c r="C1913" s="4" t="s">
        <v>21</v>
      </c>
      <c r="D1913" s="4" t="s">
        <v>21</v>
      </c>
    </row>
    <row r="1914">
      <c r="A1914" s="5">
        <v>43425.742164351854</v>
      </c>
      <c r="B1914" s="4" t="s">
        <v>33</v>
      </c>
      <c r="C1914" s="4" t="s">
        <v>21</v>
      </c>
      <c r="D1914" s="4" t="s">
        <v>21</v>
      </c>
    </row>
    <row r="1915">
      <c r="A1915" s="5">
        <v>43364.315104166664</v>
      </c>
      <c r="B1915" s="4" t="s">
        <v>33</v>
      </c>
      <c r="C1915" s="4" t="s">
        <v>21</v>
      </c>
      <c r="D1915" s="4" t="s">
        <v>21</v>
      </c>
    </row>
    <row r="1916">
      <c r="A1916" s="5">
        <v>43504.389398148145</v>
      </c>
      <c r="B1916" s="4" t="s">
        <v>33</v>
      </c>
      <c r="C1916" s="4" t="s">
        <v>21</v>
      </c>
      <c r="D1916" s="4" t="s">
        <v>23</v>
      </c>
    </row>
    <row r="1917">
      <c r="A1917" s="5">
        <v>43560.46619212963</v>
      </c>
      <c r="B1917" s="4" t="s">
        <v>33</v>
      </c>
      <c r="C1917" s="4" t="s">
        <v>21</v>
      </c>
      <c r="D1917" s="4" t="s">
        <v>21</v>
      </c>
    </row>
    <row r="1918">
      <c r="A1918" s="5">
        <v>43521.354467592595</v>
      </c>
      <c r="B1918" s="4" t="s">
        <v>33</v>
      </c>
      <c r="C1918" s="4" t="s">
        <v>21</v>
      </c>
      <c r="D1918" s="4" t="s">
        <v>21</v>
      </c>
    </row>
    <row r="1919">
      <c r="A1919" s="5">
        <v>43551.243310185186</v>
      </c>
      <c r="B1919" s="4" t="s">
        <v>33</v>
      </c>
      <c r="C1919" s="4" t="s">
        <v>21</v>
      </c>
      <c r="D1919" s="4" t="s">
        <v>21</v>
      </c>
    </row>
    <row r="1920">
      <c r="A1920" s="5">
        <v>43621.71295138889</v>
      </c>
      <c r="B1920" s="4" t="s">
        <v>33</v>
      </c>
      <c r="C1920" s="4" t="s">
        <v>21</v>
      </c>
      <c r="D1920" s="4" t="s">
        <v>21</v>
      </c>
    </row>
    <row r="1921">
      <c r="A1921" s="5">
        <v>43474.74165509259</v>
      </c>
      <c r="B1921" s="4" t="s">
        <v>33</v>
      </c>
      <c r="C1921" s="4" t="s">
        <v>21</v>
      </c>
      <c r="D1921" s="4" t="s">
        <v>21</v>
      </c>
    </row>
    <row r="1922">
      <c r="A1922" s="5">
        <v>43542.34060185185</v>
      </c>
      <c r="B1922" s="4" t="s">
        <v>33</v>
      </c>
      <c r="C1922" s="4" t="s">
        <v>21</v>
      </c>
      <c r="D1922" s="4" t="s">
        <v>21</v>
      </c>
    </row>
    <row r="1923">
      <c r="A1923" s="5">
        <v>43620.48783564815</v>
      </c>
      <c r="B1923" s="4" t="s">
        <v>33</v>
      </c>
      <c r="C1923" s="4" t="s">
        <v>21</v>
      </c>
      <c r="D1923" s="4" t="s">
        <v>21</v>
      </c>
    </row>
    <row r="1924">
      <c r="A1924" s="5">
        <v>43495.464907407404</v>
      </c>
      <c r="B1924" s="4" t="s">
        <v>33</v>
      </c>
      <c r="C1924" s="4" t="s">
        <v>21</v>
      </c>
      <c r="D1924" s="4" t="s">
        <v>21</v>
      </c>
    </row>
    <row r="1925">
      <c r="A1925" s="5">
        <v>43490.73674768519</v>
      </c>
      <c r="B1925" s="4" t="s">
        <v>33</v>
      </c>
      <c r="C1925" s="4" t="s">
        <v>21</v>
      </c>
      <c r="D1925" s="4" t="s">
        <v>21</v>
      </c>
    </row>
    <row r="1926" hidden="1">
      <c r="A1926" s="5">
        <v>43536.03896990741</v>
      </c>
      <c r="B1926" s="4" t="s">
        <v>35</v>
      </c>
      <c r="C1926" s="4" t="s">
        <v>21</v>
      </c>
      <c r="D1926" s="4" t="s">
        <v>21</v>
      </c>
    </row>
    <row r="1927">
      <c r="A1927" s="5">
        <v>43545.875289351854</v>
      </c>
      <c r="B1927" s="4" t="s">
        <v>33</v>
      </c>
      <c r="C1927" s="4" t="s">
        <v>21</v>
      </c>
      <c r="D1927" s="4" t="s">
        <v>21</v>
      </c>
    </row>
    <row r="1928">
      <c r="A1928" s="5">
        <v>43608.38141203704</v>
      </c>
      <c r="B1928" s="4" t="s">
        <v>33</v>
      </c>
      <c r="C1928" s="4" t="s">
        <v>21</v>
      </c>
      <c r="D1928" s="4" t="s">
        <v>21</v>
      </c>
    </row>
    <row r="1929">
      <c r="A1929" s="5">
        <v>43543.28700231481</v>
      </c>
      <c r="B1929" s="4" t="s">
        <v>33</v>
      </c>
      <c r="C1929" s="4" t="s">
        <v>21</v>
      </c>
      <c r="D1929" s="4" t="s">
        <v>21</v>
      </c>
    </row>
    <row r="1930">
      <c r="A1930" s="5">
        <v>43489.89246527778</v>
      </c>
      <c r="B1930" s="4" t="s">
        <v>33</v>
      </c>
      <c r="C1930" s="4" t="s">
        <v>21</v>
      </c>
      <c r="D1930" s="4" t="s">
        <v>21</v>
      </c>
    </row>
    <row r="1931">
      <c r="A1931" s="5">
        <v>43556.76641203704</v>
      </c>
      <c r="B1931" s="4" t="s">
        <v>33</v>
      </c>
      <c r="C1931" s="4" t="s">
        <v>21</v>
      </c>
      <c r="D1931" s="4" t="s">
        <v>21</v>
      </c>
    </row>
    <row r="1932">
      <c r="A1932" s="5">
        <v>43577.428564814814</v>
      </c>
      <c r="B1932" s="4" t="s">
        <v>33</v>
      </c>
      <c r="C1932" s="4" t="s">
        <v>21</v>
      </c>
      <c r="D1932" s="4" t="s">
        <v>21</v>
      </c>
    </row>
    <row r="1933">
      <c r="A1933" s="5">
        <v>43628.5165162037</v>
      </c>
      <c r="B1933" s="4" t="s">
        <v>33</v>
      </c>
      <c r="C1933" s="4" t="s">
        <v>21</v>
      </c>
      <c r="D1933" s="4" t="s">
        <v>21</v>
      </c>
    </row>
    <row r="1934">
      <c r="A1934" s="5">
        <v>43395.318715277775</v>
      </c>
      <c r="B1934" s="4" t="s">
        <v>33</v>
      </c>
      <c r="C1934" s="4" t="s">
        <v>21</v>
      </c>
      <c r="D1934" s="4" t="s">
        <v>21</v>
      </c>
    </row>
    <row r="1935" hidden="1">
      <c r="A1935" s="5">
        <v>43461.24800925926</v>
      </c>
      <c r="B1935" s="4" t="s">
        <v>35</v>
      </c>
      <c r="C1935" s="4" t="s">
        <v>23</v>
      </c>
      <c r="D1935" s="4" t="s">
        <v>21</v>
      </c>
    </row>
    <row r="1936" hidden="1">
      <c r="A1936" s="5">
        <v>43467.3578587963</v>
      </c>
      <c r="B1936" s="4" t="s">
        <v>35</v>
      </c>
      <c r="C1936" s="4" t="s">
        <v>23</v>
      </c>
      <c r="D1936" s="4" t="s">
        <v>21</v>
      </c>
    </row>
    <row r="1937">
      <c r="A1937" s="5">
        <v>43467.42134259259</v>
      </c>
      <c r="B1937" s="4" t="s">
        <v>33</v>
      </c>
      <c r="C1937" s="4" t="s">
        <v>23</v>
      </c>
      <c r="D1937" s="4" t="s">
        <v>21</v>
      </c>
    </row>
    <row r="1938" hidden="1">
      <c r="A1938" s="5">
        <v>43472.33207175926</v>
      </c>
      <c r="B1938" s="4" t="s">
        <v>35</v>
      </c>
      <c r="C1938" s="4" t="s">
        <v>21</v>
      </c>
      <c r="D1938" s="4" t="s">
        <v>21</v>
      </c>
    </row>
    <row r="1939">
      <c r="A1939" s="5">
        <v>43489.28078703704</v>
      </c>
      <c r="B1939" s="4" t="s">
        <v>33</v>
      </c>
      <c r="C1939" s="4" t="s">
        <v>21</v>
      </c>
      <c r="D1939" s="4" t="s">
        <v>21</v>
      </c>
    </row>
    <row r="1940">
      <c r="A1940" s="5">
        <v>43531.46921296296</v>
      </c>
      <c r="B1940" s="4" t="s">
        <v>33</v>
      </c>
      <c r="C1940" s="4" t="s">
        <v>21</v>
      </c>
      <c r="D1940" s="4" t="s">
        <v>21</v>
      </c>
    </row>
    <row r="1941">
      <c r="A1941" s="5">
        <v>43531.47258101852</v>
      </c>
      <c r="B1941" s="4" t="s">
        <v>33</v>
      </c>
      <c r="C1941" s="4" t="s">
        <v>21</v>
      </c>
      <c r="D1941" s="4" t="s">
        <v>21</v>
      </c>
    </row>
    <row r="1942">
      <c r="A1942" s="5">
        <v>43539.39011574074</v>
      </c>
      <c r="B1942" s="4" t="s">
        <v>33</v>
      </c>
      <c r="C1942" s="4" t="s">
        <v>21</v>
      </c>
      <c r="D1942" s="4" t="s">
        <v>21</v>
      </c>
    </row>
    <row r="1943">
      <c r="A1943" s="5">
        <v>43565.45365740741</v>
      </c>
      <c r="B1943" s="4" t="s">
        <v>33</v>
      </c>
      <c r="C1943" s="4" t="s">
        <v>21</v>
      </c>
      <c r="D1943" s="4" t="s">
        <v>21</v>
      </c>
    </row>
    <row r="1944">
      <c r="A1944" s="5">
        <v>43578.44106481481</v>
      </c>
      <c r="B1944" s="4" t="s">
        <v>33</v>
      </c>
      <c r="C1944" s="4" t="s">
        <v>21</v>
      </c>
      <c r="D1944" s="4" t="s">
        <v>21</v>
      </c>
    </row>
    <row r="1945">
      <c r="A1945" s="5">
        <v>43581.305983796294</v>
      </c>
      <c r="B1945" s="4" t="s">
        <v>33</v>
      </c>
      <c r="C1945" s="4" t="s">
        <v>21</v>
      </c>
      <c r="D1945" s="4" t="s">
        <v>21</v>
      </c>
    </row>
    <row r="1946">
      <c r="A1946" s="5">
        <v>43601.33925925926</v>
      </c>
      <c r="B1946" s="4" t="s">
        <v>33</v>
      </c>
      <c r="C1946" s="4" t="s">
        <v>21</v>
      </c>
      <c r="D1946" s="4" t="s">
        <v>21</v>
      </c>
    </row>
    <row r="1947">
      <c r="A1947" s="5">
        <v>43602.475810185184</v>
      </c>
      <c r="B1947" s="4" t="s">
        <v>33</v>
      </c>
      <c r="C1947" s="4" t="s">
        <v>21</v>
      </c>
      <c r="D1947" s="4" t="s">
        <v>21</v>
      </c>
    </row>
    <row r="1948">
      <c r="A1948" s="5">
        <v>43608.47268518519</v>
      </c>
      <c r="B1948" s="4" t="s">
        <v>33</v>
      </c>
      <c r="C1948" s="4" t="s">
        <v>21</v>
      </c>
      <c r="D1948" s="4" t="s">
        <v>21</v>
      </c>
    </row>
    <row r="1949">
      <c r="A1949" s="5">
        <v>43620.45274305555</v>
      </c>
      <c r="B1949" s="4" t="s">
        <v>33</v>
      </c>
      <c r="C1949" s="4" t="s">
        <v>21</v>
      </c>
      <c r="D1949" s="4" t="s">
        <v>21</v>
      </c>
    </row>
    <row r="1950">
      <c r="A1950" s="5">
        <v>43640.522569444445</v>
      </c>
      <c r="B1950" s="4" t="s">
        <v>33</v>
      </c>
      <c r="C1950" s="4" t="s">
        <v>21</v>
      </c>
      <c r="D1950" s="4" t="s">
        <v>21</v>
      </c>
    </row>
    <row r="1951">
      <c r="A1951" s="5">
        <v>43489.00997685185</v>
      </c>
      <c r="B1951" s="4" t="s">
        <v>33</v>
      </c>
      <c r="C1951" s="4" t="s">
        <v>21</v>
      </c>
      <c r="D1951" s="4" t="s">
        <v>21</v>
      </c>
    </row>
    <row r="1952" hidden="1">
      <c r="A1952" s="5">
        <v>43514.2528125</v>
      </c>
      <c r="B1952" s="4" t="s">
        <v>35</v>
      </c>
      <c r="C1952" s="4" t="s">
        <v>21</v>
      </c>
      <c r="D1952" s="4" t="s">
        <v>21</v>
      </c>
    </row>
    <row r="1953">
      <c r="A1953" s="5">
        <v>43524.525555555556</v>
      </c>
      <c r="B1953" s="4" t="s">
        <v>33</v>
      </c>
      <c r="C1953" s="4" t="s">
        <v>21</v>
      </c>
      <c r="D1953" s="4" t="s">
        <v>21</v>
      </c>
    </row>
    <row r="1954">
      <c r="A1954" s="5">
        <v>43529.516493055555</v>
      </c>
      <c r="B1954" s="4" t="s">
        <v>33</v>
      </c>
      <c r="C1954" s="4" t="s">
        <v>21</v>
      </c>
      <c r="D1954" s="4" t="s">
        <v>21</v>
      </c>
    </row>
    <row r="1955" hidden="1">
      <c r="A1955" s="5">
        <v>43622.370300925926</v>
      </c>
      <c r="B1955" s="4" t="s">
        <v>35</v>
      </c>
      <c r="C1955" s="4" t="s">
        <v>21</v>
      </c>
      <c r="D1955" s="4" t="s">
        <v>21</v>
      </c>
    </row>
    <row r="1956">
      <c r="A1956" s="5">
        <v>43514.64519675926</v>
      </c>
      <c r="B1956" s="4" t="s">
        <v>33</v>
      </c>
      <c r="C1956" s="4" t="s">
        <v>21</v>
      </c>
      <c r="D1956" s="4" t="s">
        <v>21</v>
      </c>
    </row>
    <row r="1957">
      <c r="A1957" s="5">
        <v>43514.645462962966</v>
      </c>
      <c r="B1957" s="4" t="s">
        <v>33</v>
      </c>
      <c r="C1957" s="4" t="s">
        <v>21</v>
      </c>
      <c r="D1957" s="4" t="s">
        <v>21</v>
      </c>
    </row>
    <row r="1958">
      <c r="A1958" s="5">
        <v>43514.64569444444</v>
      </c>
      <c r="B1958" s="4" t="s">
        <v>33</v>
      </c>
      <c r="C1958" s="4" t="s">
        <v>21</v>
      </c>
      <c r="D1958" s="4" t="s">
        <v>21</v>
      </c>
    </row>
    <row r="1959">
      <c r="A1959" s="5">
        <v>43595.60710648148</v>
      </c>
      <c r="B1959" s="4" t="s">
        <v>33</v>
      </c>
      <c r="C1959" s="4" t="s">
        <v>21</v>
      </c>
      <c r="D1959" s="4" t="s">
        <v>21</v>
      </c>
    </row>
    <row r="1960">
      <c r="A1960" s="5">
        <v>43424.37563657408</v>
      </c>
      <c r="B1960" s="4" t="s">
        <v>33</v>
      </c>
      <c r="C1960" s="4" t="s">
        <v>21</v>
      </c>
      <c r="D1960" s="4" t="s">
        <v>21</v>
      </c>
    </row>
    <row r="1961">
      <c r="A1961" s="5">
        <v>43448.625127314815</v>
      </c>
      <c r="B1961" s="4" t="s">
        <v>33</v>
      </c>
      <c r="C1961" s="4" t="s">
        <v>21</v>
      </c>
      <c r="D1961" s="4" t="s">
        <v>21</v>
      </c>
    </row>
    <row r="1962">
      <c r="A1962" s="5">
        <v>43480.54194444444</v>
      </c>
      <c r="B1962" s="4" t="s">
        <v>33</v>
      </c>
      <c r="C1962" s="4" t="s">
        <v>21</v>
      </c>
      <c r="D1962" s="4" t="s">
        <v>21</v>
      </c>
    </row>
    <row r="1963">
      <c r="A1963" s="5">
        <v>43560.19337962963</v>
      </c>
      <c r="B1963" s="4" t="s">
        <v>33</v>
      </c>
      <c r="C1963" s="4" t="s">
        <v>21</v>
      </c>
      <c r="D1963" s="4" t="s">
        <v>21</v>
      </c>
    </row>
    <row r="1964">
      <c r="A1964" s="5">
        <v>43342.63538194444</v>
      </c>
      <c r="B1964" s="4" t="s">
        <v>33</v>
      </c>
      <c r="C1964" s="4" t="s">
        <v>21</v>
      </c>
      <c r="D1964" s="4" t="s">
        <v>21</v>
      </c>
    </row>
    <row r="1965" hidden="1">
      <c r="A1965" s="5">
        <v>43517.33435185185</v>
      </c>
      <c r="B1965" s="4" t="s">
        <v>35</v>
      </c>
      <c r="C1965" s="4" t="s">
        <v>21</v>
      </c>
      <c r="D1965" s="4" t="s">
        <v>21</v>
      </c>
    </row>
    <row r="1966">
      <c r="A1966" s="5">
        <v>43518.054756944446</v>
      </c>
      <c r="B1966" s="4" t="s">
        <v>33</v>
      </c>
      <c r="C1966" s="4" t="s">
        <v>21</v>
      </c>
      <c r="D1966" s="4" t="s">
        <v>21</v>
      </c>
    </row>
    <row r="1967">
      <c r="A1967" s="5">
        <v>43509.32164351852</v>
      </c>
      <c r="B1967" s="4" t="s">
        <v>33</v>
      </c>
      <c r="C1967" s="4" t="s">
        <v>21</v>
      </c>
      <c r="D1967" s="4" t="s">
        <v>21</v>
      </c>
    </row>
    <row r="1968">
      <c r="A1968" s="5">
        <v>43539.94293981481</v>
      </c>
      <c r="B1968" s="4" t="s">
        <v>33</v>
      </c>
      <c r="C1968" s="4" t="s">
        <v>21</v>
      </c>
      <c r="D1968" s="4" t="s">
        <v>21</v>
      </c>
    </row>
    <row r="1969">
      <c r="A1969" s="5">
        <v>43476.44480324074</v>
      </c>
      <c r="B1969" s="4" t="s">
        <v>33</v>
      </c>
      <c r="C1969" s="4" t="s">
        <v>21</v>
      </c>
      <c r="D1969" s="4" t="s">
        <v>21</v>
      </c>
    </row>
    <row r="1970">
      <c r="A1970" s="5">
        <v>43523.397731481484</v>
      </c>
      <c r="B1970" s="4" t="s">
        <v>33</v>
      </c>
      <c r="C1970" s="4" t="s">
        <v>21</v>
      </c>
      <c r="D1970" s="4" t="s">
        <v>21</v>
      </c>
    </row>
    <row r="1971" hidden="1">
      <c r="A1971" s="5">
        <v>43495.95805555556</v>
      </c>
      <c r="B1971" s="4" t="s">
        <v>35</v>
      </c>
      <c r="C1971" s="4" t="s">
        <v>21</v>
      </c>
      <c r="D1971" s="4" t="s">
        <v>21</v>
      </c>
    </row>
    <row r="1972" hidden="1">
      <c r="A1972" s="5">
        <v>43612.506689814814</v>
      </c>
      <c r="B1972" s="4" t="s">
        <v>35</v>
      </c>
      <c r="C1972" s="4" t="s">
        <v>21</v>
      </c>
      <c r="D1972" s="4" t="s">
        <v>21</v>
      </c>
    </row>
    <row r="1973">
      <c r="A1973" s="5">
        <v>43472.67387731482</v>
      </c>
      <c r="B1973" s="4" t="s">
        <v>33</v>
      </c>
      <c r="C1973" s="4" t="s">
        <v>21</v>
      </c>
      <c r="D1973" s="4" t="s">
        <v>21</v>
      </c>
    </row>
    <row r="1974">
      <c r="A1974" s="5">
        <v>43500.57915509259</v>
      </c>
      <c r="B1974" s="4" t="s">
        <v>33</v>
      </c>
      <c r="C1974" s="4" t="s">
        <v>21</v>
      </c>
      <c r="D1974" s="4" t="s">
        <v>23</v>
      </c>
    </row>
    <row r="1975">
      <c r="A1975" s="5">
        <v>43544.56296296296</v>
      </c>
      <c r="B1975" s="4" t="s">
        <v>33</v>
      </c>
      <c r="C1975" s="4" t="s">
        <v>21</v>
      </c>
      <c r="D1975" s="4" t="s">
        <v>21</v>
      </c>
    </row>
    <row r="1976">
      <c r="A1976" s="5">
        <v>43556.347766203704</v>
      </c>
      <c r="B1976" s="4" t="s">
        <v>33</v>
      </c>
      <c r="C1976" s="4" t="s">
        <v>21</v>
      </c>
      <c r="D1976" s="4" t="s">
        <v>21</v>
      </c>
    </row>
    <row r="1977">
      <c r="A1977" s="5">
        <v>43557.67390046296</v>
      </c>
      <c r="B1977" s="4" t="s">
        <v>33</v>
      </c>
      <c r="C1977" s="4" t="s">
        <v>21</v>
      </c>
      <c r="D1977" s="4" t="s">
        <v>21</v>
      </c>
    </row>
    <row r="1978">
      <c r="A1978" s="5">
        <v>43570.868425925924</v>
      </c>
      <c r="B1978" s="4" t="s">
        <v>33</v>
      </c>
      <c r="C1978" s="4" t="s">
        <v>21</v>
      </c>
      <c r="D1978" s="4" t="s">
        <v>21</v>
      </c>
    </row>
    <row r="1979" hidden="1">
      <c r="A1979" s="5">
        <v>43594.573333333334</v>
      </c>
      <c r="B1979" s="4" t="s">
        <v>36</v>
      </c>
      <c r="C1979" s="4" t="s">
        <v>21</v>
      </c>
      <c r="D1979" s="4" t="s">
        <v>21</v>
      </c>
    </row>
    <row r="1980">
      <c r="A1980" s="5">
        <v>43454.40181712963</v>
      </c>
      <c r="B1980" s="4" t="s">
        <v>33</v>
      </c>
      <c r="C1980" s="4" t="s">
        <v>21</v>
      </c>
      <c r="D1980" s="4" t="s">
        <v>21</v>
      </c>
    </row>
    <row r="1981">
      <c r="A1981" s="5">
        <v>43602.47583333333</v>
      </c>
      <c r="B1981" s="4" t="s">
        <v>33</v>
      </c>
      <c r="C1981" s="4" t="s">
        <v>21</v>
      </c>
      <c r="D1981" s="4" t="s">
        <v>21</v>
      </c>
    </row>
    <row r="1982">
      <c r="A1982" s="5">
        <v>43602.47589120371</v>
      </c>
      <c r="B1982" s="4" t="s">
        <v>33</v>
      </c>
      <c r="C1982" s="4" t="s">
        <v>21</v>
      </c>
      <c r="D1982" s="4" t="s">
        <v>21</v>
      </c>
    </row>
    <row r="1983">
      <c r="A1983" s="5">
        <v>43313.967256944445</v>
      </c>
      <c r="B1983" s="4" t="s">
        <v>33</v>
      </c>
      <c r="C1983" s="4" t="s">
        <v>21</v>
      </c>
      <c r="D1983" s="4" t="s">
        <v>21</v>
      </c>
    </row>
    <row r="1984">
      <c r="A1984" s="5">
        <v>43314.45210648148</v>
      </c>
      <c r="B1984" s="4" t="s">
        <v>33</v>
      </c>
      <c r="C1984" s="4" t="s">
        <v>21</v>
      </c>
      <c r="D1984" s="4" t="s">
        <v>21</v>
      </c>
    </row>
    <row r="1985">
      <c r="A1985" s="5">
        <v>43642.87556712963</v>
      </c>
      <c r="B1985" s="4" t="s">
        <v>33</v>
      </c>
      <c r="C1985" s="4" t="s">
        <v>21</v>
      </c>
      <c r="D1985" s="4" t="s">
        <v>21</v>
      </c>
    </row>
    <row r="1986">
      <c r="A1986" s="5">
        <v>43424.67502314815</v>
      </c>
      <c r="B1986" s="4" t="s">
        <v>33</v>
      </c>
      <c r="C1986" s="4" t="s">
        <v>21</v>
      </c>
      <c r="D1986" s="4" t="s">
        <v>21</v>
      </c>
    </row>
    <row r="1987">
      <c r="A1987" s="5">
        <v>43425.40226851852</v>
      </c>
      <c r="B1987" s="4" t="s">
        <v>33</v>
      </c>
      <c r="C1987" s="4" t="s">
        <v>21</v>
      </c>
      <c r="D1987" s="4" t="s">
        <v>21</v>
      </c>
    </row>
    <row r="1988">
      <c r="A1988" s="5">
        <v>43522.51296296297</v>
      </c>
      <c r="B1988" s="4" t="s">
        <v>33</v>
      </c>
      <c r="C1988" s="4" t="s">
        <v>21</v>
      </c>
      <c r="D1988" s="4" t="s">
        <v>21</v>
      </c>
    </row>
    <row r="1989" hidden="1">
      <c r="A1989" s="5">
        <v>43468.76392361111</v>
      </c>
      <c r="B1989" s="4" t="s">
        <v>35</v>
      </c>
      <c r="C1989" s="4" t="s">
        <v>23</v>
      </c>
      <c r="D1989" s="4" t="s">
        <v>21</v>
      </c>
    </row>
    <row r="1990">
      <c r="A1990" s="5">
        <v>43577.85768518518</v>
      </c>
      <c r="B1990" s="4" t="s">
        <v>33</v>
      </c>
      <c r="C1990" s="4" t="s">
        <v>21</v>
      </c>
      <c r="D1990" s="4" t="s">
        <v>21</v>
      </c>
    </row>
    <row r="1991">
      <c r="A1991" s="5">
        <v>43607.257581018515</v>
      </c>
      <c r="B1991" s="4" t="s">
        <v>33</v>
      </c>
      <c r="C1991" s="4" t="s">
        <v>21</v>
      </c>
      <c r="D1991" s="4" t="s">
        <v>21</v>
      </c>
    </row>
    <row r="1992">
      <c r="A1992" s="5">
        <v>43616.246296296296</v>
      </c>
      <c r="B1992" s="4" t="s">
        <v>33</v>
      </c>
      <c r="C1992" s="4" t="s">
        <v>21</v>
      </c>
      <c r="D1992" s="4" t="s">
        <v>21</v>
      </c>
    </row>
    <row r="1993">
      <c r="A1993" s="5">
        <v>43341.747141203705</v>
      </c>
      <c r="B1993" s="4" t="s">
        <v>33</v>
      </c>
      <c r="C1993" s="4" t="s">
        <v>21</v>
      </c>
      <c r="D1993" s="4" t="s">
        <v>21</v>
      </c>
    </row>
    <row r="1994" hidden="1">
      <c r="A1994" s="5">
        <v>43494.67690972222</v>
      </c>
      <c r="B1994" s="4" t="s">
        <v>35</v>
      </c>
      <c r="C1994" s="4" t="s">
        <v>21</v>
      </c>
      <c r="D1994" s="4" t="s">
        <v>21</v>
      </c>
    </row>
    <row r="1995">
      <c r="A1995" s="5">
        <v>43399.41762731481</v>
      </c>
      <c r="B1995" s="4" t="s">
        <v>33</v>
      </c>
      <c r="C1995" s="4" t="s">
        <v>21</v>
      </c>
      <c r="D1995" s="4" t="s">
        <v>21</v>
      </c>
    </row>
    <row r="1996">
      <c r="A1996" s="5">
        <v>43399.417962962965</v>
      </c>
      <c r="B1996" s="4" t="s">
        <v>33</v>
      </c>
      <c r="C1996" s="4" t="s">
        <v>21</v>
      </c>
      <c r="D1996" s="4" t="s">
        <v>21</v>
      </c>
    </row>
    <row r="1997">
      <c r="A1997" s="5">
        <v>43399.47986111111</v>
      </c>
      <c r="B1997" s="4" t="s">
        <v>33</v>
      </c>
      <c r="C1997" s="4" t="s">
        <v>21</v>
      </c>
      <c r="D1997" s="4" t="s">
        <v>21</v>
      </c>
    </row>
    <row r="1998">
      <c r="A1998" s="5">
        <v>43399.50761574074</v>
      </c>
      <c r="B1998" s="4" t="s">
        <v>33</v>
      </c>
      <c r="C1998" s="4" t="s">
        <v>21</v>
      </c>
      <c r="D1998" s="4" t="s">
        <v>21</v>
      </c>
    </row>
    <row r="1999">
      <c r="A1999" s="5">
        <v>43399.51457175926</v>
      </c>
      <c r="B1999" s="4" t="s">
        <v>33</v>
      </c>
      <c r="C1999" s="4" t="s">
        <v>21</v>
      </c>
      <c r="D1999" s="4" t="s">
        <v>21</v>
      </c>
    </row>
    <row r="2000">
      <c r="A2000" s="5">
        <v>43447.60135416667</v>
      </c>
      <c r="B2000" s="4" t="s">
        <v>33</v>
      </c>
      <c r="C2000" s="4" t="s">
        <v>21</v>
      </c>
      <c r="D2000" s="4" t="s">
        <v>21</v>
      </c>
    </row>
    <row r="2001">
      <c r="A2001" s="5">
        <v>43497.21417824074</v>
      </c>
      <c r="B2001" s="4" t="s">
        <v>33</v>
      </c>
      <c r="C2001" s="4" t="s">
        <v>21</v>
      </c>
      <c r="D2001" s="4" t="s">
        <v>21</v>
      </c>
    </row>
    <row r="2002">
      <c r="A2002" s="5">
        <v>43508.10108796296</v>
      </c>
      <c r="B2002" s="4" t="s">
        <v>33</v>
      </c>
      <c r="C2002" s="4" t="s">
        <v>21</v>
      </c>
      <c r="D2002" s="4" t="s">
        <v>21</v>
      </c>
    </row>
    <row r="2003">
      <c r="A2003" s="5">
        <v>43536.56996527778</v>
      </c>
      <c r="B2003" s="4" t="s">
        <v>33</v>
      </c>
      <c r="C2003" s="4" t="s">
        <v>21</v>
      </c>
      <c r="D2003" s="4" t="s">
        <v>21</v>
      </c>
    </row>
    <row r="2004">
      <c r="A2004" s="5">
        <v>43544.278078703705</v>
      </c>
      <c r="B2004" s="4" t="s">
        <v>33</v>
      </c>
      <c r="C2004" s="4" t="s">
        <v>21</v>
      </c>
      <c r="D2004" s="4" t="s">
        <v>21</v>
      </c>
    </row>
    <row r="2005">
      <c r="A2005" s="5">
        <v>43544.34071759259</v>
      </c>
      <c r="B2005" s="4" t="s">
        <v>33</v>
      </c>
      <c r="C2005" s="4" t="s">
        <v>21</v>
      </c>
      <c r="D2005" s="4" t="s">
        <v>21</v>
      </c>
    </row>
    <row r="2006">
      <c r="A2006" s="5">
        <v>43544.35487268519</v>
      </c>
      <c r="B2006" s="4" t="s">
        <v>33</v>
      </c>
      <c r="C2006" s="4" t="s">
        <v>21</v>
      </c>
      <c r="D2006" s="4" t="s">
        <v>21</v>
      </c>
    </row>
    <row r="2007">
      <c r="A2007" s="5">
        <v>43559.444710648146</v>
      </c>
      <c r="B2007" s="4" t="s">
        <v>33</v>
      </c>
      <c r="C2007" s="4" t="s">
        <v>21</v>
      </c>
      <c r="D2007" s="4" t="s">
        <v>21</v>
      </c>
    </row>
    <row r="2008">
      <c r="A2008" s="5">
        <v>43594.570381944446</v>
      </c>
      <c r="B2008" s="4" t="s">
        <v>33</v>
      </c>
      <c r="C2008" s="4" t="s">
        <v>21</v>
      </c>
      <c r="D2008" s="4" t="s">
        <v>21</v>
      </c>
    </row>
    <row r="2009">
      <c r="A2009" s="5">
        <v>43594.60505787037</v>
      </c>
      <c r="B2009" s="4" t="s">
        <v>33</v>
      </c>
      <c r="C2009" s="4" t="s">
        <v>21</v>
      </c>
      <c r="D2009" s="4" t="s">
        <v>21</v>
      </c>
    </row>
    <row r="2010">
      <c r="A2010" s="5">
        <v>43614.255381944444</v>
      </c>
      <c r="B2010" s="4" t="s">
        <v>33</v>
      </c>
      <c r="C2010" s="4" t="s">
        <v>21</v>
      </c>
      <c r="D2010" s="4" t="s">
        <v>21</v>
      </c>
    </row>
    <row r="2011">
      <c r="A2011" s="5">
        <v>43424.537094907406</v>
      </c>
      <c r="B2011" s="4" t="s">
        <v>33</v>
      </c>
      <c r="C2011" s="4" t="s">
        <v>21</v>
      </c>
      <c r="D2011" s="4" t="s">
        <v>21</v>
      </c>
    </row>
    <row r="2012">
      <c r="A2012" s="5">
        <v>43602.47586805555</v>
      </c>
      <c r="B2012" s="4" t="s">
        <v>33</v>
      </c>
      <c r="C2012" s="4" t="s">
        <v>21</v>
      </c>
      <c r="D2012" s="4" t="s">
        <v>21</v>
      </c>
    </row>
    <row r="2013">
      <c r="A2013" s="5">
        <v>43602.47592592592</v>
      </c>
      <c r="B2013" s="4" t="s">
        <v>33</v>
      </c>
      <c r="C2013" s="4" t="s">
        <v>21</v>
      </c>
      <c r="D2013" s="4" t="s">
        <v>21</v>
      </c>
    </row>
    <row r="2014">
      <c r="A2014" s="5">
        <v>43536.89880787037</v>
      </c>
      <c r="B2014" s="4" t="s">
        <v>33</v>
      </c>
      <c r="C2014" s="4" t="s">
        <v>21</v>
      </c>
      <c r="D2014" s="4" t="s">
        <v>21</v>
      </c>
    </row>
    <row r="2015">
      <c r="A2015" s="5">
        <v>43521.49133101852</v>
      </c>
      <c r="B2015" s="4" t="s">
        <v>33</v>
      </c>
      <c r="C2015" s="4" t="s">
        <v>21</v>
      </c>
      <c r="D2015" s="4" t="s">
        <v>21</v>
      </c>
    </row>
    <row r="2016">
      <c r="A2016" s="5">
        <v>43369.516875</v>
      </c>
      <c r="B2016" s="4" t="s">
        <v>33</v>
      </c>
      <c r="C2016" s="4" t="s">
        <v>21</v>
      </c>
      <c r="D2016" s="4" t="s">
        <v>21</v>
      </c>
    </row>
    <row r="2017" hidden="1">
      <c r="A2017" s="5">
        <v>43463.30204861111</v>
      </c>
      <c r="B2017" s="4" t="s">
        <v>35</v>
      </c>
      <c r="C2017" s="4" t="s">
        <v>23</v>
      </c>
      <c r="D2017" s="4" t="s">
        <v>21</v>
      </c>
    </row>
    <row r="2018">
      <c r="A2018" s="5">
        <v>43487.29237268519</v>
      </c>
      <c r="B2018" s="4" t="s">
        <v>33</v>
      </c>
      <c r="C2018" s="4" t="s">
        <v>21</v>
      </c>
      <c r="D2018" s="4" t="s">
        <v>21</v>
      </c>
    </row>
    <row r="2019">
      <c r="A2019" s="5">
        <v>43509.32094907408</v>
      </c>
      <c r="B2019" s="4" t="s">
        <v>33</v>
      </c>
      <c r="C2019" s="4" t="s">
        <v>21</v>
      </c>
      <c r="D2019" s="4" t="s">
        <v>21</v>
      </c>
    </row>
    <row r="2020">
      <c r="A2020" s="5">
        <v>43523.497928240744</v>
      </c>
      <c r="B2020" s="4" t="s">
        <v>33</v>
      </c>
      <c r="C2020" s="4" t="s">
        <v>21</v>
      </c>
      <c r="D2020" s="4" t="s">
        <v>21</v>
      </c>
    </row>
    <row r="2021">
      <c r="A2021" s="5">
        <v>43524.51509259259</v>
      </c>
      <c r="B2021" s="4" t="s">
        <v>33</v>
      </c>
      <c r="C2021" s="4" t="s">
        <v>21</v>
      </c>
      <c r="D2021" s="4" t="s">
        <v>21</v>
      </c>
    </row>
    <row r="2022">
      <c r="A2022" s="5">
        <v>43524.51982638889</v>
      </c>
      <c r="B2022" s="4" t="s">
        <v>33</v>
      </c>
      <c r="C2022" s="4" t="s">
        <v>21</v>
      </c>
      <c r="D2022" s="4" t="s">
        <v>21</v>
      </c>
    </row>
    <row r="2023">
      <c r="A2023" s="5">
        <v>43527.40185185185</v>
      </c>
      <c r="B2023" s="4" t="s">
        <v>33</v>
      </c>
      <c r="C2023" s="4" t="s">
        <v>21</v>
      </c>
      <c r="D2023" s="4" t="s">
        <v>21</v>
      </c>
    </row>
    <row r="2024">
      <c r="A2024" s="5">
        <v>43537.3215625</v>
      </c>
      <c r="B2024" s="4" t="s">
        <v>33</v>
      </c>
      <c r="C2024" s="4" t="s">
        <v>21</v>
      </c>
      <c r="D2024" s="4" t="s">
        <v>21</v>
      </c>
    </row>
    <row r="2025">
      <c r="A2025" s="5">
        <v>43552.54736111111</v>
      </c>
      <c r="B2025" s="4" t="s">
        <v>33</v>
      </c>
      <c r="C2025" s="4" t="s">
        <v>21</v>
      </c>
      <c r="D2025" s="4" t="s">
        <v>21</v>
      </c>
    </row>
    <row r="2026" hidden="1">
      <c r="A2026" s="5">
        <v>43609.3690625</v>
      </c>
      <c r="B2026" s="4" t="s">
        <v>35</v>
      </c>
      <c r="C2026" s="4" t="s">
        <v>21</v>
      </c>
      <c r="D2026" s="4" t="s">
        <v>21</v>
      </c>
    </row>
    <row r="2027">
      <c r="A2027" s="5">
        <v>43620.45180555555</v>
      </c>
      <c r="B2027" s="4" t="s">
        <v>33</v>
      </c>
      <c r="C2027" s="4" t="s">
        <v>21</v>
      </c>
      <c r="D2027" s="4" t="s">
        <v>21</v>
      </c>
    </row>
    <row r="2028">
      <c r="A2028" s="5">
        <v>43620.454097222224</v>
      </c>
      <c r="B2028" s="4" t="s">
        <v>33</v>
      </c>
      <c r="C2028" s="4" t="s">
        <v>21</v>
      </c>
      <c r="D2028" s="4" t="s">
        <v>21</v>
      </c>
    </row>
    <row r="2029" hidden="1">
      <c r="A2029" s="5">
        <v>43461.076585648145</v>
      </c>
      <c r="B2029" s="4" t="s">
        <v>35</v>
      </c>
      <c r="C2029" s="4" t="s">
        <v>23</v>
      </c>
      <c r="D2029" s="4" t="s">
        <v>21</v>
      </c>
    </row>
    <row r="2030">
      <c r="A2030" s="5">
        <v>43488.41813657407</v>
      </c>
      <c r="B2030" s="4" t="s">
        <v>33</v>
      </c>
      <c r="C2030" s="4" t="s">
        <v>21</v>
      </c>
      <c r="D2030" s="4" t="s">
        <v>21</v>
      </c>
    </row>
    <row r="2031" hidden="1">
      <c r="A2031" s="5">
        <v>43488.90200231481</v>
      </c>
      <c r="B2031" s="4" t="s">
        <v>35</v>
      </c>
      <c r="C2031" s="4" t="s">
        <v>21</v>
      </c>
      <c r="D2031" s="4" t="s">
        <v>21</v>
      </c>
    </row>
    <row r="2032">
      <c r="A2032" s="5">
        <v>43640.78686342593</v>
      </c>
      <c r="B2032" s="4" t="s">
        <v>33</v>
      </c>
      <c r="C2032" s="4" t="s">
        <v>21</v>
      </c>
      <c r="D2032" s="4" t="s">
        <v>21</v>
      </c>
    </row>
    <row r="2033">
      <c r="A2033" s="5">
        <v>43413.48637731482</v>
      </c>
      <c r="B2033" s="4" t="s">
        <v>33</v>
      </c>
      <c r="C2033" s="4" t="s">
        <v>21</v>
      </c>
      <c r="D2033" s="4" t="s">
        <v>21</v>
      </c>
    </row>
    <row r="2034">
      <c r="A2034" s="5">
        <v>43447.58484953704</v>
      </c>
      <c r="B2034" s="4" t="s">
        <v>33</v>
      </c>
      <c r="C2034" s="4" t="s">
        <v>21</v>
      </c>
      <c r="D2034" s="4" t="s">
        <v>21</v>
      </c>
    </row>
    <row r="2035">
      <c r="A2035" s="5">
        <v>43481.50037037037</v>
      </c>
      <c r="B2035" s="4" t="s">
        <v>33</v>
      </c>
      <c r="C2035" s="4" t="s">
        <v>21</v>
      </c>
      <c r="D2035" s="4" t="s">
        <v>21</v>
      </c>
    </row>
    <row r="2036">
      <c r="A2036" s="5">
        <v>43558.61163194444</v>
      </c>
      <c r="B2036" s="4" t="s">
        <v>33</v>
      </c>
      <c r="C2036" s="4" t="s">
        <v>21</v>
      </c>
      <c r="D2036" s="4" t="s">
        <v>21</v>
      </c>
    </row>
    <row r="2037">
      <c r="A2037" s="5">
        <v>43591.67806712963</v>
      </c>
      <c r="B2037" s="4" t="s">
        <v>33</v>
      </c>
      <c r="C2037" s="4" t="s">
        <v>21</v>
      </c>
      <c r="D2037" s="4" t="s">
        <v>21</v>
      </c>
    </row>
    <row r="2038">
      <c r="A2038" s="5">
        <v>43557.25666666667</v>
      </c>
      <c r="B2038" s="4" t="s">
        <v>33</v>
      </c>
      <c r="C2038" s="4" t="s">
        <v>21</v>
      </c>
      <c r="D2038" s="4" t="s">
        <v>21</v>
      </c>
    </row>
    <row r="2039">
      <c r="A2039" s="5">
        <v>43454.33277777778</v>
      </c>
      <c r="B2039" s="4" t="s">
        <v>33</v>
      </c>
      <c r="C2039" s="4" t="s">
        <v>21</v>
      </c>
      <c r="D2039" s="4" t="s">
        <v>21</v>
      </c>
    </row>
    <row r="2040">
      <c r="A2040" s="5">
        <v>43433.42685185185</v>
      </c>
      <c r="B2040" s="4" t="s">
        <v>33</v>
      </c>
      <c r="C2040" s="4" t="s">
        <v>21</v>
      </c>
      <c r="D2040" s="4" t="s">
        <v>21</v>
      </c>
    </row>
    <row r="2041">
      <c r="A2041" s="5">
        <v>43434.60957175926</v>
      </c>
      <c r="B2041" s="4" t="s">
        <v>33</v>
      </c>
      <c r="C2041" s="4" t="s">
        <v>21</v>
      </c>
      <c r="D2041" s="4" t="s">
        <v>21</v>
      </c>
    </row>
    <row r="2042">
      <c r="A2042" s="5">
        <v>43434.66255787037</v>
      </c>
      <c r="B2042" s="4" t="s">
        <v>33</v>
      </c>
      <c r="C2042" s="4" t="s">
        <v>21</v>
      </c>
      <c r="D2042" s="4" t="s">
        <v>21</v>
      </c>
    </row>
    <row r="2043">
      <c r="A2043" s="5">
        <v>43467.528287037036</v>
      </c>
      <c r="B2043" s="4" t="s">
        <v>33</v>
      </c>
      <c r="C2043" s="4" t="s">
        <v>23</v>
      </c>
      <c r="D2043" s="4" t="s">
        <v>21</v>
      </c>
    </row>
    <row r="2044" hidden="1">
      <c r="A2044" s="5">
        <v>43519.38376157408</v>
      </c>
      <c r="B2044" s="4" t="s">
        <v>35</v>
      </c>
      <c r="C2044" s="4" t="s">
        <v>21</v>
      </c>
      <c r="D2044" s="4" t="s">
        <v>21</v>
      </c>
    </row>
    <row r="2045">
      <c r="A2045" s="5">
        <v>43572.641238425924</v>
      </c>
      <c r="B2045" s="4" t="s">
        <v>33</v>
      </c>
      <c r="C2045" s="4" t="s">
        <v>21</v>
      </c>
      <c r="D2045" s="4" t="s">
        <v>21</v>
      </c>
    </row>
    <row r="2046">
      <c r="A2046" s="5">
        <v>43579.63434027778</v>
      </c>
      <c r="B2046" s="4" t="s">
        <v>33</v>
      </c>
      <c r="C2046" s="4" t="s">
        <v>21</v>
      </c>
      <c r="D2046" s="4" t="s">
        <v>21</v>
      </c>
    </row>
    <row r="2047">
      <c r="A2047" s="5">
        <v>43445.293020833335</v>
      </c>
      <c r="B2047" s="4" t="s">
        <v>33</v>
      </c>
      <c r="C2047" s="4" t="s">
        <v>21</v>
      </c>
      <c r="D2047" s="4" t="s">
        <v>21</v>
      </c>
    </row>
    <row r="2048">
      <c r="A2048" s="5">
        <v>43599.37798611111</v>
      </c>
      <c r="B2048" s="4" t="s">
        <v>33</v>
      </c>
      <c r="C2048" s="4" t="s">
        <v>21</v>
      </c>
      <c r="D2048" s="4" t="s">
        <v>21</v>
      </c>
    </row>
    <row r="2049">
      <c r="A2049" s="5">
        <v>43486.53221064815</v>
      </c>
      <c r="B2049" s="4" t="s">
        <v>33</v>
      </c>
      <c r="C2049" s="4" t="s">
        <v>21</v>
      </c>
      <c r="D2049" s="4" t="s">
        <v>21</v>
      </c>
    </row>
    <row r="2050">
      <c r="A2050" s="5">
        <v>43413.44131944444</v>
      </c>
      <c r="B2050" s="4" t="s">
        <v>33</v>
      </c>
      <c r="C2050" s="4" t="s">
        <v>21</v>
      </c>
      <c r="D2050" s="4" t="s">
        <v>21</v>
      </c>
    </row>
    <row r="2051">
      <c r="A2051" s="5">
        <v>43446.33709490741</v>
      </c>
      <c r="B2051" s="4" t="s">
        <v>33</v>
      </c>
      <c r="C2051" s="4" t="s">
        <v>21</v>
      </c>
      <c r="D2051" s="4" t="s">
        <v>21</v>
      </c>
    </row>
    <row r="2052">
      <c r="A2052" s="5">
        <v>43522.443391203706</v>
      </c>
      <c r="B2052" s="4" t="s">
        <v>33</v>
      </c>
      <c r="C2052" s="4" t="s">
        <v>21</v>
      </c>
      <c r="D2052" s="4" t="s">
        <v>21</v>
      </c>
    </row>
    <row r="2053">
      <c r="A2053" s="5">
        <v>43530.66018518519</v>
      </c>
      <c r="B2053" s="4" t="s">
        <v>33</v>
      </c>
      <c r="C2053" s="4" t="s">
        <v>21</v>
      </c>
      <c r="D2053" s="4" t="s">
        <v>21</v>
      </c>
    </row>
    <row r="2054">
      <c r="A2054" s="5">
        <v>43481.67951388889</v>
      </c>
      <c r="B2054" s="4" t="s">
        <v>33</v>
      </c>
      <c r="C2054" s="4" t="s">
        <v>21</v>
      </c>
      <c r="D2054" s="4" t="s">
        <v>21</v>
      </c>
    </row>
    <row r="2055">
      <c r="A2055" s="5">
        <v>43447.601793981485</v>
      </c>
      <c r="B2055" s="4" t="s">
        <v>33</v>
      </c>
      <c r="C2055" s="4" t="s">
        <v>21</v>
      </c>
      <c r="D2055" s="4" t="s">
        <v>21</v>
      </c>
    </row>
    <row r="2056">
      <c r="A2056" s="5">
        <v>43588.493483796294</v>
      </c>
      <c r="B2056" s="4" t="s">
        <v>33</v>
      </c>
      <c r="C2056" s="4" t="s">
        <v>21</v>
      </c>
      <c r="D2056" s="4" t="s">
        <v>21</v>
      </c>
    </row>
    <row r="2057">
      <c r="A2057" s="5">
        <v>43613.30297453704</v>
      </c>
      <c r="B2057" s="4" t="s">
        <v>33</v>
      </c>
      <c r="C2057" s="4" t="s">
        <v>21</v>
      </c>
      <c r="D2057" s="4" t="s">
        <v>21</v>
      </c>
    </row>
    <row r="2058">
      <c r="A2058" s="5">
        <v>43419.46734953704</v>
      </c>
      <c r="B2058" s="4" t="s">
        <v>33</v>
      </c>
      <c r="C2058" s="4" t="s">
        <v>21</v>
      </c>
      <c r="D2058" s="4" t="s">
        <v>21</v>
      </c>
    </row>
    <row r="2059">
      <c r="A2059" s="5">
        <v>43477.736759259256</v>
      </c>
      <c r="B2059" s="4" t="s">
        <v>33</v>
      </c>
      <c r="C2059" s="4" t="s">
        <v>21</v>
      </c>
      <c r="D2059" s="4" t="s">
        <v>21</v>
      </c>
    </row>
    <row r="2060">
      <c r="A2060" s="5">
        <v>43543.76789351852</v>
      </c>
      <c r="B2060" s="4" t="s">
        <v>33</v>
      </c>
      <c r="C2060" s="4" t="s">
        <v>21</v>
      </c>
      <c r="D2060" s="4" t="s">
        <v>21</v>
      </c>
    </row>
    <row r="2061">
      <c r="A2061" s="5">
        <v>43481.11754629629</v>
      </c>
      <c r="B2061" s="4" t="s">
        <v>33</v>
      </c>
      <c r="C2061" s="4" t="s">
        <v>21</v>
      </c>
      <c r="D2061" s="4" t="s">
        <v>21</v>
      </c>
    </row>
    <row r="2062">
      <c r="A2062" s="5">
        <v>43452.62935185185</v>
      </c>
      <c r="B2062" s="4" t="s">
        <v>33</v>
      </c>
      <c r="C2062" s="4" t="s">
        <v>21</v>
      </c>
      <c r="D2062" s="4" t="s">
        <v>21</v>
      </c>
    </row>
    <row r="2063">
      <c r="A2063" s="5">
        <v>43452.67466435185</v>
      </c>
      <c r="B2063" s="4" t="s">
        <v>33</v>
      </c>
      <c r="C2063" s="4" t="s">
        <v>21</v>
      </c>
      <c r="D2063" s="4" t="s">
        <v>21</v>
      </c>
    </row>
    <row r="2064">
      <c r="A2064" s="5">
        <v>43452.67673611111</v>
      </c>
      <c r="B2064" s="4" t="s">
        <v>33</v>
      </c>
      <c r="C2064" s="4" t="s">
        <v>21</v>
      </c>
      <c r="D2064" s="4" t="s">
        <v>21</v>
      </c>
    </row>
    <row r="2065">
      <c r="A2065" s="5">
        <v>43452.68054398148</v>
      </c>
      <c r="B2065" s="4" t="s">
        <v>33</v>
      </c>
      <c r="C2065" s="4" t="s">
        <v>21</v>
      </c>
      <c r="D2065" s="4" t="s">
        <v>21</v>
      </c>
    </row>
    <row r="2066">
      <c r="A2066" s="5">
        <v>43455.719872685186</v>
      </c>
      <c r="B2066" s="4" t="s">
        <v>33</v>
      </c>
      <c r="C2066" s="4" t="s">
        <v>21</v>
      </c>
      <c r="D2066" s="4" t="s">
        <v>21</v>
      </c>
    </row>
    <row r="2067">
      <c r="A2067" s="5">
        <v>43493.52034722222</v>
      </c>
      <c r="B2067" s="4" t="s">
        <v>33</v>
      </c>
      <c r="C2067" s="4" t="s">
        <v>21</v>
      </c>
      <c r="D2067" s="4" t="s">
        <v>21</v>
      </c>
    </row>
    <row r="2068">
      <c r="A2068" s="5">
        <v>43536.48465277778</v>
      </c>
      <c r="B2068" s="4" t="s">
        <v>33</v>
      </c>
      <c r="C2068" s="4" t="s">
        <v>21</v>
      </c>
      <c r="D2068" s="4" t="s">
        <v>21</v>
      </c>
    </row>
    <row r="2069">
      <c r="A2069" s="5">
        <v>43455.34905092593</v>
      </c>
      <c r="B2069" s="4" t="s">
        <v>33</v>
      </c>
      <c r="C2069" s="4" t="s">
        <v>21</v>
      </c>
      <c r="D2069" s="4" t="s">
        <v>21</v>
      </c>
    </row>
    <row r="2070">
      <c r="A2070" s="5">
        <v>43579.67266203704</v>
      </c>
      <c r="B2070" s="4" t="s">
        <v>33</v>
      </c>
      <c r="C2070" s="4" t="s">
        <v>21</v>
      </c>
      <c r="D2070" s="4" t="s">
        <v>21</v>
      </c>
    </row>
    <row r="2071">
      <c r="A2071" s="5">
        <v>43487.438784722224</v>
      </c>
      <c r="B2071" s="4" t="s">
        <v>33</v>
      </c>
      <c r="C2071" s="4" t="s">
        <v>21</v>
      </c>
      <c r="D2071" s="4" t="s">
        <v>21</v>
      </c>
    </row>
    <row r="2072">
      <c r="A2072" s="5">
        <v>43518.49890046296</v>
      </c>
      <c r="B2072" s="4" t="s">
        <v>33</v>
      </c>
      <c r="C2072" s="4" t="s">
        <v>21</v>
      </c>
      <c r="D2072" s="4" t="s">
        <v>21</v>
      </c>
    </row>
    <row r="2073">
      <c r="A2073" s="5">
        <v>43619.53689814815</v>
      </c>
      <c r="B2073" s="4" t="s">
        <v>33</v>
      </c>
      <c r="C2073" s="4" t="s">
        <v>21</v>
      </c>
      <c r="D2073" s="4" t="s">
        <v>21</v>
      </c>
    </row>
    <row r="2074">
      <c r="A2074" s="5">
        <v>43461.321493055555</v>
      </c>
      <c r="B2074" s="4" t="s">
        <v>33</v>
      </c>
      <c r="C2074" s="4" t="s">
        <v>23</v>
      </c>
      <c r="D2074" s="4" t="s">
        <v>21</v>
      </c>
    </row>
    <row r="2075" hidden="1">
      <c r="A2075" s="5">
        <v>43508.86200231482</v>
      </c>
      <c r="B2075" s="4" t="s">
        <v>35</v>
      </c>
      <c r="C2075" s="4" t="s">
        <v>21</v>
      </c>
      <c r="D2075" s="4" t="s">
        <v>21</v>
      </c>
    </row>
    <row r="2076">
      <c r="A2076" s="5">
        <v>43567.633414351854</v>
      </c>
      <c r="B2076" s="4" t="s">
        <v>33</v>
      </c>
      <c r="C2076" s="4" t="s">
        <v>21</v>
      </c>
      <c r="D2076" s="4" t="s">
        <v>21</v>
      </c>
    </row>
    <row r="2077">
      <c r="A2077" s="5">
        <v>43321.23987268518</v>
      </c>
      <c r="B2077" s="4" t="s">
        <v>33</v>
      </c>
      <c r="C2077" s="4" t="s">
        <v>21</v>
      </c>
      <c r="D2077" s="4" t="s">
        <v>21</v>
      </c>
    </row>
    <row r="2078">
      <c r="A2078" s="5">
        <v>43565.471863425926</v>
      </c>
      <c r="B2078" s="4" t="s">
        <v>33</v>
      </c>
      <c r="C2078" s="4" t="s">
        <v>21</v>
      </c>
      <c r="D2078" s="4" t="s">
        <v>21</v>
      </c>
    </row>
    <row r="2079">
      <c r="A2079" s="5">
        <v>43455.33555555555</v>
      </c>
      <c r="B2079" s="4" t="s">
        <v>33</v>
      </c>
      <c r="C2079" s="4" t="s">
        <v>21</v>
      </c>
      <c r="D2079" s="4" t="s">
        <v>21</v>
      </c>
    </row>
    <row r="2080">
      <c r="A2080" s="5">
        <v>43523.287766203706</v>
      </c>
      <c r="B2080" s="4" t="s">
        <v>33</v>
      </c>
      <c r="C2080" s="4" t="s">
        <v>21</v>
      </c>
      <c r="D2080" s="4" t="s">
        <v>21</v>
      </c>
    </row>
    <row r="2081">
      <c r="A2081" s="5">
        <v>43557.49638888889</v>
      </c>
      <c r="B2081" s="4" t="s">
        <v>33</v>
      </c>
      <c r="C2081" s="4" t="s">
        <v>21</v>
      </c>
      <c r="D2081" s="4" t="s">
        <v>21</v>
      </c>
    </row>
    <row r="2082">
      <c r="A2082" s="5">
        <v>43599.14575231481</v>
      </c>
      <c r="B2082" s="4" t="s">
        <v>33</v>
      </c>
      <c r="C2082" s="4" t="s">
        <v>21</v>
      </c>
      <c r="D2082" s="4" t="s">
        <v>21</v>
      </c>
    </row>
    <row r="2083">
      <c r="A2083" s="5">
        <v>43452.69275462963</v>
      </c>
      <c r="B2083" s="4" t="s">
        <v>33</v>
      </c>
      <c r="C2083" s="4" t="s">
        <v>21</v>
      </c>
      <c r="D2083" s="4" t="s">
        <v>21</v>
      </c>
    </row>
    <row r="2084">
      <c r="A2084" s="5">
        <v>43403.55467592592</v>
      </c>
      <c r="B2084" s="4" t="s">
        <v>33</v>
      </c>
      <c r="C2084" s="4" t="s">
        <v>21</v>
      </c>
      <c r="D2084" s="4" t="s">
        <v>21</v>
      </c>
    </row>
    <row r="2085">
      <c r="A2085" s="5">
        <v>43523.346284722225</v>
      </c>
      <c r="B2085" s="4" t="s">
        <v>33</v>
      </c>
      <c r="C2085" s="4" t="s">
        <v>21</v>
      </c>
      <c r="D2085" s="4" t="s">
        <v>21</v>
      </c>
    </row>
    <row r="2086">
      <c r="A2086" s="5">
        <v>43455.619421296295</v>
      </c>
      <c r="B2086" s="4" t="s">
        <v>33</v>
      </c>
      <c r="C2086" s="4" t="s">
        <v>21</v>
      </c>
      <c r="D2086" s="4" t="s">
        <v>21</v>
      </c>
    </row>
    <row r="2087">
      <c r="A2087" s="5">
        <v>43542.28037037037</v>
      </c>
      <c r="B2087" s="4" t="s">
        <v>33</v>
      </c>
      <c r="C2087" s="4" t="s">
        <v>21</v>
      </c>
      <c r="D2087" s="4" t="s">
        <v>21</v>
      </c>
    </row>
    <row r="2088">
      <c r="A2088" s="5">
        <v>43452.62048611111</v>
      </c>
      <c r="B2088" s="4" t="s">
        <v>33</v>
      </c>
      <c r="C2088" s="4" t="s">
        <v>21</v>
      </c>
      <c r="D2088" s="4" t="s">
        <v>21</v>
      </c>
    </row>
    <row r="2089">
      <c r="A2089" s="5">
        <v>43452.62459490741</v>
      </c>
      <c r="B2089" s="4" t="s">
        <v>33</v>
      </c>
      <c r="C2089" s="4" t="s">
        <v>21</v>
      </c>
      <c r="D2089" s="4" t="s">
        <v>21</v>
      </c>
    </row>
    <row r="2090">
      <c r="A2090" s="5">
        <v>43452.62708333333</v>
      </c>
      <c r="B2090" s="4" t="s">
        <v>33</v>
      </c>
      <c r="C2090" s="4" t="s">
        <v>21</v>
      </c>
      <c r="D2090" s="4" t="s">
        <v>21</v>
      </c>
    </row>
    <row r="2091">
      <c r="A2091" s="5">
        <v>43452.631898148145</v>
      </c>
      <c r="B2091" s="4" t="s">
        <v>33</v>
      </c>
      <c r="C2091" s="4" t="s">
        <v>21</v>
      </c>
      <c r="D2091" s="4" t="s">
        <v>21</v>
      </c>
    </row>
    <row r="2092">
      <c r="A2092" s="5">
        <v>43452.67822916667</v>
      </c>
      <c r="B2092" s="4" t="s">
        <v>33</v>
      </c>
      <c r="C2092" s="4" t="s">
        <v>21</v>
      </c>
      <c r="D2092" s="4" t="s">
        <v>21</v>
      </c>
    </row>
    <row r="2093">
      <c r="A2093" s="5">
        <v>43452.681597222225</v>
      </c>
      <c r="B2093" s="4" t="s">
        <v>33</v>
      </c>
      <c r="C2093" s="4" t="s">
        <v>21</v>
      </c>
      <c r="D2093" s="4" t="s">
        <v>21</v>
      </c>
    </row>
    <row r="2094">
      <c r="A2094" s="5">
        <v>43452.68350694444</v>
      </c>
      <c r="B2094" s="4" t="s">
        <v>33</v>
      </c>
      <c r="C2094" s="4" t="s">
        <v>21</v>
      </c>
      <c r="D2094" s="4" t="s">
        <v>21</v>
      </c>
    </row>
    <row r="2095">
      <c r="A2095" s="5">
        <v>43452.68672453704</v>
      </c>
      <c r="B2095" s="4" t="s">
        <v>33</v>
      </c>
      <c r="C2095" s="4" t="s">
        <v>21</v>
      </c>
      <c r="D2095" s="4" t="s">
        <v>21</v>
      </c>
    </row>
    <row r="2096">
      <c r="A2096" s="5">
        <v>43482.29430555556</v>
      </c>
      <c r="B2096" s="4" t="s">
        <v>33</v>
      </c>
      <c r="C2096" s="4" t="s">
        <v>21</v>
      </c>
      <c r="D2096" s="4" t="s">
        <v>21</v>
      </c>
    </row>
    <row r="2097">
      <c r="A2097" s="5">
        <v>43497.13520833333</v>
      </c>
      <c r="B2097" s="4" t="s">
        <v>33</v>
      </c>
      <c r="C2097" s="4" t="s">
        <v>21</v>
      </c>
      <c r="D2097" s="4" t="s">
        <v>21</v>
      </c>
    </row>
    <row r="2098">
      <c r="A2098" s="5">
        <v>43599.14818287037</v>
      </c>
      <c r="B2098" s="4" t="s">
        <v>33</v>
      </c>
      <c r="C2098" s="4" t="s">
        <v>21</v>
      </c>
      <c r="D2098" s="4" t="s">
        <v>21</v>
      </c>
    </row>
    <row r="2099">
      <c r="A2099" s="5">
        <v>43390.50717592592</v>
      </c>
      <c r="B2099" s="4" t="s">
        <v>33</v>
      </c>
      <c r="C2099" s="4" t="s">
        <v>21</v>
      </c>
      <c r="D2099" s="4" t="s">
        <v>21</v>
      </c>
    </row>
    <row r="2100">
      <c r="A2100" s="5">
        <v>43516.75331018519</v>
      </c>
      <c r="B2100" s="4" t="s">
        <v>33</v>
      </c>
      <c r="C2100" s="4" t="s">
        <v>21</v>
      </c>
      <c r="D2100" s="4" t="s">
        <v>21</v>
      </c>
    </row>
    <row r="2101">
      <c r="A2101" s="5">
        <v>43539.60773148148</v>
      </c>
      <c r="B2101" s="4" t="s">
        <v>33</v>
      </c>
      <c r="C2101" s="4" t="s">
        <v>21</v>
      </c>
      <c r="D2101" s="4" t="s">
        <v>21</v>
      </c>
    </row>
    <row r="2102">
      <c r="A2102" s="5">
        <v>43321.77228009259</v>
      </c>
      <c r="B2102" s="4" t="s">
        <v>33</v>
      </c>
      <c r="C2102" s="4" t="s">
        <v>21</v>
      </c>
      <c r="D2102" s="4" t="s">
        <v>21</v>
      </c>
    </row>
    <row r="2103">
      <c r="A2103" s="5">
        <v>43321.774189814816</v>
      </c>
      <c r="B2103" s="4" t="s">
        <v>33</v>
      </c>
      <c r="C2103" s="4" t="s">
        <v>21</v>
      </c>
      <c r="D2103" s="4" t="s">
        <v>21</v>
      </c>
    </row>
    <row r="2104">
      <c r="A2104" s="5">
        <v>43321.77777777778</v>
      </c>
      <c r="B2104" s="4" t="s">
        <v>33</v>
      </c>
      <c r="C2104" s="4" t="s">
        <v>21</v>
      </c>
      <c r="D2104" s="4" t="s">
        <v>21</v>
      </c>
    </row>
    <row r="2105">
      <c r="A2105" s="5">
        <v>43321.85681712963</v>
      </c>
      <c r="B2105" s="4" t="s">
        <v>33</v>
      </c>
      <c r="C2105" s="4" t="s">
        <v>21</v>
      </c>
      <c r="D2105" s="4" t="s">
        <v>21</v>
      </c>
    </row>
    <row r="2106">
      <c r="A2106" s="5">
        <v>43321.86133101852</v>
      </c>
      <c r="B2106" s="4" t="s">
        <v>33</v>
      </c>
      <c r="C2106" s="4" t="s">
        <v>21</v>
      </c>
      <c r="D2106" s="4" t="s">
        <v>21</v>
      </c>
    </row>
    <row r="2107">
      <c r="A2107" s="5">
        <v>43325.75960648148</v>
      </c>
      <c r="B2107" s="4" t="s">
        <v>33</v>
      </c>
      <c r="C2107" s="4" t="s">
        <v>21</v>
      </c>
      <c r="D2107" s="4" t="s">
        <v>21</v>
      </c>
    </row>
    <row r="2108">
      <c r="A2108" s="5">
        <v>43325.7665162037</v>
      </c>
      <c r="B2108" s="4" t="s">
        <v>33</v>
      </c>
      <c r="C2108" s="4" t="s">
        <v>21</v>
      </c>
      <c r="D2108" s="4" t="s">
        <v>21</v>
      </c>
    </row>
    <row r="2109">
      <c r="A2109" s="5">
        <v>43389.37111111111</v>
      </c>
      <c r="B2109" s="4" t="s">
        <v>33</v>
      </c>
      <c r="C2109" s="4" t="s">
        <v>21</v>
      </c>
      <c r="D2109" s="4" t="s">
        <v>21</v>
      </c>
    </row>
    <row r="2110">
      <c r="A2110" s="5">
        <v>43553.45746527778</v>
      </c>
      <c r="B2110" s="4" t="s">
        <v>33</v>
      </c>
      <c r="C2110" s="4" t="s">
        <v>21</v>
      </c>
      <c r="D2110" s="4" t="s">
        <v>21</v>
      </c>
    </row>
    <row r="2111">
      <c r="A2111" s="5">
        <v>43529.71346064815</v>
      </c>
      <c r="B2111" s="4" t="s">
        <v>33</v>
      </c>
      <c r="C2111" s="4" t="s">
        <v>21</v>
      </c>
      <c r="D2111" s="4" t="s">
        <v>21</v>
      </c>
    </row>
    <row r="2112" hidden="1">
      <c r="A2112" s="5">
        <v>43621.38511574074</v>
      </c>
      <c r="B2112" s="4" t="s">
        <v>35</v>
      </c>
      <c r="C2112" s="4" t="s">
        <v>21</v>
      </c>
      <c r="D2112" s="4" t="s">
        <v>21</v>
      </c>
    </row>
    <row r="2113" hidden="1">
      <c r="A2113" s="5">
        <v>43621.38599537037</v>
      </c>
      <c r="B2113" s="4" t="s">
        <v>35</v>
      </c>
      <c r="C2113" s="4" t="s">
        <v>21</v>
      </c>
      <c r="D2113" s="4" t="s">
        <v>21</v>
      </c>
    </row>
    <row r="2114">
      <c r="A2114" s="5">
        <v>43482.425358796296</v>
      </c>
      <c r="B2114" s="4" t="s">
        <v>33</v>
      </c>
      <c r="C2114" s="4" t="s">
        <v>21</v>
      </c>
      <c r="D2114" s="4" t="s">
        <v>21</v>
      </c>
    </row>
    <row r="2115">
      <c r="A2115" s="5">
        <v>43475.931655092594</v>
      </c>
      <c r="B2115" s="4" t="s">
        <v>33</v>
      </c>
      <c r="C2115" s="4" t="s">
        <v>21</v>
      </c>
      <c r="D2115" s="4" t="s">
        <v>21</v>
      </c>
    </row>
    <row r="2116">
      <c r="A2116" s="5">
        <v>43328.69721064815</v>
      </c>
      <c r="B2116" s="4" t="s">
        <v>33</v>
      </c>
      <c r="C2116" s="4" t="s">
        <v>21</v>
      </c>
      <c r="D2116" s="4" t="s">
        <v>21</v>
      </c>
    </row>
    <row r="2117">
      <c r="A2117" s="5">
        <v>43333.797106481485</v>
      </c>
      <c r="B2117" s="4" t="s">
        <v>33</v>
      </c>
      <c r="C2117" s="4" t="s">
        <v>21</v>
      </c>
      <c r="D2117" s="4" t="s">
        <v>21</v>
      </c>
    </row>
    <row r="2118">
      <c r="A2118" s="5">
        <v>43308.49511574074</v>
      </c>
      <c r="B2118" s="4" t="s">
        <v>33</v>
      </c>
      <c r="C2118" s="4" t="s">
        <v>21</v>
      </c>
      <c r="D2118" s="4" t="s">
        <v>21</v>
      </c>
    </row>
    <row r="2119">
      <c r="A2119" s="5">
        <v>43321.77587962963</v>
      </c>
      <c r="B2119" s="4" t="s">
        <v>33</v>
      </c>
      <c r="C2119" s="4" t="s">
        <v>21</v>
      </c>
      <c r="D2119" s="4" t="s">
        <v>21</v>
      </c>
    </row>
    <row r="2120">
      <c r="A2120" s="5">
        <v>43321.862962962965</v>
      </c>
      <c r="B2120" s="4" t="s">
        <v>33</v>
      </c>
      <c r="C2120" s="4" t="s">
        <v>21</v>
      </c>
      <c r="D2120" s="4" t="s">
        <v>21</v>
      </c>
    </row>
    <row r="2121">
      <c r="A2121" s="5">
        <v>43321.86476851852</v>
      </c>
      <c r="B2121" s="4" t="s">
        <v>33</v>
      </c>
      <c r="C2121" s="4" t="s">
        <v>21</v>
      </c>
      <c r="D2121" s="4" t="s">
        <v>21</v>
      </c>
    </row>
    <row r="2122">
      <c r="A2122" s="5">
        <v>43325.94627314815</v>
      </c>
      <c r="B2122" s="4" t="s">
        <v>33</v>
      </c>
      <c r="C2122" s="4" t="s">
        <v>21</v>
      </c>
      <c r="D2122" s="4" t="s">
        <v>21</v>
      </c>
    </row>
    <row r="2123">
      <c r="A2123" s="5">
        <v>43327.69193287037</v>
      </c>
      <c r="B2123" s="4" t="s">
        <v>33</v>
      </c>
      <c r="C2123" s="4" t="s">
        <v>21</v>
      </c>
      <c r="D2123" s="4" t="s">
        <v>21</v>
      </c>
    </row>
    <row r="2124">
      <c r="A2124" s="5">
        <v>43327.69619212963</v>
      </c>
      <c r="B2124" s="4" t="s">
        <v>33</v>
      </c>
      <c r="C2124" s="4" t="s">
        <v>21</v>
      </c>
      <c r="D2124" s="4" t="s">
        <v>21</v>
      </c>
    </row>
    <row r="2125">
      <c r="A2125" s="5">
        <v>43327.699155092596</v>
      </c>
      <c r="B2125" s="4" t="s">
        <v>33</v>
      </c>
      <c r="C2125" s="4" t="s">
        <v>21</v>
      </c>
      <c r="D2125" s="4" t="s">
        <v>21</v>
      </c>
    </row>
    <row r="2126">
      <c r="A2126" s="5">
        <v>43327.71045138889</v>
      </c>
      <c r="B2126" s="4" t="s">
        <v>33</v>
      </c>
      <c r="C2126" s="4" t="s">
        <v>21</v>
      </c>
      <c r="D2126" s="4" t="s">
        <v>21</v>
      </c>
    </row>
    <row r="2127">
      <c r="A2127" s="5">
        <v>43333.71256944445</v>
      </c>
      <c r="B2127" s="4" t="s">
        <v>33</v>
      </c>
      <c r="C2127" s="4" t="s">
        <v>21</v>
      </c>
      <c r="D2127" s="4" t="s">
        <v>21</v>
      </c>
    </row>
    <row r="2128">
      <c r="A2128" s="5">
        <v>43333.78503472222</v>
      </c>
      <c r="B2128" s="4" t="s">
        <v>33</v>
      </c>
      <c r="C2128" s="4" t="s">
        <v>21</v>
      </c>
      <c r="D2128" s="4" t="s">
        <v>21</v>
      </c>
    </row>
    <row r="2129">
      <c r="A2129" s="5">
        <v>43416.49493055556</v>
      </c>
      <c r="B2129" s="4" t="s">
        <v>33</v>
      </c>
      <c r="C2129" s="4" t="s">
        <v>21</v>
      </c>
      <c r="D2129" s="4" t="s">
        <v>21</v>
      </c>
    </row>
    <row r="2130">
      <c r="A2130" s="5">
        <v>43417.6180787037</v>
      </c>
      <c r="B2130" s="4" t="s">
        <v>33</v>
      </c>
      <c r="C2130" s="4" t="s">
        <v>21</v>
      </c>
      <c r="D2130" s="4" t="s">
        <v>21</v>
      </c>
    </row>
    <row r="2131" hidden="1">
      <c r="A2131" s="5">
        <v>43501.493472222224</v>
      </c>
      <c r="B2131" s="4" t="s">
        <v>35</v>
      </c>
      <c r="C2131" s="4" t="s">
        <v>21</v>
      </c>
      <c r="D2131" s="4" t="s">
        <v>23</v>
      </c>
    </row>
    <row r="2132" hidden="1">
      <c r="A2132" s="5">
        <v>43558.67822916667</v>
      </c>
      <c r="B2132" s="4" t="s">
        <v>35</v>
      </c>
      <c r="C2132" s="4" t="s">
        <v>21</v>
      </c>
      <c r="D2132" s="4" t="s">
        <v>21</v>
      </c>
    </row>
    <row r="2133">
      <c r="A2133" s="5">
        <v>43565.271215277775</v>
      </c>
      <c r="B2133" s="4" t="s">
        <v>33</v>
      </c>
      <c r="C2133" s="4" t="s">
        <v>21</v>
      </c>
      <c r="D2133" s="4" t="s">
        <v>21</v>
      </c>
    </row>
    <row r="2134">
      <c r="A2134" s="5">
        <v>43642.89671296296</v>
      </c>
      <c r="B2134" s="4" t="s">
        <v>33</v>
      </c>
      <c r="C2134" s="4" t="s">
        <v>21</v>
      </c>
      <c r="D2134" s="4" t="s">
        <v>21</v>
      </c>
    </row>
    <row r="2135">
      <c r="A2135" s="5">
        <v>43399.4796412037</v>
      </c>
      <c r="B2135" s="4" t="s">
        <v>33</v>
      </c>
      <c r="C2135" s="4" t="s">
        <v>21</v>
      </c>
      <c r="D2135" s="4" t="s">
        <v>21</v>
      </c>
    </row>
    <row r="2136">
      <c r="A2136" s="5">
        <v>43398.54204861111</v>
      </c>
      <c r="B2136" s="4" t="s">
        <v>33</v>
      </c>
      <c r="C2136" s="4" t="s">
        <v>21</v>
      </c>
      <c r="D2136" s="4" t="s">
        <v>21</v>
      </c>
    </row>
    <row r="2137">
      <c r="A2137" s="5">
        <v>43480.6171412037</v>
      </c>
      <c r="B2137" s="4" t="s">
        <v>33</v>
      </c>
      <c r="C2137" s="4" t="s">
        <v>21</v>
      </c>
      <c r="D2137" s="4" t="s">
        <v>21</v>
      </c>
    </row>
    <row r="2138">
      <c r="A2138" s="5">
        <v>43447.58917824074</v>
      </c>
      <c r="B2138" s="4" t="s">
        <v>33</v>
      </c>
      <c r="C2138" s="4" t="s">
        <v>21</v>
      </c>
      <c r="D2138" s="4" t="s">
        <v>21</v>
      </c>
    </row>
    <row r="2139">
      <c r="A2139" s="5">
        <v>43496.592152777775</v>
      </c>
      <c r="B2139" s="4" t="s">
        <v>33</v>
      </c>
      <c r="C2139" s="4" t="s">
        <v>21</v>
      </c>
      <c r="D2139" s="4" t="s">
        <v>21</v>
      </c>
    </row>
    <row r="2140">
      <c r="A2140" s="5">
        <v>43529.849178240744</v>
      </c>
      <c r="B2140" s="4" t="s">
        <v>33</v>
      </c>
      <c r="C2140" s="4" t="s">
        <v>21</v>
      </c>
      <c r="D2140" s="4" t="s">
        <v>21</v>
      </c>
    </row>
    <row r="2141">
      <c r="A2141" s="5">
        <v>43529.850011574075</v>
      </c>
      <c r="B2141" s="4" t="s">
        <v>33</v>
      </c>
      <c r="C2141" s="4" t="s">
        <v>21</v>
      </c>
      <c r="D2141" s="4" t="s">
        <v>21</v>
      </c>
    </row>
    <row r="2142">
      <c r="A2142" s="5">
        <v>43529.851956018516</v>
      </c>
      <c r="B2142" s="4" t="s">
        <v>33</v>
      </c>
      <c r="C2142" s="4" t="s">
        <v>21</v>
      </c>
      <c r="D2142" s="4" t="s">
        <v>21</v>
      </c>
    </row>
    <row r="2143">
      <c r="A2143" s="5">
        <v>43529.852013888885</v>
      </c>
      <c r="B2143" s="4" t="s">
        <v>33</v>
      </c>
      <c r="C2143" s="4" t="s">
        <v>21</v>
      </c>
      <c r="D2143" s="4" t="s">
        <v>21</v>
      </c>
    </row>
    <row r="2144">
      <c r="A2144" s="5">
        <v>43529.852060185185</v>
      </c>
      <c r="B2144" s="4" t="s">
        <v>33</v>
      </c>
      <c r="C2144" s="4" t="s">
        <v>21</v>
      </c>
      <c r="D2144" s="4" t="s">
        <v>21</v>
      </c>
    </row>
    <row r="2145">
      <c r="A2145" s="5">
        <v>43529.852118055554</v>
      </c>
      <c r="B2145" s="4" t="s">
        <v>33</v>
      </c>
      <c r="C2145" s="4" t="s">
        <v>21</v>
      </c>
      <c r="D2145" s="4" t="s">
        <v>21</v>
      </c>
    </row>
    <row r="2146">
      <c r="A2146" s="5">
        <v>43529.852164351854</v>
      </c>
      <c r="B2146" s="4" t="s">
        <v>33</v>
      </c>
      <c r="C2146" s="4" t="s">
        <v>21</v>
      </c>
      <c r="D2146" s="4" t="s">
        <v>21</v>
      </c>
    </row>
    <row r="2147">
      <c r="A2147" s="5">
        <v>43529.852222222224</v>
      </c>
      <c r="B2147" s="4" t="s">
        <v>33</v>
      </c>
      <c r="C2147" s="4" t="s">
        <v>21</v>
      </c>
      <c r="D2147" s="4" t="s">
        <v>21</v>
      </c>
    </row>
    <row r="2148">
      <c r="A2148" s="5">
        <v>43529.85228009259</v>
      </c>
      <c r="B2148" s="4" t="s">
        <v>33</v>
      </c>
      <c r="C2148" s="4" t="s">
        <v>21</v>
      </c>
      <c r="D2148" s="4" t="s">
        <v>21</v>
      </c>
    </row>
    <row r="2149">
      <c r="A2149" s="5">
        <v>43529.85238425926</v>
      </c>
      <c r="B2149" s="4" t="s">
        <v>33</v>
      </c>
      <c r="C2149" s="4" t="s">
        <v>21</v>
      </c>
      <c r="D2149" s="4" t="s">
        <v>21</v>
      </c>
    </row>
    <row r="2150">
      <c r="A2150" s="5">
        <v>43529.852430555555</v>
      </c>
      <c r="B2150" s="4" t="s">
        <v>33</v>
      </c>
      <c r="C2150" s="4" t="s">
        <v>21</v>
      </c>
      <c r="D2150" s="4" t="s">
        <v>21</v>
      </c>
    </row>
    <row r="2151">
      <c r="A2151" s="5">
        <v>43529.852488425924</v>
      </c>
      <c r="B2151" s="4" t="s">
        <v>33</v>
      </c>
      <c r="C2151" s="4" t="s">
        <v>21</v>
      </c>
      <c r="D2151" s="4" t="s">
        <v>21</v>
      </c>
    </row>
    <row r="2152">
      <c r="A2152" s="5">
        <v>43529.85254629629</v>
      </c>
      <c r="B2152" s="4" t="s">
        <v>33</v>
      </c>
      <c r="C2152" s="4" t="s">
        <v>21</v>
      </c>
      <c r="D2152" s="4" t="s">
        <v>21</v>
      </c>
    </row>
    <row r="2153">
      <c r="A2153" s="5">
        <v>43529.85259259259</v>
      </c>
      <c r="B2153" s="4" t="s">
        <v>33</v>
      </c>
      <c r="C2153" s="4" t="s">
        <v>21</v>
      </c>
      <c r="D2153" s="4" t="s">
        <v>21</v>
      </c>
    </row>
    <row r="2154">
      <c r="A2154" s="5">
        <v>43529.85265046296</v>
      </c>
      <c r="B2154" s="4" t="s">
        <v>33</v>
      </c>
      <c r="C2154" s="4" t="s">
        <v>21</v>
      </c>
      <c r="D2154" s="4" t="s">
        <v>21</v>
      </c>
    </row>
    <row r="2155">
      <c r="A2155" s="5">
        <v>43529.85270833333</v>
      </c>
      <c r="B2155" s="4" t="s">
        <v>33</v>
      </c>
      <c r="C2155" s="4" t="s">
        <v>21</v>
      </c>
      <c r="D2155" s="4" t="s">
        <v>21</v>
      </c>
    </row>
    <row r="2156">
      <c r="A2156" s="5">
        <v>43529.85275462963</v>
      </c>
      <c r="B2156" s="4" t="s">
        <v>33</v>
      </c>
      <c r="C2156" s="4" t="s">
        <v>21</v>
      </c>
      <c r="D2156" s="4" t="s">
        <v>21</v>
      </c>
    </row>
    <row r="2157">
      <c r="A2157" s="5">
        <v>43529.8528125</v>
      </c>
      <c r="B2157" s="4" t="s">
        <v>33</v>
      </c>
      <c r="C2157" s="4" t="s">
        <v>21</v>
      </c>
      <c r="D2157" s="4" t="s">
        <v>21</v>
      </c>
    </row>
    <row r="2158">
      <c r="A2158" s="5">
        <v>43529.852858796294</v>
      </c>
      <c r="B2158" s="4" t="s">
        <v>33</v>
      </c>
      <c r="C2158" s="4" t="s">
        <v>21</v>
      </c>
      <c r="D2158" s="4" t="s">
        <v>21</v>
      </c>
    </row>
    <row r="2159">
      <c r="A2159" s="5">
        <v>43529.85291666666</v>
      </c>
      <c r="B2159" s="4" t="s">
        <v>33</v>
      </c>
      <c r="C2159" s="4" t="s">
        <v>21</v>
      </c>
      <c r="D2159" s="4" t="s">
        <v>21</v>
      </c>
    </row>
    <row r="2160">
      <c r="A2160" s="5">
        <v>43529.85296296296</v>
      </c>
      <c r="B2160" s="4" t="s">
        <v>33</v>
      </c>
      <c r="C2160" s="4" t="s">
        <v>21</v>
      </c>
      <c r="D2160" s="4" t="s">
        <v>21</v>
      </c>
    </row>
    <row r="2161">
      <c r="A2161" s="5">
        <v>43529.85302083333</v>
      </c>
      <c r="B2161" s="4" t="s">
        <v>33</v>
      </c>
      <c r="C2161" s="4" t="s">
        <v>21</v>
      </c>
      <c r="D2161" s="4" t="s">
        <v>21</v>
      </c>
    </row>
    <row r="2162">
      <c r="A2162" s="5">
        <v>43529.85306712963</v>
      </c>
      <c r="B2162" s="4" t="s">
        <v>33</v>
      </c>
      <c r="C2162" s="4" t="s">
        <v>21</v>
      </c>
      <c r="D2162" s="4" t="s">
        <v>21</v>
      </c>
    </row>
    <row r="2163">
      <c r="A2163" s="5">
        <v>43529.853125</v>
      </c>
      <c r="B2163" s="4" t="s">
        <v>33</v>
      </c>
      <c r="C2163" s="4" t="s">
        <v>21</v>
      </c>
      <c r="D2163" s="4" t="s">
        <v>21</v>
      </c>
    </row>
    <row r="2164">
      <c r="A2164" s="5">
        <v>43529.85318287037</v>
      </c>
      <c r="B2164" s="4" t="s">
        <v>33</v>
      </c>
      <c r="C2164" s="4" t="s">
        <v>21</v>
      </c>
      <c r="D2164" s="4" t="s">
        <v>21</v>
      </c>
    </row>
    <row r="2165">
      <c r="A2165" s="5">
        <v>43529.85322916666</v>
      </c>
      <c r="B2165" s="4" t="s">
        <v>33</v>
      </c>
      <c r="C2165" s="4" t="s">
        <v>21</v>
      </c>
      <c r="D2165" s="4" t="s">
        <v>21</v>
      </c>
    </row>
    <row r="2166">
      <c r="A2166" s="5">
        <v>43529.85328703704</v>
      </c>
      <c r="B2166" s="4" t="s">
        <v>33</v>
      </c>
      <c r="C2166" s="4" t="s">
        <v>21</v>
      </c>
      <c r="D2166" s="4" t="s">
        <v>21</v>
      </c>
    </row>
    <row r="2167">
      <c r="A2167" s="5">
        <v>43529.85334490741</v>
      </c>
      <c r="B2167" s="4" t="s">
        <v>33</v>
      </c>
      <c r="C2167" s="4" t="s">
        <v>21</v>
      </c>
      <c r="D2167" s="4" t="s">
        <v>21</v>
      </c>
    </row>
    <row r="2168">
      <c r="A2168" s="5">
        <v>43529.8533912037</v>
      </c>
      <c r="B2168" s="4" t="s">
        <v>33</v>
      </c>
      <c r="C2168" s="4" t="s">
        <v>21</v>
      </c>
      <c r="D2168" s="4" t="s">
        <v>21</v>
      </c>
    </row>
    <row r="2169">
      <c r="A2169" s="5">
        <v>43529.87293981481</v>
      </c>
      <c r="B2169" s="4" t="s">
        <v>33</v>
      </c>
      <c r="C2169" s="4" t="s">
        <v>21</v>
      </c>
      <c r="D2169" s="4" t="s">
        <v>21</v>
      </c>
    </row>
    <row r="2170">
      <c r="A2170" s="5">
        <v>43529.92663194444</v>
      </c>
      <c r="B2170" s="4" t="s">
        <v>33</v>
      </c>
      <c r="C2170" s="4" t="s">
        <v>21</v>
      </c>
      <c r="D2170" s="4" t="s">
        <v>21</v>
      </c>
    </row>
    <row r="2171">
      <c r="A2171" s="5">
        <v>43557.668587962966</v>
      </c>
      <c r="B2171" s="4" t="s">
        <v>33</v>
      </c>
      <c r="C2171" s="4" t="s">
        <v>21</v>
      </c>
      <c r="D2171" s="4" t="s">
        <v>21</v>
      </c>
    </row>
    <row r="2172">
      <c r="A2172" s="5">
        <v>43521.428877314815</v>
      </c>
      <c r="B2172" s="4" t="s">
        <v>33</v>
      </c>
      <c r="C2172" s="4" t="s">
        <v>21</v>
      </c>
      <c r="D2172" s="4" t="s">
        <v>21</v>
      </c>
    </row>
    <row r="2173">
      <c r="A2173" s="5">
        <v>43321.20041666667</v>
      </c>
      <c r="B2173" s="4" t="s">
        <v>33</v>
      </c>
      <c r="C2173" s="4" t="s">
        <v>21</v>
      </c>
      <c r="D2173" s="4" t="s">
        <v>21</v>
      </c>
    </row>
    <row r="2174">
      <c r="A2174" s="5">
        <v>43321.74585648148</v>
      </c>
      <c r="B2174" s="4" t="s">
        <v>33</v>
      </c>
      <c r="C2174" s="4" t="s">
        <v>21</v>
      </c>
      <c r="D2174" s="4" t="s">
        <v>21</v>
      </c>
    </row>
    <row r="2175">
      <c r="A2175" s="5">
        <v>43321.766064814816</v>
      </c>
      <c r="B2175" s="4" t="s">
        <v>33</v>
      </c>
      <c r="C2175" s="4" t="s">
        <v>21</v>
      </c>
      <c r="D2175" s="4" t="s">
        <v>21</v>
      </c>
    </row>
    <row r="2176">
      <c r="A2176" s="5">
        <v>43333.716875</v>
      </c>
      <c r="B2176" s="4" t="s">
        <v>33</v>
      </c>
      <c r="C2176" s="4" t="s">
        <v>21</v>
      </c>
      <c r="D2176" s="4" t="s">
        <v>21</v>
      </c>
    </row>
    <row r="2177">
      <c r="A2177" s="5">
        <v>43333.72269675926</v>
      </c>
      <c r="B2177" s="4" t="s">
        <v>33</v>
      </c>
      <c r="C2177" s="4" t="s">
        <v>21</v>
      </c>
      <c r="D2177" s="4" t="s">
        <v>21</v>
      </c>
    </row>
    <row r="2178">
      <c r="A2178" s="5">
        <v>43333.73359953704</v>
      </c>
      <c r="B2178" s="4" t="s">
        <v>33</v>
      </c>
      <c r="C2178" s="4" t="s">
        <v>21</v>
      </c>
      <c r="D2178" s="4" t="s">
        <v>21</v>
      </c>
    </row>
    <row r="2179">
      <c r="A2179" s="5">
        <v>43333.73715277778</v>
      </c>
      <c r="B2179" s="4" t="s">
        <v>33</v>
      </c>
      <c r="C2179" s="4" t="s">
        <v>21</v>
      </c>
      <c r="D2179" s="4" t="s">
        <v>21</v>
      </c>
    </row>
    <row r="2180">
      <c r="A2180" s="5">
        <v>43333.741122685184</v>
      </c>
      <c r="B2180" s="4" t="s">
        <v>33</v>
      </c>
      <c r="C2180" s="4" t="s">
        <v>21</v>
      </c>
      <c r="D2180" s="4" t="s">
        <v>21</v>
      </c>
    </row>
    <row r="2181">
      <c r="A2181" s="5">
        <v>43346.27410879629</v>
      </c>
      <c r="B2181" s="4" t="s">
        <v>33</v>
      </c>
      <c r="C2181" s="4" t="s">
        <v>21</v>
      </c>
      <c r="D2181" s="4" t="s">
        <v>21</v>
      </c>
    </row>
    <row r="2182">
      <c r="A2182" s="5">
        <v>43595.67197916667</v>
      </c>
      <c r="B2182" s="4" t="s">
        <v>33</v>
      </c>
      <c r="C2182" s="4" t="s">
        <v>21</v>
      </c>
      <c r="D2182" s="4" t="s">
        <v>21</v>
      </c>
    </row>
    <row r="2183">
      <c r="A2183" s="5">
        <v>43495.42053240741</v>
      </c>
      <c r="B2183" s="4" t="s">
        <v>33</v>
      </c>
      <c r="C2183" s="4" t="s">
        <v>21</v>
      </c>
      <c r="D2183" s="4" t="s">
        <v>21</v>
      </c>
    </row>
    <row r="2184">
      <c r="A2184" s="5">
        <v>43551.466875</v>
      </c>
      <c r="B2184" s="4" t="s">
        <v>33</v>
      </c>
      <c r="C2184" s="4" t="s">
        <v>21</v>
      </c>
      <c r="D2184" s="4" t="s">
        <v>21</v>
      </c>
    </row>
    <row r="2185">
      <c r="A2185" s="5">
        <v>43634.0252662037</v>
      </c>
      <c r="B2185" s="4" t="s">
        <v>33</v>
      </c>
      <c r="C2185" s="4" t="s">
        <v>21</v>
      </c>
      <c r="D2185" s="4" t="s">
        <v>21</v>
      </c>
    </row>
    <row r="2186">
      <c r="A2186" s="5">
        <v>43321.17234953704</v>
      </c>
      <c r="B2186" s="4" t="s">
        <v>33</v>
      </c>
      <c r="C2186" s="4" t="s">
        <v>21</v>
      </c>
      <c r="D2186" s="4" t="s">
        <v>21</v>
      </c>
    </row>
    <row r="2187">
      <c r="A2187" s="5">
        <v>43321.188263888886</v>
      </c>
      <c r="B2187" s="4" t="s">
        <v>33</v>
      </c>
      <c r="C2187" s="4" t="s">
        <v>21</v>
      </c>
      <c r="D2187" s="4" t="s">
        <v>21</v>
      </c>
    </row>
    <row r="2188">
      <c r="A2188" s="5">
        <v>43321.203518518516</v>
      </c>
      <c r="B2188" s="4" t="s">
        <v>33</v>
      </c>
      <c r="C2188" s="4" t="s">
        <v>21</v>
      </c>
      <c r="D2188" s="4" t="s">
        <v>21</v>
      </c>
    </row>
    <row r="2189">
      <c r="A2189" s="5">
        <v>43321.75171296296</v>
      </c>
      <c r="B2189" s="4" t="s">
        <v>33</v>
      </c>
      <c r="C2189" s="4" t="s">
        <v>21</v>
      </c>
      <c r="D2189" s="4" t="s">
        <v>21</v>
      </c>
    </row>
    <row r="2190">
      <c r="A2190" s="5">
        <v>43321.85957175926</v>
      </c>
      <c r="B2190" s="4" t="s">
        <v>33</v>
      </c>
      <c r="C2190" s="4" t="s">
        <v>21</v>
      </c>
      <c r="D2190" s="4" t="s">
        <v>21</v>
      </c>
    </row>
    <row r="2191">
      <c r="A2191" s="5">
        <v>43321.866643518515</v>
      </c>
      <c r="B2191" s="4" t="s">
        <v>33</v>
      </c>
      <c r="C2191" s="4" t="s">
        <v>21</v>
      </c>
      <c r="D2191" s="4" t="s">
        <v>21</v>
      </c>
    </row>
    <row r="2192">
      <c r="A2192" s="5">
        <v>43325.94236111111</v>
      </c>
      <c r="B2192" s="4" t="s">
        <v>33</v>
      </c>
      <c r="C2192" s="4" t="s">
        <v>21</v>
      </c>
      <c r="D2192" s="4" t="s">
        <v>21</v>
      </c>
    </row>
    <row r="2193">
      <c r="A2193" s="5">
        <v>43489.24444444444</v>
      </c>
      <c r="B2193" s="4" t="s">
        <v>33</v>
      </c>
      <c r="C2193" s="4" t="s">
        <v>21</v>
      </c>
      <c r="D2193" s="4" t="s">
        <v>21</v>
      </c>
    </row>
    <row r="2194">
      <c r="A2194" s="5">
        <v>43521.347083333334</v>
      </c>
      <c r="B2194" s="4" t="s">
        <v>33</v>
      </c>
      <c r="C2194" s="4" t="s">
        <v>21</v>
      </c>
      <c r="D2194" s="4" t="s">
        <v>21</v>
      </c>
    </row>
    <row r="2195" hidden="1">
      <c r="A2195" s="5">
        <v>43599.43896990741</v>
      </c>
      <c r="B2195" s="4" t="s">
        <v>35</v>
      </c>
      <c r="C2195" s="4" t="s">
        <v>21</v>
      </c>
      <c r="D2195" s="4" t="s">
        <v>21</v>
      </c>
    </row>
    <row r="2196" hidden="1">
      <c r="A2196" s="5">
        <v>43599.44063657407</v>
      </c>
      <c r="B2196" s="4" t="s">
        <v>35</v>
      </c>
      <c r="C2196" s="4" t="s">
        <v>21</v>
      </c>
      <c r="D2196" s="4" t="s">
        <v>21</v>
      </c>
    </row>
    <row r="2197" hidden="1">
      <c r="A2197" s="5">
        <v>43599.45704861111</v>
      </c>
      <c r="B2197" s="4" t="s">
        <v>35</v>
      </c>
      <c r="C2197" s="4" t="s">
        <v>21</v>
      </c>
      <c r="D2197" s="4" t="s">
        <v>21</v>
      </c>
    </row>
    <row r="2198" hidden="1">
      <c r="A2198" s="5">
        <v>43599.45961805555</v>
      </c>
      <c r="B2198" s="4" t="s">
        <v>35</v>
      </c>
      <c r="C2198" s="4" t="s">
        <v>21</v>
      </c>
      <c r="D2198" s="4" t="s">
        <v>21</v>
      </c>
    </row>
    <row r="2199" hidden="1">
      <c r="A2199" s="5">
        <v>43599.46107638889</v>
      </c>
      <c r="B2199" s="4" t="s">
        <v>35</v>
      </c>
      <c r="C2199" s="4" t="s">
        <v>21</v>
      </c>
      <c r="D2199" s="4" t="s">
        <v>21</v>
      </c>
    </row>
    <row r="2200" hidden="1">
      <c r="A2200" s="5">
        <v>43599.462164351855</v>
      </c>
      <c r="B2200" s="4" t="s">
        <v>35</v>
      </c>
      <c r="C2200" s="4" t="s">
        <v>21</v>
      </c>
      <c r="D2200" s="4" t="s">
        <v>21</v>
      </c>
    </row>
    <row r="2201" hidden="1">
      <c r="A2201" s="5">
        <v>43599.46399305556</v>
      </c>
      <c r="B2201" s="4" t="s">
        <v>35</v>
      </c>
      <c r="C2201" s="4" t="s">
        <v>21</v>
      </c>
      <c r="D2201" s="4" t="s">
        <v>21</v>
      </c>
    </row>
    <row r="2202" hidden="1">
      <c r="A2202" s="5">
        <v>43599.46524305556</v>
      </c>
      <c r="B2202" s="4" t="s">
        <v>35</v>
      </c>
      <c r="C2202" s="4" t="s">
        <v>21</v>
      </c>
      <c r="D2202" s="4" t="s">
        <v>21</v>
      </c>
    </row>
    <row r="2203" hidden="1">
      <c r="A2203" s="5">
        <v>43599.46665509259</v>
      </c>
      <c r="B2203" s="4" t="s">
        <v>35</v>
      </c>
      <c r="C2203" s="4" t="s">
        <v>21</v>
      </c>
      <c r="D2203" s="4" t="s">
        <v>21</v>
      </c>
    </row>
    <row r="2204" hidden="1">
      <c r="A2204" s="5">
        <v>43599.46896990741</v>
      </c>
      <c r="B2204" s="4" t="s">
        <v>35</v>
      </c>
      <c r="C2204" s="4" t="s">
        <v>21</v>
      </c>
      <c r="D2204" s="4" t="s">
        <v>21</v>
      </c>
    </row>
    <row r="2205" hidden="1">
      <c r="A2205" s="5">
        <v>43599.469988425924</v>
      </c>
      <c r="B2205" s="4" t="s">
        <v>35</v>
      </c>
      <c r="C2205" s="4" t="s">
        <v>21</v>
      </c>
      <c r="D2205" s="4" t="s">
        <v>21</v>
      </c>
    </row>
    <row r="2206" hidden="1">
      <c r="A2206" s="5">
        <v>43599.47096064815</v>
      </c>
      <c r="B2206" s="4" t="s">
        <v>35</v>
      </c>
      <c r="C2206" s="4" t="s">
        <v>21</v>
      </c>
      <c r="D2206" s="4" t="s">
        <v>21</v>
      </c>
    </row>
    <row r="2207" hidden="1">
      <c r="A2207" s="5">
        <v>43599.47190972222</v>
      </c>
      <c r="B2207" s="4" t="s">
        <v>35</v>
      </c>
      <c r="C2207" s="4" t="s">
        <v>21</v>
      </c>
      <c r="D2207" s="4" t="s">
        <v>21</v>
      </c>
    </row>
    <row r="2208" hidden="1">
      <c r="A2208" s="5">
        <v>43599.47331018518</v>
      </c>
      <c r="B2208" s="4" t="s">
        <v>35</v>
      </c>
      <c r="C2208" s="4" t="s">
        <v>21</v>
      </c>
      <c r="D2208" s="4" t="s">
        <v>21</v>
      </c>
    </row>
    <row r="2209" hidden="1">
      <c r="A2209" s="5">
        <v>43599.47826388889</v>
      </c>
      <c r="B2209" s="4" t="s">
        <v>35</v>
      </c>
      <c r="C2209" s="4" t="s">
        <v>21</v>
      </c>
      <c r="D2209" s="4" t="s">
        <v>21</v>
      </c>
    </row>
    <row r="2210">
      <c r="A2210" s="5">
        <v>43487.6078587963</v>
      </c>
      <c r="B2210" s="4" t="s">
        <v>33</v>
      </c>
      <c r="C2210" s="4" t="s">
        <v>21</v>
      </c>
      <c r="D2210" s="4" t="s">
        <v>21</v>
      </c>
    </row>
    <row r="2211">
      <c r="A2211" s="5">
        <v>43521.46092592592</v>
      </c>
      <c r="B2211" s="4" t="s">
        <v>33</v>
      </c>
      <c r="C2211" s="4" t="s">
        <v>21</v>
      </c>
      <c r="D2211" s="4" t="s">
        <v>21</v>
      </c>
    </row>
    <row r="2212">
      <c r="A2212" s="5">
        <v>43521.46114583333</v>
      </c>
      <c r="B2212" s="4" t="s">
        <v>33</v>
      </c>
      <c r="C2212" s="4" t="s">
        <v>21</v>
      </c>
      <c r="D2212" s="4" t="s">
        <v>21</v>
      </c>
    </row>
    <row r="2213">
      <c r="A2213" s="5">
        <v>43634.344976851855</v>
      </c>
      <c r="B2213" s="4" t="s">
        <v>33</v>
      </c>
      <c r="C2213" s="4" t="s">
        <v>21</v>
      </c>
      <c r="D2213" s="4" t="s">
        <v>21</v>
      </c>
    </row>
    <row r="2214">
      <c r="A2214" s="5">
        <v>43382.267060185186</v>
      </c>
      <c r="B2214" s="4" t="s">
        <v>33</v>
      </c>
      <c r="C2214" s="4" t="s">
        <v>21</v>
      </c>
      <c r="D2214" s="4" t="s">
        <v>21</v>
      </c>
    </row>
    <row r="2215">
      <c r="A2215" s="5">
        <v>43382.27123842593</v>
      </c>
      <c r="B2215" s="4" t="s">
        <v>33</v>
      </c>
      <c r="C2215" s="4" t="s">
        <v>21</v>
      </c>
      <c r="D2215" s="4" t="s">
        <v>21</v>
      </c>
    </row>
    <row r="2216">
      <c r="A2216" s="5">
        <v>43446.96644675926</v>
      </c>
      <c r="B2216" s="4" t="s">
        <v>33</v>
      </c>
      <c r="C2216" s="4" t="s">
        <v>21</v>
      </c>
      <c r="D2216" s="4" t="s">
        <v>21</v>
      </c>
    </row>
    <row r="2217" hidden="1">
      <c r="A2217" s="5">
        <v>43518.132731481484</v>
      </c>
      <c r="B2217" s="4" t="s">
        <v>35</v>
      </c>
      <c r="C2217" s="4" t="s">
        <v>21</v>
      </c>
      <c r="D2217" s="4" t="s">
        <v>21</v>
      </c>
    </row>
    <row r="2218">
      <c r="A2218" s="5">
        <v>43543.64946759259</v>
      </c>
      <c r="B2218" s="4" t="s">
        <v>33</v>
      </c>
      <c r="C2218" s="4" t="s">
        <v>21</v>
      </c>
      <c r="D2218" s="4" t="s">
        <v>21</v>
      </c>
    </row>
    <row r="2219">
      <c r="A2219" s="5">
        <v>43621.66112268518</v>
      </c>
      <c r="B2219" s="4" t="s">
        <v>33</v>
      </c>
      <c r="C2219" s="4" t="s">
        <v>21</v>
      </c>
      <c r="D2219" s="4" t="s">
        <v>21</v>
      </c>
    </row>
    <row r="2220">
      <c r="A2220" s="5">
        <v>43549.46065972222</v>
      </c>
      <c r="B2220" s="4" t="s">
        <v>33</v>
      </c>
      <c r="C2220" s="4" t="s">
        <v>21</v>
      </c>
      <c r="D2220" s="4" t="s">
        <v>21</v>
      </c>
    </row>
    <row r="2221" hidden="1">
      <c r="A2221" s="5">
        <v>43601.49260416667</v>
      </c>
      <c r="B2221" s="4" t="s">
        <v>37</v>
      </c>
      <c r="C2221" s="4" t="s">
        <v>21</v>
      </c>
      <c r="D2221" s="4" t="s">
        <v>21</v>
      </c>
    </row>
    <row r="2222">
      <c r="A2222" s="5">
        <v>43481.54377314815</v>
      </c>
      <c r="B2222" s="4" t="s">
        <v>33</v>
      </c>
      <c r="C2222" s="4" t="s">
        <v>21</v>
      </c>
      <c r="D2222" s="4" t="s">
        <v>21</v>
      </c>
    </row>
    <row r="2223" hidden="1">
      <c r="A2223" s="5">
        <v>43518.14929398148</v>
      </c>
      <c r="B2223" s="4" t="s">
        <v>35</v>
      </c>
      <c r="C2223" s="4" t="s">
        <v>21</v>
      </c>
      <c r="D2223" s="4" t="s">
        <v>21</v>
      </c>
    </row>
    <row r="2224">
      <c r="A2224" s="5">
        <v>43511.429618055554</v>
      </c>
      <c r="B2224" s="4" t="s">
        <v>33</v>
      </c>
      <c r="C2224" s="4" t="s">
        <v>21</v>
      </c>
      <c r="D2224" s="4" t="s">
        <v>21</v>
      </c>
    </row>
    <row r="2225">
      <c r="A2225" s="5">
        <v>43536.577418981484</v>
      </c>
      <c r="B2225" s="4" t="s">
        <v>33</v>
      </c>
      <c r="C2225" s="4" t="s">
        <v>21</v>
      </c>
      <c r="D2225" s="4" t="s">
        <v>21</v>
      </c>
    </row>
    <row r="2226">
      <c r="A2226" s="5">
        <v>43580.50747685185</v>
      </c>
      <c r="B2226" s="4" t="s">
        <v>33</v>
      </c>
      <c r="C2226" s="4" t="s">
        <v>21</v>
      </c>
      <c r="D2226" s="4" t="s">
        <v>21</v>
      </c>
    </row>
    <row r="2227">
      <c r="A2227" s="5">
        <v>43319.25208333333</v>
      </c>
      <c r="B2227" s="4" t="s">
        <v>33</v>
      </c>
      <c r="C2227" s="4" t="s">
        <v>21</v>
      </c>
      <c r="D2227" s="4" t="s">
        <v>21</v>
      </c>
    </row>
    <row r="2228">
      <c r="A2228" s="5">
        <v>43325.96789351852</v>
      </c>
      <c r="B2228" s="4" t="s">
        <v>33</v>
      </c>
      <c r="C2228" s="4" t="s">
        <v>21</v>
      </c>
      <c r="D2228" s="4" t="s">
        <v>21</v>
      </c>
    </row>
    <row r="2229">
      <c r="A2229" s="5">
        <v>43419.52738425926</v>
      </c>
      <c r="B2229" s="4" t="s">
        <v>33</v>
      </c>
      <c r="C2229" s="4" t="s">
        <v>21</v>
      </c>
      <c r="D2229" s="4" t="s">
        <v>21</v>
      </c>
    </row>
    <row r="2230">
      <c r="A2230" s="5">
        <v>43497.568240740744</v>
      </c>
      <c r="B2230" s="4" t="s">
        <v>33</v>
      </c>
      <c r="C2230" s="4" t="s">
        <v>21</v>
      </c>
      <c r="D2230" s="4" t="s">
        <v>21</v>
      </c>
    </row>
    <row r="2231">
      <c r="A2231" s="5">
        <v>43567.76582175926</v>
      </c>
      <c r="B2231" s="4" t="s">
        <v>33</v>
      </c>
      <c r="C2231" s="4" t="s">
        <v>21</v>
      </c>
      <c r="D2231" s="4" t="s">
        <v>21</v>
      </c>
    </row>
    <row r="2232">
      <c r="A2232" s="5">
        <v>43399.43109953704</v>
      </c>
      <c r="B2232" s="4" t="s">
        <v>33</v>
      </c>
      <c r="C2232" s="4" t="s">
        <v>21</v>
      </c>
      <c r="D2232" s="4" t="s">
        <v>21</v>
      </c>
    </row>
    <row r="2233">
      <c r="A2233" s="5">
        <v>43399.4380787037</v>
      </c>
      <c r="B2233" s="4" t="s">
        <v>33</v>
      </c>
      <c r="C2233" s="4" t="s">
        <v>21</v>
      </c>
      <c r="D2233" s="4" t="s">
        <v>21</v>
      </c>
    </row>
    <row r="2234">
      <c r="A2234" s="5">
        <v>43399.51445601852</v>
      </c>
      <c r="B2234" s="4" t="s">
        <v>33</v>
      </c>
      <c r="C2234" s="4" t="s">
        <v>21</v>
      </c>
      <c r="D2234" s="4" t="s">
        <v>21</v>
      </c>
    </row>
    <row r="2235">
      <c r="A2235" s="5">
        <v>43473.534907407404</v>
      </c>
      <c r="B2235" s="4" t="s">
        <v>33</v>
      </c>
      <c r="C2235" s="4" t="s">
        <v>21</v>
      </c>
      <c r="D2235" s="4" t="s">
        <v>21</v>
      </c>
    </row>
    <row r="2236">
      <c r="A2236" s="5">
        <v>43489.43337962963</v>
      </c>
      <c r="B2236" s="4" t="s">
        <v>33</v>
      </c>
      <c r="C2236" s="4" t="s">
        <v>21</v>
      </c>
      <c r="D2236" s="4" t="s">
        <v>21</v>
      </c>
    </row>
    <row r="2237">
      <c r="A2237" s="5">
        <v>43522.46571759259</v>
      </c>
      <c r="B2237" s="4" t="s">
        <v>33</v>
      </c>
      <c r="C2237" s="4" t="s">
        <v>21</v>
      </c>
      <c r="D2237" s="4" t="s">
        <v>21</v>
      </c>
    </row>
    <row r="2238">
      <c r="A2238" s="5">
        <v>43550.54818287037</v>
      </c>
      <c r="B2238" s="4" t="s">
        <v>33</v>
      </c>
      <c r="C2238" s="4" t="s">
        <v>21</v>
      </c>
      <c r="D2238" s="4" t="s">
        <v>21</v>
      </c>
    </row>
    <row r="2239">
      <c r="A2239" s="5">
        <v>43395.59940972222</v>
      </c>
      <c r="B2239" s="4" t="s">
        <v>33</v>
      </c>
      <c r="C2239" s="4" t="s">
        <v>21</v>
      </c>
      <c r="D2239" s="4" t="s">
        <v>21</v>
      </c>
    </row>
    <row r="2240">
      <c r="A2240" s="5">
        <v>43319.22850694445</v>
      </c>
      <c r="B2240" s="4" t="s">
        <v>33</v>
      </c>
      <c r="C2240" s="4" t="s">
        <v>21</v>
      </c>
      <c r="D2240" s="4" t="s">
        <v>21</v>
      </c>
    </row>
    <row r="2241">
      <c r="A2241" s="5">
        <v>43319.23875</v>
      </c>
      <c r="B2241" s="4" t="s">
        <v>33</v>
      </c>
      <c r="C2241" s="4" t="s">
        <v>21</v>
      </c>
      <c r="D2241" s="4" t="s">
        <v>21</v>
      </c>
    </row>
    <row r="2242">
      <c r="A2242" s="5">
        <v>43319.24277777778</v>
      </c>
      <c r="B2242" s="4" t="s">
        <v>33</v>
      </c>
      <c r="C2242" s="4" t="s">
        <v>21</v>
      </c>
      <c r="D2242" s="4" t="s">
        <v>21</v>
      </c>
    </row>
    <row r="2243">
      <c r="A2243" s="5">
        <v>43319.246458333335</v>
      </c>
      <c r="B2243" s="4" t="s">
        <v>33</v>
      </c>
      <c r="C2243" s="4" t="s">
        <v>21</v>
      </c>
      <c r="D2243" s="4" t="s">
        <v>21</v>
      </c>
    </row>
    <row r="2244">
      <c r="A2244" s="5">
        <v>43319.249444444446</v>
      </c>
      <c r="B2244" s="4" t="s">
        <v>33</v>
      </c>
      <c r="C2244" s="4" t="s">
        <v>21</v>
      </c>
      <c r="D2244" s="4" t="s">
        <v>21</v>
      </c>
    </row>
    <row r="2245">
      <c r="A2245" s="5">
        <v>43319.25571759259</v>
      </c>
      <c r="B2245" s="4" t="s">
        <v>33</v>
      </c>
      <c r="C2245" s="4" t="s">
        <v>21</v>
      </c>
      <c r="D2245" s="4" t="s">
        <v>21</v>
      </c>
    </row>
    <row r="2246">
      <c r="A2246" s="5">
        <v>43319.30876157407</v>
      </c>
      <c r="B2246" s="4" t="s">
        <v>33</v>
      </c>
      <c r="C2246" s="4" t="s">
        <v>21</v>
      </c>
      <c r="D2246" s="4" t="s">
        <v>21</v>
      </c>
    </row>
    <row r="2247">
      <c r="A2247" s="5">
        <v>43321.145324074074</v>
      </c>
      <c r="B2247" s="4" t="s">
        <v>33</v>
      </c>
      <c r="C2247" s="4" t="s">
        <v>21</v>
      </c>
      <c r="D2247" s="4" t="s">
        <v>21</v>
      </c>
    </row>
    <row r="2248">
      <c r="A2248" s="5">
        <v>43321.17574074074</v>
      </c>
      <c r="B2248" s="4" t="s">
        <v>33</v>
      </c>
      <c r="C2248" s="4" t="s">
        <v>21</v>
      </c>
      <c r="D2248" s="4" t="s">
        <v>21</v>
      </c>
    </row>
    <row r="2249">
      <c r="A2249" s="5">
        <v>43321.17841435185</v>
      </c>
      <c r="B2249" s="4" t="s">
        <v>33</v>
      </c>
      <c r="C2249" s="4" t="s">
        <v>21</v>
      </c>
      <c r="D2249" s="4" t="s">
        <v>21</v>
      </c>
    </row>
    <row r="2250">
      <c r="A2250" s="5">
        <v>43321.195127314815</v>
      </c>
      <c r="B2250" s="4" t="s">
        <v>33</v>
      </c>
      <c r="C2250" s="4" t="s">
        <v>21</v>
      </c>
      <c r="D2250" s="4" t="s">
        <v>21</v>
      </c>
    </row>
    <row r="2251">
      <c r="A2251" s="5">
        <v>43321.21359953703</v>
      </c>
      <c r="B2251" s="4" t="s">
        <v>33</v>
      </c>
      <c r="C2251" s="4" t="s">
        <v>21</v>
      </c>
      <c r="D2251" s="4" t="s">
        <v>21</v>
      </c>
    </row>
    <row r="2252">
      <c r="A2252" s="5">
        <v>43321.21608796297</v>
      </c>
      <c r="B2252" s="4" t="s">
        <v>33</v>
      </c>
      <c r="C2252" s="4" t="s">
        <v>21</v>
      </c>
      <c r="D2252" s="4" t="s">
        <v>21</v>
      </c>
    </row>
    <row r="2253">
      <c r="A2253" s="5">
        <v>43321.24300925926</v>
      </c>
      <c r="B2253" s="4" t="s">
        <v>33</v>
      </c>
      <c r="C2253" s="4" t="s">
        <v>21</v>
      </c>
      <c r="D2253" s="4" t="s">
        <v>21</v>
      </c>
    </row>
    <row r="2254">
      <c r="A2254" s="5">
        <v>43321.24569444444</v>
      </c>
      <c r="B2254" s="4" t="s">
        <v>33</v>
      </c>
      <c r="C2254" s="4" t="s">
        <v>21</v>
      </c>
      <c r="D2254" s="4" t="s">
        <v>21</v>
      </c>
    </row>
    <row r="2255">
      <c r="A2255" s="5">
        <v>43321.48453703704</v>
      </c>
      <c r="B2255" s="4" t="s">
        <v>33</v>
      </c>
      <c r="C2255" s="4" t="s">
        <v>21</v>
      </c>
      <c r="D2255" s="4" t="s">
        <v>21</v>
      </c>
    </row>
    <row r="2256">
      <c r="A2256" s="5">
        <v>43321.67178240741</v>
      </c>
      <c r="B2256" s="4" t="s">
        <v>33</v>
      </c>
      <c r="C2256" s="4" t="s">
        <v>21</v>
      </c>
      <c r="D2256" s="4" t="s">
        <v>21</v>
      </c>
    </row>
    <row r="2257">
      <c r="A2257" s="5">
        <v>43321.74793981481</v>
      </c>
      <c r="B2257" s="4" t="s">
        <v>33</v>
      </c>
      <c r="C2257" s="4" t="s">
        <v>21</v>
      </c>
      <c r="D2257" s="4" t="s">
        <v>21</v>
      </c>
    </row>
    <row r="2258">
      <c r="A2258" s="5">
        <v>43321.749756944446</v>
      </c>
      <c r="B2258" s="4" t="s">
        <v>33</v>
      </c>
      <c r="C2258" s="4" t="s">
        <v>21</v>
      </c>
      <c r="D2258" s="4" t="s">
        <v>21</v>
      </c>
    </row>
    <row r="2259">
      <c r="A2259" s="5">
        <v>43321.7680787037</v>
      </c>
      <c r="B2259" s="4" t="s">
        <v>33</v>
      </c>
      <c r="C2259" s="4" t="s">
        <v>21</v>
      </c>
      <c r="D2259" s="4" t="s">
        <v>21</v>
      </c>
    </row>
    <row r="2260">
      <c r="A2260" s="5">
        <v>43321.770416666666</v>
      </c>
      <c r="B2260" s="4" t="s">
        <v>33</v>
      </c>
      <c r="C2260" s="4" t="s">
        <v>21</v>
      </c>
      <c r="D2260" s="4" t="s">
        <v>21</v>
      </c>
    </row>
    <row r="2261">
      <c r="A2261" s="5">
        <v>43321.86685185185</v>
      </c>
      <c r="B2261" s="4" t="s">
        <v>33</v>
      </c>
      <c r="C2261" s="4" t="s">
        <v>21</v>
      </c>
      <c r="D2261" s="4" t="s">
        <v>21</v>
      </c>
    </row>
    <row r="2262">
      <c r="A2262" s="5">
        <v>43325.950891203705</v>
      </c>
      <c r="B2262" s="4" t="s">
        <v>33</v>
      </c>
      <c r="C2262" s="4" t="s">
        <v>21</v>
      </c>
      <c r="D2262" s="4" t="s">
        <v>21</v>
      </c>
    </row>
    <row r="2263">
      <c r="A2263" s="5">
        <v>43325.955729166664</v>
      </c>
      <c r="B2263" s="4" t="s">
        <v>33</v>
      </c>
      <c r="C2263" s="4" t="s">
        <v>21</v>
      </c>
      <c r="D2263" s="4" t="s">
        <v>21</v>
      </c>
    </row>
    <row r="2264">
      <c r="A2264" s="5">
        <v>43328.55503472222</v>
      </c>
      <c r="B2264" s="4" t="s">
        <v>33</v>
      </c>
      <c r="C2264" s="4" t="s">
        <v>21</v>
      </c>
      <c r="D2264" s="4" t="s">
        <v>21</v>
      </c>
    </row>
    <row r="2265">
      <c r="A2265" s="5">
        <v>43333.74815972222</v>
      </c>
      <c r="B2265" s="4" t="s">
        <v>33</v>
      </c>
      <c r="C2265" s="4" t="s">
        <v>21</v>
      </c>
      <c r="D2265" s="4" t="s">
        <v>21</v>
      </c>
    </row>
    <row r="2266">
      <c r="A2266" s="5">
        <v>43333.793645833335</v>
      </c>
      <c r="B2266" s="4" t="s">
        <v>33</v>
      </c>
      <c r="C2266" s="4" t="s">
        <v>21</v>
      </c>
      <c r="D2266" s="4" t="s">
        <v>21</v>
      </c>
    </row>
    <row r="2267">
      <c r="A2267" s="5">
        <v>43389.39604166667</v>
      </c>
      <c r="B2267" s="4" t="s">
        <v>33</v>
      </c>
      <c r="C2267" s="4" t="s">
        <v>21</v>
      </c>
      <c r="D2267" s="4" t="s">
        <v>21</v>
      </c>
    </row>
    <row r="2268">
      <c r="A2268" s="5">
        <v>43391.53494212963</v>
      </c>
      <c r="B2268" s="4" t="s">
        <v>33</v>
      </c>
      <c r="C2268" s="4" t="s">
        <v>21</v>
      </c>
      <c r="D2268" s="4" t="s">
        <v>21</v>
      </c>
    </row>
    <row r="2269">
      <c r="A2269" s="5">
        <v>43399.218310185184</v>
      </c>
      <c r="B2269" s="4" t="s">
        <v>33</v>
      </c>
      <c r="C2269" s="4" t="s">
        <v>21</v>
      </c>
      <c r="D2269" s="4" t="s">
        <v>21</v>
      </c>
    </row>
    <row r="2270">
      <c r="A2270" s="5">
        <v>43403.64016203704</v>
      </c>
      <c r="B2270" s="4" t="s">
        <v>33</v>
      </c>
      <c r="C2270" s="4" t="s">
        <v>21</v>
      </c>
      <c r="D2270" s="4" t="s">
        <v>21</v>
      </c>
    </row>
    <row r="2271">
      <c r="A2271" s="5">
        <v>43409.5246875</v>
      </c>
      <c r="B2271" s="4" t="s">
        <v>33</v>
      </c>
      <c r="C2271" s="4" t="s">
        <v>21</v>
      </c>
      <c r="D2271" s="4" t="s">
        <v>21</v>
      </c>
    </row>
    <row r="2272">
      <c r="A2272" s="5">
        <v>43409.53679398148</v>
      </c>
      <c r="B2272" s="4" t="s">
        <v>33</v>
      </c>
      <c r="C2272" s="4" t="s">
        <v>21</v>
      </c>
      <c r="D2272" s="4" t="s">
        <v>21</v>
      </c>
    </row>
    <row r="2273">
      <c r="A2273" s="5">
        <v>43425.452060185184</v>
      </c>
      <c r="B2273" s="4" t="s">
        <v>33</v>
      </c>
      <c r="C2273" s="4" t="s">
        <v>21</v>
      </c>
      <c r="D2273" s="4" t="s">
        <v>21</v>
      </c>
    </row>
    <row r="2274">
      <c r="A2274" s="5">
        <v>43431.63741898148</v>
      </c>
      <c r="B2274" s="4" t="s">
        <v>33</v>
      </c>
      <c r="C2274" s="4" t="s">
        <v>21</v>
      </c>
      <c r="D2274" s="4" t="s">
        <v>21</v>
      </c>
    </row>
    <row r="2275">
      <c r="A2275" s="5">
        <v>43440.6340162037</v>
      </c>
      <c r="B2275" s="4" t="s">
        <v>33</v>
      </c>
      <c r="C2275" s="4" t="s">
        <v>21</v>
      </c>
      <c r="D2275" s="4" t="s">
        <v>21</v>
      </c>
    </row>
    <row r="2276">
      <c r="A2276" s="5">
        <v>43440.638344907406</v>
      </c>
      <c r="B2276" s="4" t="s">
        <v>33</v>
      </c>
      <c r="C2276" s="4" t="s">
        <v>21</v>
      </c>
      <c r="D2276" s="4" t="s">
        <v>21</v>
      </c>
    </row>
    <row r="2277">
      <c r="A2277" s="5">
        <v>43440.64231481482</v>
      </c>
      <c r="B2277" s="4" t="s">
        <v>33</v>
      </c>
      <c r="C2277" s="4" t="s">
        <v>21</v>
      </c>
      <c r="D2277" s="4" t="s">
        <v>21</v>
      </c>
    </row>
    <row r="2278">
      <c r="A2278" s="5">
        <v>43445.517164351855</v>
      </c>
      <c r="B2278" s="4" t="s">
        <v>33</v>
      </c>
      <c r="C2278" s="4" t="s">
        <v>21</v>
      </c>
      <c r="D2278" s="4" t="s">
        <v>21</v>
      </c>
    </row>
    <row r="2279">
      <c r="A2279" s="5">
        <v>43446.563206018516</v>
      </c>
      <c r="B2279" s="4" t="s">
        <v>33</v>
      </c>
      <c r="C2279" s="4" t="s">
        <v>21</v>
      </c>
      <c r="D2279" s="4" t="s">
        <v>21</v>
      </c>
    </row>
    <row r="2280">
      <c r="A2280" s="5">
        <v>43447.592627314814</v>
      </c>
      <c r="B2280" s="4" t="s">
        <v>33</v>
      </c>
      <c r="C2280" s="4" t="s">
        <v>21</v>
      </c>
      <c r="D2280" s="4" t="s">
        <v>21</v>
      </c>
    </row>
    <row r="2281" hidden="1">
      <c r="A2281" s="5">
        <v>43517.305555555555</v>
      </c>
      <c r="B2281" s="4" t="s">
        <v>35</v>
      </c>
      <c r="C2281" s="4" t="s">
        <v>21</v>
      </c>
      <c r="D2281" s="4" t="s">
        <v>21</v>
      </c>
    </row>
    <row r="2282" hidden="1">
      <c r="A2282" s="5">
        <v>43518.062743055554</v>
      </c>
      <c r="B2282" s="4" t="s">
        <v>35</v>
      </c>
      <c r="C2282" s="4" t="s">
        <v>21</v>
      </c>
      <c r="D2282" s="4" t="s">
        <v>21</v>
      </c>
    </row>
    <row r="2283" hidden="1">
      <c r="A2283" s="5">
        <v>43521.27159722222</v>
      </c>
      <c r="B2283" s="4" t="s">
        <v>35</v>
      </c>
      <c r="C2283" s="4" t="s">
        <v>21</v>
      </c>
      <c r="D2283" s="4" t="s">
        <v>21</v>
      </c>
    </row>
    <row r="2284">
      <c r="A2284" s="5">
        <v>43524.51528935185</v>
      </c>
      <c r="B2284" s="4" t="s">
        <v>33</v>
      </c>
      <c r="C2284" s="4" t="s">
        <v>21</v>
      </c>
      <c r="D2284" s="4" t="s">
        <v>21</v>
      </c>
    </row>
    <row r="2285">
      <c r="A2285" s="5">
        <v>43543.63280092592</v>
      </c>
      <c r="B2285" s="4" t="s">
        <v>33</v>
      </c>
      <c r="C2285" s="4" t="s">
        <v>21</v>
      </c>
      <c r="D2285" s="4" t="s">
        <v>21</v>
      </c>
    </row>
    <row r="2286" hidden="1">
      <c r="A2286" s="5">
        <v>43599.255902777775</v>
      </c>
      <c r="B2286" s="4" t="s">
        <v>35</v>
      </c>
      <c r="C2286" s="4" t="s">
        <v>21</v>
      </c>
      <c r="D2286" s="4" t="s">
        <v>21</v>
      </c>
    </row>
    <row r="2287" hidden="1">
      <c r="A2287" s="5">
        <v>43599.26193287037</v>
      </c>
      <c r="B2287" s="4" t="s">
        <v>35</v>
      </c>
      <c r="C2287" s="4" t="s">
        <v>21</v>
      </c>
      <c r="D2287" s="4" t="s">
        <v>21</v>
      </c>
    </row>
    <row r="2288" hidden="1">
      <c r="A2288" s="5">
        <v>43599.26797453704</v>
      </c>
      <c r="B2288" s="4" t="s">
        <v>35</v>
      </c>
      <c r="C2288" s="4" t="s">
        <v>21</v>
      </c>
      <c r="D2288" s="4" t="s">
        <v>21</v>
      </c>
    </row>
    <row r="2289" hidden="1">
      <c r="A2289" s="5">
        <v>43599.27296296296</v>
      </c>
      <c r="B2289" s="4" t="s">
        <v>35</v>
      </c>
      <c r="C2289" s="4" t="s">
        <v>21</v>
      </c>
      <c r="D2289" s="4" t="s">
        <v>21</v>
      </c>
    </row>
    <row r="2290" hidden="1">
      <c r="A2290" s="5">
        <v>43599.275196759256</v>
      </c>
      <c r="B2290" s="4" t="s">
        <v>35</v>
      </c>
      <c r="C2290" s="4" t="s">
        <v>21</v>
      </c>
      <c r="D2290" s="4" t="s">
        <v>21</v>
      </c>
    </row>
    <row r="2291" hidden="1">
      <c r="A2291" s="5">
        <v>43599.27883101852</v>
      </c>
      <c r="B2291" s="4" t="s">
        <v>35</v>
      </c>
      <c r="C2291" s="4" t="s">
        <v>21</v>
      </c>
      <c r="D2291" s="4" t="s">
        <v>21</v>
      </c>
    </row>
    <row r="2292" hidden="1">
      <c r="A2292" s="5">
        <v>43599.28601851852</v>
      </c>
      <c r="B2292" s="4" t="s">
        <v>35</v>
      </c>
      <c r="C2292" s="4" t="s">
        <v>21</v>
      </c>
      <c r="D2292" s="4" t="s">
        <v>21</v>
      </c>
    </row>
    <row r="2293" hidden="1">
      <c r="A2293" s="5">
        <v>43599.29054398148</v>
      </c>
      <c r="B2293" s="4" t="s">
        <v>35</v>
      </c>
      <c r="C2293" s="4" t="s">
        <v>21</v>
      </c>
      <c r="D2293" s="4" t="s">
        <v>21</v>
      </c>
    </row>
    <row r="2294" hidden="1">
      <c r="A2294" s="5">
        <v>43599.29209490741</v>
      </c>
      <c r="B2294" s="4" t="s">
        <v>35</v>
      </c>
      <c r="C2294" s="4" t="s">
        <v>21</v>
      </c>
      <c r="D2294" s="4" t="s">
        <v>21</v>
      </c>
    </row>
    <row r="2295" hidden="1">
      <c r="A2295" s="5">
        <v>43599.345671296294</v>
      </c>
      <c r="B2295" s="4" t="s">
        <v>35</v>
      </c>
      <c r="C2295" s="4" t="s">
        <v>21</v>
      </c>
      <c r="D2295" s="4" t="s">
        <v>21</v>
      </c>
    </row>
    <row r="2296" hidden="1">
      <c r="A2296" s="5">
        <v>43599.34810185185</v>
      </c>
      <c r="B2296" s="4" t="s">
        <v>35</v>
      </c>
      <c r="C2296" s="4" t="s">
        <v>21</v>
      </c>
      <c r="D2296" s="4" t="s">
        <v>21</v>
      </c>
    </row>
    <row r="2297" hidden="1">
      <c r="A2297" s="5">
        <v>43599.3496875</v>
      </c>
      <c r="B2297" s="4" t="s">
        <v>35</v>
      </c>
      <c r="C2297" s="4" t="s">
        <v>21</v>
      </c>
      <c r="D2297" s="4" t="s">
        <v>21</v>
      </c>
    </row>
    <row r="2298" hidden="1">
      <c r="A2298" s="5">
        <v>43599.350798611114</v>
      </c>
      <c r="B2298" s="4" t="s">
        <v>35</v>
      </c>
      <c r="C2298" s="4" t="s">
        <v>21</v>
      </c>
      <c r="D2298" s="4" t="s">
        <v>21</v>
      </c>
    </row>
    <row r="2299" hidden="1">
      <c r="A2299" s="5">
        <v>43599.366643518515</v>
      </c>
      <c r="B2299" s="4" t="s">
        <v>35</v>
      </c>
      <c r="C2299" s="4" t="s">
        <v>21</v>
      </c>
      <c r="D2299" s="4" t="s">
        <v>21</v>
      </c>
    </row>
    <row r="2300" hidden="1">
      <c r="A2300" s="5">
        <v>43599.369259259256</v>
      </c>
      <c r="B2300" s="4" t="s">
        <v>35</v>
      </c>
      <c r="C2300" s="4" t="s">
        <v>21</v>
      </c>
      <c r="D2300" s="4" t="s">
        <v>21</v>
      </c>
    </row>
    <row r="2301" hidden="1">
      <c r="A2301" s="5">
        <v>43599.373136574075</v>
      </c>
      <c r="B2301" s="4" t="s">
        <v>35</v>
      </c>
      <c r="C2301" s="4" t="s">
        <v>21</v>
      </c>
      <c r="D2301" s="4" t="s">
        <v>21</v>
      </c>
    </row>
    <row r="2302" hidden="1">
      <c r="A2302" s="5">
        <v>43599.3777662037</v>
      </c>
      <c r="B2302" s="4" t="s">
        <v>35</v>
      </c>
      <c r="C2302" s="4" t="s">
        <v>21</v>
      </c>
      <c r="D2302" s="4" t="s">
        <v>21</v>
      </c>
    </row>
    <row r="2303" hidden="1">
      <c r="A2303" s="5">
        <v>43599.37938657407</v>
      </c>
      <c r="B2303" s="4" t="s">
        <v>35</v>
      </c>
      <c r="C2303" s="4" t="s">
        <v>21</v>
      </c>
      <c r="D2303" s="4" t="s">
        <v>21</v>
      </c>
    </row>
    <row r="2304" hidden="1">
      <c r="A2304" s="5">
        <v>43599.38166666667</v>
      </c>
      <c r="B2304" s="4" t="s">
        <v>35</v>
      </c>
      <c r="C2304" s="4" t="s">
        <v>21</v>
      </c>
      <c r="D2304" s="4" t="s">
        <v>21</v>
      </c>
    </row>
    <row r="2305" hidden="1">
      <c r="A2305" s="5">
        <v>43599.38471064815</v>
      </c>
      <c r="B2305" s="4" t="s">
        <v>35</v>
      </c>
      <c r="C2305" s="4" t="s">
        <v>21</v>
      </c>
      <c r="D2305" s="4" t="s">
        <v>21</v>
      </c>
    </row>
    <row r="2306" hidden="1">
      <c r="A2306" s="5">
        <v>43599.386030092595</v>
      </c>
      <c r="B2306" s="4" t="s">
        <v>35</v>
      </c>
      <c r="C2306" s="4" t="s">
        <v>21</v>
      </c>
      <c r="D2306" s="4" t="s">
        <v>21</v>
      </c>
    </row>
    <row r="2307" hidden="1">
      <c r="A2307" s="5">
        <v>43599.38892361111</v>
      </c>
      <c r="B2307" s="4" t="s">
        <v>35</v>
      </c>
      <c r="C2307" s="4" t="s">
        <v>21</v>
      </c>
      <c r="D2307" s="4" t="s">
        <v>21</v>
      </c>
    </row>
    <row r="2308" hidden="1">
      <c r="A2308" s="5">
        <v>43599.39032407408</v>
      </c>
      <c r="B2308" s="4" t="s">
        <v>35</v>
      </c>
      <c r="C2308" s="4" t="s">
        <v>21</v>
      </c>
      <c r="D2308" s="4" t="s">
        <v>21</v>
      </c>
    </row>
    <row r="2309" hidden="1">
      <c r="A2309" s="5">
        <v>43599.43372685185</v>
      </c>
      <c r="B2309" s="4" t="s">
        <v>35</v>
      </c>
      <c r="C2309" s="4" t="s">
        <v>21</v>
      </c>
      <c r="D2309" s="4" t="s">
        <v>21</v>
      </c>
    </row>
    <row r="2310" hidden="1">
      <c r="A2310" s="5">
        <v>43599.479629629626</v>
      </c>
      <c r="B2310" s="4" t="s">
        <v>35</v>
      </c>
      <c r="C2310" s="4" t="s">
        <v>21</v>
      </c>
      <c r="D2310" s="4" t="s">
        <v>21</v>
      </c>
    </row>
    <row r="2311" hidden="1">
      <c r="A2311" s="5">
        <v>43599.48068287037</v>
      </c>
      <c r="B2311" s="4" t="s">
        <v>35</v>
      </c>
      <c r="C2311" s="4" t="s">
        <v>21</v>
      </c>
      <c r="D2311" s="4" t="s">
        <v>21</v>
      </c>
    </row>
    <row r="2312" hidden="1">
      <c r="A2312" s="5">
        <v>43599.481620370374</v>
      </c>
      <c r="B2312" s="4" t="s">
        <v>35</v>
      </c>
      <c r="C2312" s="4" t="s">
        <v>21</v>
      </c>
      <c r="D2312" s="4" t="s">
        <v>21</v>
      </c>
    </row>
    <row r="2313" hidden="1">
      <c r="A2313" s="5">
        <v>43599.482523148145</v>
      </c>
      <c r="B2313" s="4" t="s">
        <v>35</v>
      </c>
      <c r="C2313" s="4" t="s">
        <v>21</v>
      </c>
      <c r="D2313" s="4" t="s">
        <v>21</v>
      </c>
    </row>
    <row r="2314" hidden="1">
      <c r="A2314" s="5">
        <v>43599.484085648146</v>
      </c>
      <c r="B2314" s="4" t="s">
        <v>35</v>
      </c>
      <c r="C2314" s="4" t="s">
        <v>21</v>
      </c>
      <c r="D2314" s="4" t="s">
        <v>21</v>
      </c>
    </row>
    <row r="2315" hidden="1">
      <c r="A2315" s="5">
        <v>43599.485185185185</v>
      </c>
      <c r="B2315" s="4" t="s">
        <v>35</v>
      </c>
      <c r="C2315" s="4" t="s">
        <v>21</v>
      </c>
      <c r="D2315" s="4" t="s">
        <v>21</v>
      </c>
    </row>
    <row r="2316" hidden="1">
      <c r="A2316" s="5">
        <v>43599.48641203704</v>
      </c>
      <c r="B2316" s="4" t="s">
        <v>35</v>
      </c>
      <c r="C2316" s="4" t="s">
        <v>21</v>
      </c>
      <c r="D2316" s="4" t="s">
        <v>21</v>
      </c>
    </row>
    <row r="2317" hidden="1">
      <c r="A2317" s="5">
        <v>43599.48751157407</v>
      </c>
      <c r="B2317" s="4" t="s">
        <v>35</v>
      </c>
      <c r="C2317" s="4" t="s">
        <v>21</v>
      </c>
      <c r="D2317" s="4" t="s">
        <v>21</v>
      </c>
    </row>
    <row r="2318" hidden="1">
      <c r="A2318" s="5">
        <v>43599.49017361111</v>
      </c>
      <c r="B2318" s="4" t="s">
        <v>35</v>
      </c>
      <c r="C2318" s="4" t="s">
        <v>21</v>
      </c>
      <c r="D2318" s="4" t="s">
        <v>21</v>
      </c>
    </row>
    <row r="2319" hidden="1">
      <c r="A2319" s="5">
        <v>43599.49650462963</v>
      </c>
      <c r="B2319" s="4" t="s">
        <v>35</v>
      </c>
      <c r="C2319" s="4" t="s">
        <v>21</v>
      </c>
      <c r="D2319" s="4" t="s">
        <v>21</v>
      </c>
    </row>
    <row r="2320" hidden="1">
      <c r="A2320" s="5">
        <v>43599.49741898148</v>
      </c>
      <c r="B2320" s="4" t="s">
        <v>35</v>
      </c>
      <c r="C2320" s="4" t="s">
        <v>21</v>
      </c>
      <c r="D2320" s="4" t="s">
        <v>21</v>
      </c>
    </row>
    <row r="2321" hidden="1">
      <c r="A2321" s="5">
        <v>43599.50503472222</v>
      </c>
      <c r="B2321" s="4" t="s">
        <v>35</v>
      </c>
      <c r="C2321" s="4" t="s">
        <v>21</v>
      </c>
      <c r="D2321" s="4" t="s">
        <v>21</v>
      </c>
    </row>
    <row r="2322" hidden="1">
      <c r="A2322" s="5">
        <v>43620.339849537035</v>
      </c>
      <c r="B2322" s="4" t="s">
        <v>35</v>
      </c>
      <c r="C2322" s="4" t="s">
        <v>21</v>
      </c>
      <c r="D2322" s="4" t="s">
        <v>21</v>
      </c>
    </row>
    <row r="2323" hidden="1">
      <c r="A2323" s="5">
        <v>43620.51028935185</v>
      </c>
      <c r="B2323" s="4" t="s">
        <v>35</v>
      </c>
      <c r="C2323" s="4" t="s">
        <v>21</v>
      </c>
      <c r="D2323" s="4" t="s">
        <v>21</v>
      </c>
    </row>
    <row r="2324" hidden="1">
      <c r="A2324" s="5">
        <v>43620.511724537035</v>
      </c>
      <c r="B2324" s="4" t="s">
        <v>35</v>
      </c>
      <c r="C2324" s="4" t="s">
        <v>21</v>
      </c>
      <c r="D2324" s="4" t="s">
        <v>21</v>
      </c>
    </row>
    <row r="2325" hidden="1">
      <c r="A2325" s="5">
        <v>43620.51835648148</v>
      </c>
      <c r="B2325" s="4" t="s">
        <v>35</v>
      </c>
      <c r="C2325" s="4" t="s">
        <v>21</v>
      </c>
      <c r="D2325" s="4" t="s">
        <v>21</v>
      </c>
    </row>
    <row r="2326">
      <c r="A2326" s="5">
        <v>43622.3953125</v>
      </c>
      <c r="B2326" s="4" t="s">
        <v>33</v>
      </c>
      <c r="C2326" s="4" t="s">
        <v>21</v>
      </c>
      <c r="D2326" s="4" t="s">
        <v>21</v>
      </c>
    </row>
    <row r="2327">
      <c r="A2327" s="5">
        <v>43321.23721064815</v>
      </c>
      <c r="B2327" s="4" t="s">
        <v>33</v>
      </c>
      <c r="C2327" s="4" t="s">
        <v>21</v>
      </c>
      <c r="D2327" s="4" t="s">
        <v>21</v>
      </c>
    </row>
    <row r="2328">
      <c r="A2328" s="5">
        <v>43385.60238425926</v>
      </c>
      <c r="B2328" s="4" t="s">
        <v>33</v>
      </c>
      <c r="C2328" s="4" t="s">
        <v>21</v>
      </c>
      <c r="D2328" s="4" t="s">
        <v>21</v>
      </c>
    </row>
    <row r="2329" hidden="1">
      <c r="A2329" s="5">
        <v>43567.2737037037</v>
      </c>
      <c r="B2329" s="4" t="s">
        <v>35</v>
      </c>
      <c r="C2329" s="4" t="s">
        <v>21</v>
      </c>
      <c r="D2329" s="4" t="s">
        <v>21</v>
      </c>
    </row>
    <row r="2330">
      <c r="A2330" s="5">
        <v>43494.64916666667</v>
      </c>
      <c r="B2330" s="4" t="s">
        <v>33</v>
      </c>
      <c r="C2330" s="4" t="s">
        <v>21</v>
      </c>
      <c r="D2330" s="4" t="s">
        <v>21</v>
      </c>
    </row>
    <row r="2331">
      <c r="A2331" s="5">
        <v>43545.92413194444</v>
      </c>
      <c r="B2331" s="4" t="s">
        <v>33</v>
      </c>
      <c r="C2331" s="4" t="s">
        <v>21</v>
      </c>
      <c r="D2331" s="4" t="s">
        <v>21</v>
      </c>
    </row>
    <row r="2332">
      <c r="A2332" s="5">
        <v>43559.313159722224</v>
      </c>
      <c r="B2332" s="4" t="s">
        <v>33</v>
      </c>
      <c r="C2332" s="4" t="s">
        <v>21</v>
      </c>
      <c r="D2332" s="4" t="s">
        <v>21</v>
      </c>
    </row>
    <row r="2333">
      <c r="A2333" s="5">
        <v>43327.705104166664</v>
      </c>
      <c r="B2333" s="4" t="s">
        <v>33</v>
      </c>
      <c r="C2333" s="4" t="s">
        <v>21</v>
      </c>
      <c r="D2333" s="4" t="s">
        <v>21</v>
      </c>
    </row>
    <row r="2334">
      <c r="A2334" s="5">
        <v>43482.44903935185</v>
      </c>
      <c r="B2334" s="4" t="s">
        <v>33</v>
      </c>
      <c r="C2334" s="4" t="s">
        <v>21</v>
      </c>
      <c r="D2334" s="4" t="s">
        <v>21</v>
      </c>
    </row>
    <row r="2335">
      <c r="A2335" s="5">
        <v>43523.34175925926</v>
      </c>
      <c r="B2335" s="4" t="s">
        <v>33</v>
      </c>
      <c r="C2335" s="4" t="s">
        <v>21</v>
      </c>
      <c r="D2335" s="4" t="s">
        <v>21</v>
      </c>
    </row>
    <row r="2336">
      <c r="A2336" s="5">
        <v>43599.347662037035</v>
      </c>
      <c r="B2336" s="4" t="s">
        <v>33</v>
      </c>
      <c r="C2336" s="4" t="s">
        <v>21</v>
      </c>
      <c r="D2336" s="4" t="s">
        <v>21</v>
      </c>
    </row>
    <row r="2337">
      <c r="A2337" s="5">
        <v>43417.65733796296</v>
      </c>
      <c r="B2337" s="4" t="s">
        <v>33</v>
      </c>
      <c r="C2337" s="4" t="s">
        <v>21</v>
      </c>
      <c r="D2337" s="4" t="s">
        <v>21</v>
      </c>
    </row>
    <row r="2338">
      <c r="A2338" s="5">
        <v>43431.50886574074</v>
      </c>
      <c r="B2338" s="4" t="s">
        <v>33</v>
      </c>
      <c r="C2338" s="4" t="s">
        <v>21</v>
      </c>
      <c r="D2338" s="4" t="s">
        <v>21</v>
      </c>
    </row>
    <row r="2339">
      <c r="A2339" s="5">
        <v>43468.675405092596</v>
      </c>
      <c r="B2339" s="4" t="s">
        <v>33</v>
      </c>
      <c r="C2339" s="4" t="s">
        <v>23</v>
      </c>
      <c r="D2339" s="4" t="s">
        <v>21</v>
      </c>
    </row>
    <row r="2340">
      <c r="A2340" s="5">
        <v>43468.67549768519</v>
      </c>
      <c r="B2340" s="4" t="s">
        <v>33</v>
      </c>
      <c r="C2340" s="4" t="s">
        <v>23</v>
      </c>
      <c r="D2340" s="4" t="s">
        <v>21</v>
      </c>
    </row>
    <row r="2341">
      <c r="A2341" s="5">
        <v>43468.67559027778</v>
      </c>
      <c r="B2341" s="4" t="s">
        <v>33</v>
      </c>
      <c r="C2341" s="4" t="s">
        <v>23</v>
      </c>
      <c r="D2341" s="4" t="s">
        <v>21</v>
      </c>
    </row>
    <row r="2342">
      <c r="A2342" s="5">
        <v>43468.675671296296</v>
      </c>
      <c r="B2342" s="4" t="s">
        <v>33</v>
      </c>
      <c r="C2342" s="4" t="s">
        <v>23</v>
      </c>
      <c r="D2342" s="4" t="s">
        <v>21</v>
      </c>
    </row>
    <row r="2343">
      <c r="A2343" s="5">
        <v>43493.46900462963</v>
      </c>
      <c r="B2343" s="4" t="s">
        <v>33</v>
      </c>
      <c r="C2343" s="4" t="s">
        <v>21</v>
      </c>
      <c r="D2343" s="4" t="s">
        <v>21</v>
      </c>
    </row>
    <row r="2344">
      <c r="A2344" s="5">
        <v>43406.39915509259</v>
      </c>
      <c r="B2344" s="4" t="s">
        <v>33</v>
      </c>
      <c r="C2344" s="4" t="s">
        <v>21</v>
      </c>
      <c r="D2344" s="4" t="s">
        <v>21</v>
      </c>
    </row>
    <row r="2345">
      <c r="A2345" s="5">
        <v>43528.244780092595</v>
      </c>
      <c r="B2345" s="4" t="s">
        <v>33</v>
      </c>
      <c r="C2345" s="4" t="s">
        <v>21</v>
      </c>
      <c r="D2345" s="4" t="s">
        <v>21</v>
      </c>
    </row>
    <row r="2346">
      <c r="A2346" s="5">
        <v>43416.69328703704</v>
      </c>
      <c r="B2346" s="4" t="s">
        <v>33</v>
      </c>
      <c r="C2346" s="4" t="s">
        <v>21</v>
      </c>
      <c r="D2346" s="4" t="s">
        <v>21</v>
      </c>
    </row>
    <row r="2347" hidden="1">
      <c r="A2347" s="5">
        <v>43468.28880787037</v>
      </c>
      <c r="B2347" s="4" t="s">
        <v>35</v>
      </c>
      <c r="C2347" s="4" t="s">
        <v>23</v>
      </c>
      <c r="D2347" s="4" t="s">
        <v>21</v>
      </c>
    </row>
    <row r="2348">
      <c r="A2348" s="5">
        <v>43525.60728009259</v>
      </c>
      <c r="B2348" s="4" t="s">
        <v>33</v>
      </c>
      <c r="C2348" s="4" t="s">
        <v>21</v>
      </c>
      <c r="D2348" s="4" t="s">
        <v>21</v>
      </c>
    </row>
    <row r="2349">
      <c r="A2349" s="5">
        <v>43399.472604166665</v>
      </c>
      <c r="B2349" s="4" t="s">
        <v>33</v>
      </c>
      <c r="C2349" s="4" t="s">
        <v>21</v>
      </c>
      <c r="D2349" s="4" t="s">
        <v>21</v>
      </c>
    </row>
    <row r="2350">
      <c r="A2350" s="5">
        <v>43532.688043981485</v>
      </c>
      <c r="B2350" s="4" t="s">
        <v>33</v>
      </c>
      <c r="C2350" s="4" t="s">
        <v>21</v>
      </c>
      <c r="D2350" s="4" t="s">
        <v>21</v>
      </c>
    </row>
    <row r="2351" hidden="1">
      <c r="A2351" s="5">
        <v>43515.43680555555</v>
      </c>
      <c r="B2351" s="4" t="s">
        <v>35</v>
      </c>
      <c r="C2351" s="4" t="s">
        <v>21</v>
      </c>
      <c r="D2351" s="4" t="s">
        <v>21</v>
      </c>
    </row>
    <row r="2352">
      <c r="A2352" s="5">
        <v>43518.467523148145</v>
      </c>
      <c r="B2352" s="4" t="s">
        <v>33</v>
      </c>
      <c r="C2352" s="4" t="s">
        <v>21</v>
      </c>
      <c r="D2352" s="4" t="s">
        <v>21</v>
      </c>
    </row>
    <row r="2353">
      <c r="A2353" s="5">
        <v>43518.48898148148</v>
      </c>
      <c r="B2353" s="4" t="s">
        <v>33</v>
      </c>
      <c r="C2353" s="4" t="s">
        <v>21</v>
      </c>
      <c r="D2353" s="4" t="s">
        <v>21</v>
      </c>
    </row>
    <row r="2354">
      <c r="A2354" s="5">
        <v>43518.495787037034</v>
      </c>
      <c r="B2354" s="4" t="s">
        <v>33</v>
      </c>
      <c r="C2354" s="4" t="s">
        <v>21</v>
      </c>
      <c r="D2354" s="4" t="s">
        <v>21</v>
      </c>
    </row>
    <row r="2355">
      <c r="A2355" s="5">
        <v>43546.47005787037</v>
      </c>
      <c r="B2355" s="4" t="s">
        <v>33</v>
      </c>
      <c r="C2355" s="4" t="s">
        <v>21</v>
      </c>
      <c r="D2355" s="4" t="s">
        <v>21</v>
      </c>
    </row>
    <row r="2356">
      <c r="A2356" s="5">
        <v>43523.371770833335</v>
      </c>
      <c r="B2356" s="4" t="s">
        <v>33</v>
      </c>
      <c r="C2356" s="4" t="s">
        <v>21</v>
      </c>
      <c r="D2356" s="4" t="s">
        <v>21</v>
      </c>
    </row>
    <row r="2357">
      <c r="A2357" s="5">
        <v>43542.50739583333</v>
      </c>
      <c r="B2357" s="4" t="s">
        <v>33</v>
      </c>
      <c r="C2357" s="4" t="s">
        <v>21</v>
      </c>
      <c r="D2357" s="4" t="s">
        <v>21</v>
      </c>
    </row>
    <row r="2358">
      <c r="A2358" s="5">
        <v>43516.44719907407</v>
      </c>
      <c r="B2358" s="4" t="s">
        <v>33</v>
      </c>
      <c r="C2358" s="4" t="s">
        <v>21</v>
      </c>
      <c r="D2358" s="4" t="s">
        <v>21</v>
      </c>
    </row>
    <row r="2359">
      <c r="A2359" s="5">
        <v>43531.93010416667</v>
      </c>
      <c r="B2359" s="4" t="s">
        <v>33</v>
      </c>
      <c r="C2359" s="4" t="s">
        <v>21</v>
      </c>
      <c r="D2359" s="4" t="s">
        <v>21</v>
      </c>
    </row>
    <row r="2360">
      <c r="A2360" s="5">
        <v>43532.014375</v>
      </c>
      <c r="B2360" s="4" t="s">
        <v>33</v>
      </c>
      <c r="C2360" s="4" t="s">
        <v>21</v>
      </c>
      <c r="D2360" s="4" t="s">
        <v>21</v>
      </c>
    </row>
    <row r="2361">
      <c r="A2361" s="5">
        <v>43420.507523148146</v>
      </c>
      <c r="B2361" s="4" t="s">
        <v>33</v>
      </c>
      <c r="C2361" s="4" t="s">
        <v>21</v>
      </c>
      <c r="D2361" s="4" t="s">
        <v>21</v>
      </c>
    </row>
    <row r="2362" hidden="1">
      <c r="A2362" s="5">
        <v>43526.090266203704</v>
      </c>
      <c r="B2362" s="4" t="s">
        <v>35</v>
      </c>
      <c r="C2362" s="4" t="s">
        <v>21</v>
      </c>
      <c r="D2362" s="4" t="s">
        <v>21</v>
      </c>
    </row>
    <row r="2363" hidden="1">
      <c r="A2363" s="5">
        <v>43599.15775462963</v>
      </c>
      <c r="B2363" s="4" t="s">
        <v>35</v>
      </c>
      <c r="C2363" s="4" t="s">
        <v>21</v>
      </c>
      <c r="D2363" s="4" t="s">
        <v>21</v>
      </c>
    </row>
    <row r="2364">
      <c r="A2364" s="5">
        <v>43472.484872685185</v>
      </c>
      <c r="B2364" s="4" t="s">
        <v>33</v>
      </c>
      <c r="C2364" s="4" t="s">
        <v>21</v>
      </c>
      <c r="D2364" s="4" t="s">
        <v>21</v>
      </c>
    </row>
    <row r="2365" hidden="1">
      <c r="A2365" s="5">
        <v>43581.641550925924</v>
      </c>
      <c r="B2365" s="4" t="s">
        <v>35</v>
      </c>
      <c r="C2365" s="4" t="s">
        <v>21</v>
      </c>
      <c r="D2365" s="4" t="s">
        <v>21</v>
      </c>
    </row>
    <row r="2366">
      <c r="A2366" s="5">
        <v>43481.67170138889</v>
      </c>
      <c r="B2366" s="4" t="s">
        <v>33</v>
      </c>
      <c r="C2366" s="4" t="s">
        <v>21</v>
      </c>
      <c r="D2366" s="4" t="s">
        <v>21</v>
      </c>
    </row>
    <row r="2367">
      <c r="A2367" s="5">
        <v>43494.68015046296</v>
      </c>
      <c r="B2367" s="4" t="s">
        <v>33</v>
      </c>
      <c r="C2367" s="4" t="s">
        <v>21</v>
      </c>
      <c r="D2367" s="4" t="s">
        <v>21</v>
      </c>
    </row>
    <row r="2368">
      <c r="A2368" s="5">
        <v>43474.46895833333</v>
      </c>
      <c r="B2368" s="4" t="s">
        <v>33</v>
      </c>
      <c r="C2368" s="4" t="s">
        <v>21</v>
      </c>
      <c r="D2368" s="4" t="s">
        <v>21</v>
      </c>
    </row>
    <row r="2369">
      <c r="A2369" s="5">
        <v>43472.4799537037</v>
      </c>
      <c r="B2369" s="4" t="s">
        <v>33</v>
      </c>
      <c r="C2369" s="4" t="s">
        <v>21</v>
      </c>
      <c r="D2369" s="4" t="s">
        <v>21</v>
      </c>
    </row>
    <row r="2370" hidden="1">
      <c r="A2370" s="5">
        <v>43551.43347222222</v>
      </c>
      <c r="B2370" s="4" t="s">
        <v>35</v>
      </c>
      <c r="C2370" s="4" t="s">
        <v>21</v>
      </c>
      <c r="D2370" s="4" t="s">
        <v>21</v>
      </c>
    </row>
    <row r="2371">
      <c r="A2371" s="5">
        <v>43550.53870370371</v>
      </c>
      <c r="B2371" s="4" t="s">
        <v>33</v>
      </c>
      <c r="C2371" s="4" t="s">
        <v>21</v>
      </c>
      <c r="D2371" s="4" t="s">
        <v>21</v>
      </c>
    </row>
    <row r="2372">
      <c r="A2372" s="5">
        <v>43501.70899305555</v>
      </c>
      <c r="B2372" s="4" t="s">
        <v>33</v>
      </c>
      <c r="C2372" s="4" t="s">
        <v>21</v>
      </c>
      <c r="D2372" s="4" t="s">
        <v>23</v>
      </c>
    </row>
    <row r="2373">
      <c r="A2373" s="5">
        <v>43602.39010416667</v>
      </c>
      <c r="B2373" s="4" t="s">
        <v>33</v>
      </c>
      <c r="C2373" s="4" t="s">
        <v>21</v>
      </c>
      <c r="D2373" s="4" t="s">
        <v>21</v>
      </c>
    </row>
    <row r="2374" hidden="1">
      <c r="A2374" s="5">
        <v>43629.27361111111</v>
      </c>
      <c r="B2374" s="4" t="s">
        <v>35</v>
      </c>
      <c r="C2374" s="4" t="s">
        <v>21</v>
      </c>
      <c r="D2374" s="4" t="s">
        <v>21</v>
      </c>
    </row>
    <row r="2375" hidden="1">
      <c r="A2375" s="5">
        <v>43629.27453703704</v>
      </c>
      <c r="B2375" s="4" t="s">
        <v>35</v>
      </c>
      <c r="C2375" s="4" t="s">
        <v>21</v>
      </c>
      <c r="D2375" s="4" t="s">
        <v>21</v>
      </c>
    </row>
    <row r="2376">
      <c r="A2376" s="5">
        <v>43402.36355324074</v>
      </c>
      <c r="B2376" s="4" t="s">
        <v>33</v>
      </c>
      <c r="C2376" s="4" t="s">
        <v>21</v>
      </c>
      <c r="D2376" s="4" t="s">
        <v>21</v>
      </c>
    </row>
    <row r="2377">
      <c r="A2377" s="5">
        <v>43509.34978009259</v>
      </c>
      <c r="B2377" s="4" t="s">
        <v>33</v>
      </c>
      <c r="C2377" s="4" t="s">
        <v>21</v>
      </c>
      <c r="D2377" s="4" t="s">
        <v>21</v>
      </c>
    </row>
    <row r="2378" hidden="1">
      <c r="A2378" s="5">
        <v>43409.836689814816</v>
      </c>
      <c r="B2378" s="4" t="s">
        <v>37</v>
      </c>
      <c r="C2378" s="4" t="s">
        <v>21</v>
      </c>
      <c r="D2378" s="4" t="s">
        <v>21</v>
      </c>
    </row>
    <row r="2379" hidden="1">
      <c r="A2379" s="5">
        <v>43518.0434837963</v>
      </c>
      <c r="B2379" s="4" t="s">
        <v>35</v>
      </c>
      <c r="C2379" s="4" t="s">
        <v>21</v>
      </c>
      <c r="D2379" s="4" t="s">
        <v>21</v>
      </c>
    </row>
    <row r="2380">
      <c r="A2380" s="5">
        <v>43549.369780092595</v>
      </c>
      <c r="B2380" s="4" t="s">
        <v>33</v>
      </c>
      <c r="C2380" s="4" t="s">
        <v>21</v>
      </c>
      <c r="D2380" s="4" t="s">
        <v>21</v>
      </c>
    </row>
    <row r="2381">
      <c r="A2381" s="5">
        <v>43558.49318287037</v>
      </c>
      <c r="B2381" s="4" t="s">
        <v>33</v>
      </c>
      <c r="C2381" s="4" t="s">
        <v>21</v>
      </c>
      <c r="D2381" s="4" t="s">
        <v>21</v>
      </c>
    </row>
    <row r="2382">
      <c r="A2382" s="5">
        <v>43558.493738425925</v>
      </c>
      <c r="B2382" s="4" t="s">
        <v>33</v>
      </c>
      <c r="C2382" s="4" t="s">
        <v>21</v>
      </c>
      <c r="D2382" s="4" t="s">
        <v>21</v>
      </c>
    </row>
    <row r="2383">
      <c r="A2383" s="5">
        <v>43558.49527777778</v>
      </c>
      <c r="B2383" s="4" t="s">
        <v>33</v>
      </c>
      <c r="C2383" s="4" t="s">
        <v>21</v>
      </c>
      <c r="D2383" s="4" t="s">
        <v>21</v>
      </c>
    </row>
    <row r="2384">
      <c r="A2384" s="5">
        <v>43558.49747685185</v>
      </c>
      <c r="B2384" s="4" t="s">
        <v>33</v>
      </c>
      <c r="C2384" s="4" t="s">
        <v>21</v>
      </c>
      <c r="D2384" s="4" t="s">
        <v>21</v>
      </c>
    </row>
    <row r="2385">
      <c r="A2385" s="5">
        <v>43558.49914351852</v>
      </c>
      <c r="B2385" s="4" t="s">
        <v>33</v>
      </c>
      <c r="C2385" s="4" t="s">
        <v>21</v>
      </c>
      <c r="D2385" s="4" t="s">
        <v>21</v>
      </c>
    </row>
    <row r="2386">
      <c r="A2386" s="5">
        <v>43558.50152777778</v>
      </c>
      <c r="B2386" s="4" t="s">
        <v>33</v>
      </c>
      <c r="C2386" s="4" t="s">
        <v>21</v>
      </c>
      <c r="D2386" s="4" t="s">
        <v>21</v>
      </c>
    </row>
    <row r="2387">
      <c r="A2387" s="5">
        <v>43418.576261574075</v>
      </c>
      <c r="B2387" s="4" t="s">
        <v>33</v>
      </c>
      <c r="C2387" s="4" t="s">
        <v>21</v>
      </c>
      <c r="D2387" s="4" t="s">
        <v>21</v>
      </c>
    </row>
    <row r="2388">
      <c r="A2388" s="5">
        <v>43486.517592592594</v>
      </c>
      <c r="B2388" s="4" t="s">
        <v>33</v>
      </c>
      <c r="C2388" s="4" t="s">
        <v>21</v>
      </c>
      <c r="D2388" s="4" t="s">
        <v>21</v>
      </c>
    </row>
    <row r="2389">
      <c r="A2389" s="5">
        <v>43486.53333333333</v>
      </c>
      <c r="B2389" s="4" t="s">
        <v>33</v>
      </c>
      <c r="C2389" s="4" t="s">
        <v>21</v>
      </c>
      <c r="D2389" s="4" t="s">
        <v>21</v>
      </c>
    </row>
    <row r="2390">
      <c r="A2390" s="5">
        <v>43493.403032407405</v>
      </c>
      <c r="B2390" s="4" t="s">
        <v>33</v>
      </c>
      <c r="C2390" s="4" t="s">
        <v>21</v>
      </c>
      <c r="D2390" s="4" t="s">
        <v>21</v>
      </c>
    </row>
    <row r="2391">
      <c r="A2391" s="5">
        <v>43493.40314814815</v>
      </c>
      <c r="B2391" s="4" t="s">
        <v>33</v>
      </c>
      <c r="C2391" s="4" t="s">
        <v>21</v>
      </c>
      <c r="D2391" s="4" t="s">
        <v>21</v>
      </c>
    </row>
    <row r="2392">
      <c r="A2392" s="5">
        <v>43501.56351851852</v>
      </c>
      <c r="B2392" s="4" t="s">
        <v>33</v>
      </c>
      <c r="C2392" s="4" t="s">
        <v>21</v>
      </c>
      <c r="D2392" s="4" t="s">
        <v>23</v>
      </c>
    </row>
    <row r="2393">
      <c r="A2393" s="5">
        <v>43536.5490162037</v>
      </c>
      <c r="B2393" s="4" t="s">
        <v>33</v>
      </c>
      <c r="C2393" s="4" t="s">
        <v>21</v>
      </c>
      <c r="D2393" s="4" t="s">
        <v>21</v>
      </c>
    </row>
    <row r="2394">
      <c r="A2394" s="5">
        <v>43563.48883101852</v>
      </c>
      <c r="B2394" s="4" t="s">
        <v>33</v>
      </c>
      <c r="C2394" s="4" t="s">
        <v>21</v>
      </c>
      <c r="D2394" s="4" t="s">
        <v>21</v>
      </c>
    </row>
    <row r="2395">
      <c r="A2395" s="5">
        <v>43362.420625</v>
      </c>
      <c r="B2395" s="4" t="s">
        <v>33</v>
      </c>
      <c r="C2395" s="4" t="s">
        <v>21</v>
      </c>
      <c r="D2395" s="4" t="s">
        <v>21</v>
      </c>
    </row>
    <row r="2396">
      <c r="A2396" s="5">
        <v>43363.42222222222</v>
      </c>
      <c r="B2396" s="4" t="s">
        <v>33</v>
      </c>
      <c r="C2396" s="4" t="s">
        <v>21</v>
      </c>
      <c r="D2396" s="4" t="s">
        <v>21</v>
      </c>
    </row>
    <row r="2397">
      <c r="A2397" s="5">
        <v>43399.424097222225</v>
      </c>
      <c r="B2397" s="4" t="s">
        <v>33</v>
      </c>
      <c r="C2397" s="4" t="s">
        <v>21</v>
      </c>
      <c r="D2397" s="4" t="s">
        <v>21</v>
      </c>
    </row>
    <row r="2398">
      <c r="A2398" s="5">
        <v>43419.38415509259</v>
      </c>
      <c r="B2398" s="4" t="s">
        <v>33</v>
      </c>
      <c r="C2398" s="4" t="s">
        <v>21</v>
      </c>
      <c r="D2398" s="4" t="s">
        <v>21</v>
      </c>
    </row>
    <row r="2399">
      <c r="A2399" s="5">
        <v>43451.39577546297</v>
      </c>
      <c r="B2399" s="4" t="s">
        <v>33</v>
      </c>
      <c r="C2399" s="4" t="s">
        <v>21</v>
      </c>
      <c r="D2399" s="4" t="s">
        <v>21</v>
      </c>
    </row>
    <row r="2400" hidden="1">
      <c r="A2400" s="5">
        <v>43480.76329861111</v>
      </c>
      <c r="B2400" s="4" t="s">
        <v>38</v>
      </c>
      <c r="C2400" s="4" t="s">
        <v>21</v>
      </c>
      <c r="D2400" s="4" t="s">
        <v>21</v>
      </c>
    </row>
    <row r="2401" hidden="1">
      <c r="A2401" s="5">
        <v>43508.7746875</v>
      </c>
      <c r="B2401" s="4" t="s">
        <v>35</v>
      </c>
      <c r="C2401" s="4" t="s">
        <v>21</v>
      </c>
      <c r="D2401" s="4" t="s">
        <v>21</v>
      </c>
    </row>
    <row r="2402" hidden="1">
      <c r="A2402" s="5">
        <v>43517.38148148148</v>
      </c>
      <c r="B2402" s="4" t="s">
        <v>35</v>
      </c>
      <c r="C2402" s="4" t="s">
        <v>21</v>
      </c>
      <c r="D2402" s="4" t="s">
        <v>21</v>
      </c>
    </row>
    <row r="2403" hidden="1">
      <c r="A2403" s="5">
        <v>43521.75231481482</v>
      </c>
      <c r="B2403" s="4" t="s">
        <v>35</v>
      </c>
      <c r="C2403" s="4" t="s">
        <v>21</v>
      </c>
      <c r="D2403" s="4" t="s">
        <v>21</v>
      </c>
    </row>
    <row r="2404">
      <c r="A2404" s="5">
        <v>43538.31491898148</v>
      </c>
      <c r="B2404" s="4" t="s">
        <v>33</v>
      </c>
      <c r="C2404" s="4" t="s">
        <v>21</v>
      </c>
      <c r="D2404" s="4" t="s">
        <v>21</v>
      </c>
    </row>
    <row r="2405">
      <c r="A2405" s="5">
        <v>43560.36133101852</v>
      </c>
      <c r="B2405" s="4" t="s">
        <v>33</v>
      </c>
      <c r="C2405" s="4" t="s">
        <v>21</v>
      </c>
      <c r="D2405" s="4" t="s">
        <v>21</v>
      </c>
    </row>
    <row r="2406">
      <c r="A2406" s="5">
        <v>43565.190625</v>
      </c>
      <c r="B2406" s="4" t="s">
        <v>33</v>
      </c>
      <c r="C2406" s="4" t="s">
        <v>21</v>
      </c>
      <c r="D2406" s="4" t="s">
        <v>21</v>
      </c>
    </row>
    <row r="2407">
      <c r="A2407" s="5">
        <v>43571.11783564815</v>
      </c>
      <c r="B2407" s="4" t="s">
        <v>33</v>
      </c>
      <c r="C2407" s="4" t="s">
        <v>21</v>
      </c>
      <c r="D2407" s="4" t="s">
        <v>21</v>
      </c>
    </row>
    <row r="2408" hidden="1">
      <c r="A2408" s="5">
        <v>43599.80028935185</v>
      </c>
      <c r="B2408" s="4" t="s">
        <v>35</v>
      </c>
      <c r="C2408" s="4" t="s">
        <v>21</v>
      </c>
      <c r="D2408" s="4" t="s">
        <v>21</v>
      </c>
    </row>
    <row r="2409">
      <c r="A2409" s="5">
        <v>43630.86332175926</v>
      </c>
      <c r="B2409" s="4" t="s">
        <v>33</v>
      </c>
      <c r="C2409" s="4" t="s">
        <v>21</v>
      </c>
      <c r="D2409" s="4" t="s">
        <v>21</v>
      </c>
    </row>
    <row r="2410">
      <c r="A2410" s="5">
        <v>43549.64745370371</v>
      </c>
      <c r="B2410" s="4" t="s">
        <v>33</v>
      </c>
      <c r="C2410" s="4" t="s">
        <v>21</v>
      </c>
      <c r="D2410" s="4" t="s">
        <v>21</v>
      </c>
    </row>
    <row r="2411">
      <c r="A2411" s="5">
        <v>43628.52361111111</v>
      </c>
      <c r="B2411" s="4" t="s">
        <v>33</v>
      </c>
      <c r="C2411" s="4" t="s">
        <v>21</v>
      </c>
      <c r="D2411" s="4" t="s">
        <v>21</v>
      </c>
    </row>
    <row r="2412">
      <c r="A2412" s="5">
        <v>43635.39545138889</v>
      </c>
      <c r="B2412" s="4" t="s">
        <v>33</v>
      </c>
      <c r="C2412" s="4" t="s">
        <v>21</v>
      </c>
      <c r="D2412" s="4" t="s">
        <v>21</v>
      </c>
    </row>
    <row r="2413" hidden="1">
      <c r="A2413" s="5">
        <v>43599.4353587963</v>
      </c>
      <c r="B2413" s="4" t="s">
        <v>35</v>
      </c>
      <c r="C2413" s="4" t="s">
        <v>21</v>
      </c>
      <c r="D2413" s="4" t="s">
        <v>21</v>
      </c>
    </row>
    <row r="2414">
      <c r="A2414" s="5">
        <v>43515.39297453704</v>
      </c>
      <c r="B2414" s="4" t="s">
        <v>33</v>
      </c>
      <c r="C2414" s="4" t="s">
        <v>21</v>
      </c>
      <c r="D2414" s="4" t="s">
        <v>21</v>
      </c>
    </row>
    <row r="2415">
      <c r="A2415" s="5">
        <v>43636.521527777775</v>
      </c>
      <c r="B2415" s="4" t="s">
        <v>33</v>
      </c>
      <c r="C2415" s="4" t="s">
        <v>21</v>
      </c>
      <c r="D2415" s="4" t="s">
        <v>21</v>
      </c>
    </row>
    <row r="2416" hidden="1">
      <c r="A2416" s="5">
        <v>43511.46729166667</v>
      </c>
      <c r="B2416" s="4" t="s">
        <v>35</v>
      </c>
      <c r="C2416" s="4" t="s">
        <v>21</v>
      </c>
      <c r="D2416" s="4" t="s">
        <v>21</v>
      </c>
    </row>
    <row r="2417">
      <c r="A2417" s="5">
        <v>43399.42429398148</v>
      </c>
      <c r="B2417" s="4" t="s">
        <v>33</v>
      </c>
      <c r="C2417" s="4" t="s">
        <v>21</v>
      </c>
      <c r="D2417" s="4" t="s">
        <v>21</v>
      </c>
    </row>
    <row r="2418">
      <c r="A2418" s="5">
        <v>43399.47974537037</v>
      </c>
      <c r="B2418" s="4" t="s">
        <v>33</v>
      </c>
      <c r="C2418" s="4" t="s">
        <v>21</v>
      </c>
      <c r="D2418" s="4" t="s">
        <v>21</v>
      </c>
    </row>
    <row r="2419">
      <c r="A2419" s="5">
        <v>43399.47997685185</v>
      </c>
      <c r="B2419" s="4" t="s">
        <v>33</v>
      </c>
      <c r="C2419" s="4" t="s">
        <v>21</v>
      </c>
      <c r="D2419" s="4" t="s">
        <v>21</v>
      </c>
    </row>
    <row r="2420">
      <c r="A2420" s="5">
        <v>43399.507893518516</v>
      </c>
      <c r="B2420" s="4" t="s">
        <v>33</v>
      </c>
      <c r="C2420" s="4" t="s">
        <v>21</v>
      </c>
      <c r="D2420" s="4" t="s">
        <v>21</v>
      </c>
    </row>
    <row r="2421">
      <c r="A2421" s="5">
        <v>43413.465625</v>
      </c>
      <c r="B2421" s="4" t="s">
        <v>33</v>
      </c>
      <c r="C2421" s="4" t="s">
        <v>21</v>
      </c>
      <c r="D2421" s="4" t="s">
        <v>21</v>
      </c>
    </row>
    <row r="2422">
      <c r="A2422" s="5">
        <v>43413.5490625</v>
      </c>
      <c r="B2422" s="4" t="s">
        <v>33</v>
      </c>
      <c r="C2422" s="4" t="s">
        <v>21</v>
      </c>
      <c r="D2422" s="4" t="s">
        <v>21</v>
      </c>
    </row>
    <row r="2423">
      <c r="A2423" s="5">
        <v>43538.33530092592</v>
      </c>
      <c r="B2423" s="4" t="s">
        <v>33</v>
      </c>
      <c r="C2423" s="4" t="s">
        <v>21</v>
      </c>
      <c r="D2423" s="4" t="s">
        <v>21</v>
      </c>
    </row>
    <row r="2424" hidden="1">
      <c r="A2424" s="5">
        <v>43629.27546296296</v>
      </c>
      <c r="B2424" s="4" t="s">
        <v>35</v>
      </c>
      <c r="C2424" s="4" t="s">
        <v>21</v>
      </c>
      <c r="D2424" s="4" t="s">
        <v>21</v>
      </c>
    </row>
    <row r="2425" hidden="1">
      <c r="A2425" s="5">
        <v>43629.276192129626</v>
      </c>
      <c r="B2425" s="4" t="s">
        <v>35</v>
      </c>
      <c r="C2425" s="4" t="s">
        <v>21</v>
      </c>
      <c r="D2425" s="4" t="s">
        <v>21</v>
      </c>
    </row>
    <row r="2426" hidden="1">
      <c r="A2426" s="5">
        <v>43629.27693287037</v>
      </c>
      <c r="B2426" s="4" t="s">
        <v>35</v>
      </c>
      <c r="C2426" s="4" t="s">
        <v>21</v>
      </c>
      <c r="D2426" s="4" t="s">
        <v>21</v>
      </c>
    </row>
    <row r="2427" hidden="1">
      <c r="A2427" s="5">
        <v>43629.277708333335</v>
      </c>
      <c r="B2427" s="4" t="s">
        <v>35</v>
      </c>
      <c r="C2427" s="4" t="s">
        <v>21</v>
      </c>
      <c r="D2427" s="4" t="s">
        <v>21</v>
      </c>
    </row>
    <row r="2428" hidden="1">
      <c r="A2428" s="5">
        <v>43632.04288194444</v>
      </c>
      <c r="B2428" s="4" t="s">
        <v>35</v>
      </c>
      <c r="C2428" s="4" t="s">
        <v>21</v>
      </c>
      <c r="D2428" s="4" t="s">
        <v>21</v>
      </c>
    </row>
    <row r="2429" hidden="1">
      <c r="A2429" s="5">
        <v>43632.043703703705</v>
      </c>
      <c r="B2429" s="4" t="s">
        <v>35</v>
      </c>
      <c r="C2429" s="4" t="s">
        <v>21</v>
      </c>
      <c r="D2429" s="4" t="s">
        <v>21</v>
      </c>
    </row>
    <row r="2430" hidden="1">
      <c r="A2430" s="5">
        <v>43632.04425925926</v>
      </c>
      <c r="B2430" s="4" t="s">
        <v>35</v>
      </c>
      <c r="C2430" s="4" t="s">
        <v>21</v>
      </c>
      <c r="D2430" s="4" t="s">
        <v>21</v>
      </c>
    </row>
    <row r="2431">
      <c r="A2431" s="5">
        <v>43635.57570601852</v>
      </c>
      <c r="B2431" s="4" t="s">
        <v>33</v>
      </c>
      <c r="C2431" s="4" t="s">
        <v>21</v>
      </c>
      <c r="D2431" s="4" t="s">
        <v>21</v>
      </c>
    </row>
    <row r="2432">
      <c r="A2432" s="5">
        <v>43517.259560185186</v>
      </c>
      <c r="B2432" s="4" t="s">
        <v>33</v>
      </c>
      <c r="C2432" s="4" t="s">
        <v>21</v>
      </c>
      <c r="D2432" s="4" t="s">
        <v>21</v>
      </c>
    </row>
    <row r="2433">
      <c r="A2433" s="5">
        <v>43539.1280787037</v>
      </c>
      <c r="B2433" s="4" t="s">
        <v>33</v>
      </c>
      <c r="C2433" s="4" t="s">
        <v>21</v>
      </c>
      <c r="D2433" s="4" t="s">
        <v>21</v>
      </c>
    </row>
    <row r="2434">
      <c r="A2434" s="5">
        <v>43535.60836805555</v>
      </c>
      <c r="B2434" s="4" t="s">
        <v>33</v>
      </c>
      <c r="C2434" s="4" t="s">
        <v>21</v>
      </c>
      <c r="D2434" s="4" t="s">
        <v>21</v>
      </c>
    </row>
    <row r="2435">
      <c r="A2435" s="5">
        <v>43419.652719907404</v>
      </c>
      <c r="B2435" s="4" t="s">
        <v>33</v>
      </c>
      <c r="C2435" s="4" t="s">
        <v>21</v>
      </c>
      <c r="D2435" s="4" t="s">
        <v>21</v>
      </c>
    </row>
    <row r="2436">
      <c r="A2436" s="5"/>
    </row>
    <row r="2437">
      <c r="A2437" s="5"/>
    </row>
    <row r="2438">
      <c r="A2438" s="5"/>
    </row>
    <row r="2439">
      <c r="A2439" s="5"/>
    </row>
    <row r="2440">
      <c r="A2440" s="5"/>
    </row>
    <row r="2441">
      <c r="A2441" s="5"/>
    </row>
    <row r="2442">
      <c r="A2442" s="5"/>
    </row>
    <row r="2443">
      <c r="A2443" s="5"/>
    </row>
    <row r="2444">
      <c r="A2444" s="5"/>
    </row>
    <row r="2445">
      <c r="A2445" s="5"/>
    </row>
    <row r="2446">
      <c r="A2446" s="5"/>
    </row>
    <row r="2447">
      <c r="A2447" s="5"/>
    </row>
    <row r="2448">
      <c r="A2448" s="5"/>
    </row>
    <row r="2449">
      <c r="A2449" s="5"/>
    </row>
    <row r="2450">
      <c r="A2450" s="5"/>
    </row>
    <row r="2451">
      <c r="A2451" s="5"/>
    </row>
    <row r="2452">
      <c r="A2452" s="5"/>
    </row>
    <row r="2453">
      <c r="A2453" s="5"/>
    </row>
    <row r="2454">
      <c r="A2454" s="5"/>
    </row>
    <row r="2455">
      <c r="A2455" s="5"/>
    </row>
    <row r="2456">
      <c r="A2456" s="5"/>
    </row>
    <row r="2457">
      <c r="A2457" s="5"/>
    </row>
    <row r="2458">
      <c r="A2458" s="5"/>
    </row>
    <row r="2459">
      <c r="A2459" s="5"/>
    </row>
    <row r="2460">
      <c r="A2460" s="5"/>
    </row>
    <row r="2461">
      <c r="A2461" s="5"/>
    </row>
    <row r="2462">
      <c r="A2462" s="5"/>
    </row>
    <row r="2463">
      <c r="A2463" s="5"/>
    </row>
    <row r="2464">
      <c r="A2464" s="5"/>
    </row>
    <row r="2465">
      <c r="A2465" s="5"/>
    </row>
    <row r="2466">
      <c r="A2466" s="5"/>
    </row>
    <row r="2467">
      <c r="A2467" s="5"/>
    </row>
    <row r="2468">
      <c r="A2468" s="5"/>
    </row>
    <row r="2469">
      <c r="A2469" s="5"/>
    </row>
    <row r="2470">
      <c r="A2470" s="5"/>
    </row>
    <row r="2471">
      <c r="A2471" s="5"/>
    </row>
    <row r="2472">
      <c r="A2472" s="5"/>
    </row>
    <row r="2473">
      <c r="A2473" s="5"/>
    </row>
    <row r="2474">
      <c r="A2474" s="5"/>
    </row>
    <row r="2475">
      <c r="A2475" s="5"/>
    </row>
    <row r="2476">
      <c r="A2476" s="5"/>
    </row>
    <row r="2477">
      <c r="A2477" s="5"/>
    </row>
    <row r="2478">
      <c r="A2478" s="5"/>
    </row>
    <row r="2479">
      <c r="A2479" s="5"/>
    </row>
    <row r="2480">
      <c r="A2480" s="5"/>
    </row>
    <row r="2481">
      <c r="A2481" s="5"/>
    </row>
    <row r="2482">
      <c r="A2482" s="5"/>
    </row>
    <row r="2483">
      <c r="A2483" s="5"/>
    </row>
    <row r="2484">
      <c r="A2484" s="5"/>
    </row>
    <row r="2485">
      <c r="A2485" s="5"/>
    </row>
    <row r="2486">
      <c r="A2486" s="5"/>
    </row>
    <row r="2487">
      <c r="A2487" s="5"/>
    </row>
    <row r="2488">
      <c r="A2488" s="5"/>
    </row>
    <row r="2489">
      <c r="A2489" s="5"/>
    </row>
    <row r="2490">
      <c r="A2490" s="5"/>
    </row>
    <row r="2491">
      <c r="A2491" s="5"/>
    </row>
    <row r="2492">
      <c r="A2492" s="5"/>
    </row>
    <row r="2493">
      <c r="A2493" s="5"/>
    </row>
    <row r="2494">
      <c r="A2494" s="5"/>
    </row>
    <row r="2495">
      <c r="A2495" s="5"/>
    </row>
    <row r="2496">
      <c r="A2496" s="5"/>
    </row>
    <row r="2497">
      <c r="A2497" s="5"/>
    </row>
    <row r="2498">
      <c r="A2498" s="5"/>
    </row>
    <row r="2499">
      <c r="A2499" s="5"/>
    </row>
    <row r="2500">
      <c r="A2500" s="5"/>
    </row>
    <row r="2501">
      <c r="A2501" s="5"/>
    </row>
    <row r="2502">
      <c r="A2502" s="5"/>
    </row>
    <row r="2503">
      <c r="A2503" s="5"/>
    </row>
    <row r="2504">
      <c r="A2504" s="5"/>
    </row>
    <row r="2505">
      <c r="A2505" s="5"/>
    </row>
    <row r="2506">
      <c r="A2506" s="5"/>
    </row>
    <row r="2507">
      <c r="A2507" s="5"/>
    </row>
    <row r="2508">
      <c r="A2508" s="5"/>
    </row>
    <row r="2509">
      <c r="A2509" s="5"/>
    </row>
    <row r="2510">
      <c r="A2510" s="5"/>
    </row>
    <row r="2511">
      <c r="A2511" s="5"/>
    </row>
    <row r="2512">
      <c r="A2512" s="5"/>
    </row>
    <row r="2513">
      <c r="A2513" s="5"/>
    </row>
    <row r="2514">
      <c r="A2514" s="5"/>
    </row>
    <row r="2515">
      <c r="A2515" s="5"/>
    </row>
    <row r="2516">
      <c r="A2516" s="5"/>
    </row>
    <row r="2517">
      <c r="A2517" s="5"/>
    </row>
    <row r="2518">
      <c r="A2518" s="5"/>
    </row>
    <row r="2519">
      <c r="A2519" s="5"/>
    </row>
    <row r="2520">
      <c r="A2520" s="5"/>
    </row>
    <row r="2521">
      <c r="A2521" s="5"/>
    </row>
    <row r="2522">
      <c r="A2522" s="5"/>
    </row>
    <row r="2523">
      <c r="A2523" s="5"/>
    </row>
    <row r="2524">
      <c r="A2524" s="5"/>
    </row>
    <row r="2525">
      <c r="A2525" s="5"/>
    </row>
    <row r="2526">
      <c r="A2526" s="5"/>
    </row>
    <row r="2527">
      <c r="A2527" s="5"/>
    </row>
    <row r="2528">
      <c r="A2528" s="5"/>
    </row>
    <row r="2529">
      <c r="A2529" s="5"/>
    </row>
    <row r="2530">
      <c r="A2530" s="5"/>
    </row>
    <row r="2531">
      <c r="A2531" s="5"/>
    </row>
    <row r="2532">
      <c r="A2532" s="5"/>
    </row>
    <row r="2533">
      <c r="A2533" s="5"/>
    </row>
    <row r="2534">
      <c r="A2534" s="5"/>
    </row>
    <row r="2535">
      <c r="A2535" s="5"/>
    </row>
    <row r="2536">
      <c r="A2536" s="5"/>
    </row>
    <row r="2537">
      <c r="A2537" s="5"/>
    </row>
    <row r="2538">
      <c r="A2538" s="5"/>
    </row>
    <row r="2539">
      <c r="A2539" s="5"/>
    </row>
    <row r="2540">
      <c r="A2540" s="5"/>
    </row>
    <row r="2541">
      <c r="A2541" s="5"/>
    </row>
    <row r="2542">
      <c r="A2542" s="5"/>
    </row>
    <row r="2543">
      <c r="A2543" s="5"/>
    </row>
    <row r="2544">
      <c r="A2544" s="5"/>
    </row>
    <row r="2545">
      <c r="A2545" s="5"/>
    </row>
    <row r="2546">
      <c r="A2546" s="5"/>
    </row>
    <row r="2547">
      <c r="A2547" s="5"/>
    </row>
    <row r="2548">
      <c r="A2548" s="5"/>
    </row>
    <row r="2549">
      <c r="A2549" s="5"/>
    </row>
    <row r="2550">
      <c r="A2550" s="5"/>
    </row>
    <row r="2551">
      <c r="A2551" s="5"/>
    </row>
    <row r="2552">
      <c r="A2552" s="5"/>
    </row>
    <row r="2553">
      <c r="A2553" s="5"/>
    </row>
    <row r="2554">
      <c r="A2554" s="5"/>
    </row>
    <row r="2555">
      <c r="A2555" s="5"/>
    </row>
    <row r="2556">
      <c r="A2556" s="5"/>
    </row>
    <row r="2557">
      <c r="A2557" s="5"/>
    </row>
    <row r="2558">
      <c r="A2558" s="5"/>
    </row>
    <row r="2559">
      <c r="A2559" s="5"/>
    </row>
    <row r="2560">
      <c r="A2560" s="5"/>
    </row>
    <row r="2561">
      <c r="A2561" s="5"/>
    </row>
    <row r="2562">
      <c r="A2562" s="5"/>
    </row>
    <row r="2563">
      <c r="A2563" s="5"/>
    </row>
    <row r="2564">
      <c r="A2564" s="5"/>
    </row>
    <row r="2565">
      <c r="A2565" s="5"/>
    </row>
    <row r="2566">
      <c r="A2566" s="5"/>
    </row>
    <row r="2567">
      <c r="A2567" s="5"/>
    </row>
    <row r="2568">
      <c r="A2568" s="5"/>
    </row>
    <row r="2569">
      <c r="A2569" s="5"/>
    </row>
    <row r="2570">
      <c r="A2570" s="5"/>
    </row>
    <row r="2571">
      <c r="A2571" s="5"/>
    </row>
    <row r="2572">
      <c r="A2572" s="5"/>
    </row>
    <row r="2573">
      <c r="A2573" s="5"/>
    </row>
    <row r="2574">
      <c r="A2574" s="5"/>
    </row>
    <row r="2575">
      <c r="A2575" s="5"/>
    </row>
    <row r="2576">
      <c r="A2576" s="5"/>
    </row>
    <row r="2577">
      <c r="A2577" s="5"/>
    </row>
    <row r="2578">
      <c r="A2578" s="5"/>
    </row>
    <row r="2579">
      <c r="A2579" s="5"/>
    </row>
    <row r="2580">
      <c r="A2580" s="5"/>
    </row>
    <row r="2581">
      <c r="A2581" s="5"/>
    </row>
    <row r="2582">
      <c r="A2582" s="5"/>
    </row>
    <row r="2583">
      <c r="A2583" s="5"/>
    </row>
    <row r="2584">
      <c r="A2584" s="5"/>
    </row>
    <row r="2585">
      <c r="A2585" s="5"/>
    </row>
    <row r="2586">
      <c r="A2586" s="5"/>
    </row>
    <row r="2587">
      <c r="A2587" s="5"/>
    </row>
    <row r="2588">
      <c r="A2588" s="5"/>
    </row>
    <row r="2589">
      <c r="A2589" s="5"/>
    </row>
    <row r="2590">
      <c r="A2590" s="5"/>
    </row>
    <row r="2591">
      <c r="A2591" s="5"/>
    </row>
    <row r="2592">
      <c r="A2592" s="5"/>
    </row>
    <row r="2593">
      <c r="A2593" s="5"/>
    </row>
    <row r="2594">
      <c r="A2594" s="5"/>
    </row>
    <row r="2595">
      <c r="A2595" s="5"/>
    </row>
    <row r="2596">
      <c r="A2596" s="5"/>
    </row>
    <row r="2597">
      <c r="A2597" s="5"/>
    </row>
    <row r="2598">
      <c r="A2598" s="5"/>
    </row>
    <row r="2599">
      <c r="A2599" s="5"/>
    </row>
    <row r="2600">
      <c r="A2600" s="5"/>
    </row>
    <row r="2601">
      <c r="A2601" s="5"/>
    </row>
    <row r="2602">
      <c r="A2602" s="5"/>
    </row>
    <row r="2603">
      <c r="A2603" s="5"/>
    </row>
    <row r="2604">
      <c r="A2604" s="5"/>
    </row>
    <row r="2605">
      <c r="A2605" s="5"/>
    </row>
    <row r="2606">
      <c r="A2606" s="5"/>
    </row>
    <row r="2607">
      <c r="A2607" s="5"/>
    </row>
    <row r="2608">
      <c r="A2608" s="5"/>
    </row>
    <row r="2609">
      <c r="A2609" s="5"/>
    </row>
    <row r="2610">
      <c r="A2610" s="5"/>
    </row>
    <row r="2611">
      <c r="A2611" s="5"/>
    </row>
    <row r="2612">
      <c r="A2612" s="5"/>
    </row>
    <row r="2613">
      <c r="A2613" s="5"/>
    </row>
    <row r="2614">
      <c r="A2614" s="5"/>
    </row>
    <row r="2615">
      <c r="A2615" s="5"/>
    </row>
    <row r="2616">
      <c r="A2616" s="5"/>
    </row>
    <row r="2617">
      <c r="A2617" s="5"/>
    </row>
    <row r="2618">
      <c r="A2618" s="5"/>
    </row>
    <row r="2619">
      <c r="A2619" s="5"/>
    </row>
    <row r="2620">
      <c r="A2620" s="5"/>
    </row>
    <row r="2621">
      <c r="A2621" s="5"/>
    </row>
    <row r="2622">
      <c r="A2622" s="5"/>
    </row>
    <row r="2623">
      <c r="A2623" s="5"/>
    </row>
    <row r="2624">
      <c r="A2624" s="5"/>
    </row>
    <row r="2625">
      <c r="A2625" s="5"/>
    </row>
    <row r="2626">
      <c r="A2626" s="5"/>
    </row>
    <row r="2627">
      <c r="A2627" s="5"/>
    </row>
    <row r="2628">
      <c r="A2628" s="5"/>
    </row>
    <row r="2629">
      <c r="A2629" s="5"/>
    </row>
    <row r="2630">
      <c r="A2630" s="5"/>
    </row>
    <row r="2631">
      <c r="A2631" s="5"/>
    </row>
    <row r="2632">
      <c r="A2632" s="5"/>
    </row>
    <row r="2633">
      <c r="A2633" s="5"/>
    </row>
    <row r="2634">
      <c r="A2634" s="5"/>
    </row>
    <row r="2635">
      <c r="A2635" s="5"/>
    </row>
    <row r="2636">
      <c r="A2636" s="5"/>
    </row>
    <row r="2637">
      <c r="A2637" s="5"/>
    </row>
    <row r="2638">
      <c r="A2638" s="5"/>
    </row>
    <row r="2639">
      <c r="A2639" s="5"/>
    </row>
    <row r="2640">
      <c r="A2640" s="5"/>
    </row>
    <row r="2641">
      <c r="A2641" s="5"/>
    </row>
    <row r="2642">
      <c r="A2642" s="5"/>
    </row>
    <row r="2643">
      <c r="A2643" s="5"/>
    </row>
    <row r="2644">
      <c r="A2644" s="5"/>
    </row>
    <row r="2645">
      <c r="A2645" s="5"/>
    </row>
    <row r="2646">
      <c r="A2646" s="5"/>
    </row>
    <row r="2647">
      <c r="A2647" s="5"/>
    </row>
    <row r="2648">
      <c r="A2648" s="5"/>
    </row>
    <row r="2649">
      <c r="A2649" s="5"/>
    </row>
    <row r="2650">
      <c r="A2650" s="5"/>
    </row>
    <row r="2651">
      <c r="A2651" s="5"/>
    </row>
    <row r="2652">
      <c r="A2652" s="5"/>
    </row>
    <row r="2653">
      <c r="A2653" s="5"/>
    </row>
    <row r="2654">
      <c r="A2654" s="5"/>
    </row>
    <row r="2655">
      <c r="A2655" s="5"/>
    </row>
    <row r="2656">
      <c r="A2656" s="5"/>
    </row>
    <row r="2657">
      <c r="A2657" s="5"/>
    </row>
    <row r="2658">
      <c r="A2658" s="5"/>
    </row>
    <row r="2659">
      <c r="A2659" s="5"/>
    </row>
    <row r="2660">
      <c r="A2660" s="5"/>
    </row>
    <row r="2661">
      <c r="A2661" s="5"/>
    </row>
    <row r="2662">
      <c r="A2662" s="5"/>
    </row>
    <row r="2663">
      <c r="A2663" s="5"/>
    </row>
    <row r="2664">
      <c r="A2664" s="5"/>
    </row>
    <row r="2665">
      <c r="A2665" s="5"/>
    </row>
    <row r="2666">
      <c r="A2666" s="5"/>
    </row>
    <row r="2667">
      <c r="A2667" s="5"/>
    </row>
    <row r="2668">
      <c r="A2668" s="5"/>
    </row>
    <row r="2669">
      <c r="A2669" s="5"/>
    </row>
    <row r="2670">
      <c r="A2670" s="5"/>
    </row>
    <row r="2671">
      <c r="A2671" s="5"/>
    </row>
    <row r="2672">
      <c r="A2672" s="5"/>
    </row>
    <row r="2673">
      <c r="A2673" s="5"/>
    </row>
    <row r="2674">
      <c r="A2674" s="5"/>
    </row>
    <row r="2675">
      <c r="A2675" s="5"/>
    </row>
    <row r="2676">
      <c r="A2676" s="5"/>
    </row>
    <row r="2677">
      <c r="A2677" s="5"/>
    </row>
    <row r="2678">
      <c r="A2678" s="5"/>
    </row>
    <row r="2679">
      <c r="A2679" s="5"/>
    </row>
    <row r="2680">
      <c r="A2680" s="5"/>
    </row>
    <row r="2681">
      <c r="A2681" s="5"/>
    </row>
    <row r="2682">
      <c r="A2682" s="5"/>
    </row>
    <row r="2683">
      <c r="A2683" s="5"/>
    </row>
    <row r="2684">
      <c r="A2684" s="5"/>
    </row>
    <row r="2685">
      <c r="A2685" s="5"/>
    </row>
    <row r="2686">
      <c r="A2686" s="5"/>
    </row>
    <row r="2687">
      <c r="A2687" s="5"/>
    </row>
    <row r="2688">
      <c r="A2688" s="5"/>
    </row>
    <row r="2689">
      <c r="A2689" s="5"/>
    </row>
    <row r="2690">
      <c r="A2690" s="5"/>
    </row>
    <row r="2691">
      <c r="A2691" s="5"/>
    </row>
    <row r="2692">
      <c r="A2692" s="5"/>
    </row>
    <row r="2693">
      <c r="A2693" s="5"/>
    </row>
    <row r="2694">
      <c r="A2694" s="5"/>
    </row>
    <row r="2695">
      <c r="A2695" s="5"/>
    </row>
    <row r="2696">
      <c r="A2696" s="5"/>
    </row>
    <row r="2697">
      <c r="A2697" s="5"/>
    </row>
    <row r="2698">
      <c r="A2698" s="5"/>
    </row>
    <row r="2699">
      <c r="A2699" s="5"/>
    </row>
    <row r="2700">
      <c r="A2700" s="5"/>
    </row>
    <row r="2701">
      <c r="A2701" s="5"/>
    </row>
    <row r="2702">
      <c r="A2702" s="5"/>
    </row>
    <row r="2703">
      <c r="A2703" s="5"/>
    </row>
    <row r="2704">
      <c r="A2704" s="5"/>
    </row>
    <row r="2705">
      <c r="A2705" s="5"/>
    </row>
    <row r="2706">
      <c r="A2706" s="5"/>
    </row>
    <row r="2707">
      <c r="A2707" s="5"/>
    </row>
    <row r="2708">
      <c r="A2708" s="5"/>
    </row>
    <row r="2709">
      <c r="A2709" s="5"/>
    </row>
    <row r="2710">
      <c r="A2710" s="5"/>
    </row>
    <row r="2711">
      <c r="A2711" s="5"/>
    </row>
    <row r="2712">
      <c r="A2712" s="5"/>
    </row>
    <row r="2713">
      <c r="A2713" s="5"/>
    </row>
    <row r="2714">
      <c r="A2714" s="5"/>
    </row>
    <row r="2715">
      <c r="A2715" s="5"/>
    </row>
    <row r="2716">
      <c r="A2716" s="5"/>
    </row>
    <row r="2717">
      <c r="A2717" s="5"/>
    </row>
    <row r="2718">
      <c r="A2718" s="5"/>
    </row>
    <row r="2719">
      <c r="A2719" s="5"/>
    </row>
    <row r="2720">
      <c r="A2720" s="5"/>
    </row>
    <row r="2721">
      <c r="A2721" s="5"/>
    </row>
    <row r="2722">
      <c r="A2722" s="5"/>
    </row>
    <row r="2723">
      <c r="A2723" s="5"/>
    </row>
    <row r="2724">
      <c r="A2724" s="5"/>
    </row>
    <row r="2725">
      <c r="A2725" s="5"/>
    </row>
    <row r="2726">
      <c r="A2726" s="5"/>
    </row>
    <row r="2727">
      <c r="A2727" s="5"/>
    </row>
    <row r="2728">
      <c r="A2728" s="5"/>
    </row>
    <row r="2729">
      <c r="A2729" s="5"/>
    </row>
    <row r="2730">
      <c r="A2730" s="5"/>
    </row>
    <row r="2731">
      <c r="A2731" s="5"/>
    </row>
    <row r="2732">
      <c r="A2732" s="5"/>
    </row>
    <row r="2733">
      <c r="A2733" s="5"/>
    </row>
    <row r="2734">
      <c r="A2734" s="5"/>
    </row>
    <row r="2735">
      <c r="A2735" s="5"/>
    </row>
    <row r="2736">
      <c r="A2736" s="5"/>
    </row>
    <row r="2737">
      <c r="A2737" s="5"/>
    </row>
    <row r="2738">
      <c r="A2738" s="5"/>
    </row>
    <row r="2739">
      <c r="A2739" s="5"/>
    </row>
    <row r="2740">
      <c r="A2740" s="5"/>
    </row>
    <row r="2741">
      <c r="A2741" s="5"/>
    </row>
    <row r="2742">
      <c r="A2742" s="5"/>
    </row>
    <row r="2743">
      <c r="A2743" s="5"/>
    </row>
    <row r="2744">
      <c r="A2744" s="5"/>
    </row>
    <row r="2745">
      <c r="A2745" s="5"/>
    </row>
    <row r="2746">
      <c r="A2746" s="5"/>
    </row>
    <row r="2747">
      <c r="A2747" s="5"/>
    </row>
    <row r="2748">
      <c r="A2748" s="5"/>
    </row>
    <row r="2749">
      <c r="A2749" s="5"/>
    </row>
    <row r="2750">
      <c r="A2750" s="5"/>
    </row>
    <row r="2751">
      <c r="A2751" s="5"/>
    </row>
    <row r="2752">
      <c r="A2752" s="5"/>
    </row>
    <row r="2753">
      <c r="A2753" s="5"/>
    </row>
    <row r="2754">
      <c r="A2754" s="5"/>
    </row>
    <row r="2755">
      <c r="A2755" s="5"/>
    </row>
    <row r="2756">
      <c r="A2756" s="5"/>
    </row>
    <row r="2757">
      <c r="A2757" s="5"/>
    </row>
    <row r="2758">
      <c r="A2758" s="5"/>
    </row>
    <row r="2759">
      <c r="A2759" s="5"/>
    </row>
    <row r="2760">
      <c r="A2760" s="5"/>
    </row>
    <row r="2761">
      <c r="A2761" s="5"/>
    </row>
    <row r="2762">
      <c r="A2762" s="5"/>
    </row>
    <row r="2763">
      <c r="A2763" s="5"/>
    </row>
    <row r="2764">
      <c r="A2764" s="5"/>
    </row>
    <row r="2765">
      <c r="A2765" s="5"/>
    </row>
    <row r="2766">
      <c r="A2766" s="5"/>
    </row>
    <row r="2767">
      <c r="A2767" s="5"/>
    </row>
    <row r="2768">
      <c r="A2768" s="5"/>
    </row>
    <row r="2769">
      <c r="A2769" s="5"/>
    </row>
    <row r="2770">
      <c r="A2770" s="5"/>
    </row>
    <row r="2771">
      <c r="A2771" s="5"/>
    </row>
    <row r="2772">
      <c r="A2772" s="5"/>
    </row>
    <row r="2773">
      <c r="A2773" s="5"/>
    </row>
    <row r="2774">
      <c r="A2774" s="5"/>
    </row>
    <row r="2775">
      <c r="A2775" s="5"/>
    </row>
    <row r="2776">
      <c r="A2776" s="5"/>
    </row>
    <row r="2777">
      <c r="A2777" s="5"/>
    </row>
    <row r="2778">
      <c r="A2778" s="5"/>
    </row>
    <row r="2779">
      <c r="A2779" s="5"/>
    </row>
    <row r="2780">
      <c r="A2780" s="5"/>
    </row>
    <row r="2781">
      <c r="A2781" s="5"/>
    </row>
    <row r="2782">
      <c r="A2782" s="5"/>
    </row>
    <row r="2783">
      <c r="A2783" s="5"/>
    </row>
    <row r="2784">
      <c r="A2784" s="5"/>
    </row>
    <row r="2785">
      <c r="A2785" s="5"/>
    </row>
    <row r="2786">
      <c r="A2786" s="5"/>
    </row>
    <row r="2787">
      <c r="A2787" s="5"/>
    </row>
    <row r="2788">
      <c r="A2788" s="5"/>
    </row>
    <row r="2789">
      <c r="A2789" s="5"/>
    </row>
    <row r="2790">
      <c r="A2790" s="5"/>
    </row>
    <row r="2791">
      <c r="A2791" s="5"/>
    </row>
    <row r="2792">
      <c r="A2792" s="5"/>
    </row>
    <row r="2793">
      <c r="A2793" s="5"/>
    </row>
    <row r="2794">
      <c r="A2794" s="5"/>
    </row>
    <row r="2795">
      <c r="A2795" s="5"/>
    </row>
    <row r="2796">
      <c r="A2796" s="5"/>
    </row>
    <row r="2797">
      <c r="A2797" s="5"/>
    </row>
    <row r="2798">
      <c r="A2798" s="5"/>
    </row>
    <row r="2799">
      <c r="A2799" s="5"/>
    </row>
    <row r="2800">
      <c r="A2800" s="5"/>
    </row>
    <row r="2801">
      <c r="A2801" s="5"/>
    </row>
    <row r="2802">
      <c r="A2802" s="5"/>
    </row>
    <row r="2803">
      <c r="A2803" s="5"/>
    </row>
    <row r="2804">
      <c r="A2804" s="5"/>
    </row>
    <row r="2805">
      <c r="A2805" s="5"/>
    </row>
    <row r="2806">
      <c r="A2806" s="5"/>
    </row>
    <row r="2807">
      <c r="A2807" s="5"/>
    </row>
    <row r="2808">
      <c r="A2808" s="5"/>
    </row>
    <row r="2809">
      <c r="A2809" s="5"/>
    </row>
    <row r="2810">
      <c r="A2810" s="5"/>
    </row>
    <row r="2811">
      <c r="A2811" s="5"/>
    </row>
    <row r="2812">
      <c r="A2812" s="5"/>
    </row>
    <row r="2813">
      <c r="A2813" s="5"/>
    </row>
    <row r="2814">
      <c r="A2814" s="5"/>
    </row>
    <row r="2815">
      <c r="A2815" s="5"/>
    </row>
    <row r="2816">
      <c r="A2816" s="5"/>
    </row>
    <row r="2817">
      <c r="A2817" s="5"/>
    </row>
    <row r="2818">
      <c r="A2818" s="5"/>
    </row>
    <row r="2819">
      <c r="A2819" s="5"/>
    </row>
    <row r="2820">
      <c r="A2820" s="5"/>
    </row>
    <row r="2821">
      <c r="A2821" s="5"/>
    </row>
    <row r="2822">
      <c r="A2822" s="5"/>
    </row>
    <row r="2823">
      <c r="A2823" s="5"/>
    </row>
    <row r="2824">
      <c r="A2824" s="5"/>
    </row>
    <row r="2825">
      <c r="A2825" s="5"/>
    </row>
    <row r="2826">
      <c r="A2826" s="5"/>
    </row>
    <row r="2827">
      <c r="A2827" s="5"/>
    </row>
    <row r="2828">
      <c r="A2828" s="5"/>
    </row>
    <row r="2829">
      <c r="A2829" s="5"/>
    </row>
    <row r="2830">
      <c r="A2830" s="5"/>
    </row>
    <row r="2831">
      <c r="A2831" s="5"/>
    </row>
    <row r="2832">
      <c r="A2832" s="5"/>
    </row>
    <row r="2833">
      <c r="A2833" s="5"/>
    </row>
    <row r="2834">
      <c r="A2834" s="5"/>
    </row>
    <row r="2835">
      <c r="A2835" s="5"/>
    </row>
    <row r="2836">
      <c r="A2836" s="5"/>
    </row>
    <row r="2837">
      <c r="A2837" s="5"/>
    </row>
    <row r="2838">
      <c r="A2838" s="5"/>
    </row>
    <row r="2839">
      <c r="A2839" s="5"/>
    </row>
    <row r="2840">
      <c r="A2840" s="5"/>
    </row>
    <row r="2841">
      <c r="A2841" s="5"/>
    </row>
    <row r="2842">
      <c r="A2842" s="5"/>
    </row>
    <row r="2843">
      <c r="A2843" s="5"/>
    </row>
    <row r="2844">
      <c r="A2844" s="5"/>
    </row>
    <row r="2845">
      <c r="A2845" s="5"/>
    </row>
    <row r="2846">
      <c r="A2846" s="5"/>
    </row>
    <row r="2847">
      <c r="A2847" s="5"/>
    </row>
    <row r="2848">
      <c r="A2848" s="5"/>
    </row>
    <row r="2849">
      <c r="A2849" s="5"/>
    </row>
    <row r="2850">
      <c r="A2850" s="5"/>
    </row>
    <row r="2851">
      <c r="A2851" s="5"/>
    </row>
    <row r="2852">
      <c r="A2852" s="5"/>
    </row>
    <row r="2853">
      <c r="A2853" s="5"/>
    </row>
  </sheetData>
  <autoFilter ref="$A$1:$D$2435">
    <filterColumn colId="1">
      <filters>
        <filter val="SUSE Linux Enterprise Server 15 SP4"/>
        <filter val="SUSE Linux Enterprise Server 15 SP3"/>
        <filter val="SUSE Linux Enterprise Server 15 SP2"/>
        <filter val="SUSE Linux Enterprise Server 15 SP1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1.63"/>
  </cols>
  <sheetData>
    <row r="1">
      <c r="A1" s="1" t="s">
        <v>18</v>
      </c>
      <c r="B1" s="30" t="s">
        <v>39</v>
      </c>
      <c r="C1" s="31" t="s">
        <v>19</v>
      </c>
      <c r="D1" s="29" t="s">
        <v>0</v>
      </c>
      <c r="E1" s="29" t="s">
        <v>1</v>
      </c>
      <c r="F1" s="32" t="s">
        <v>40</v>
      </c>
    </row>
    <row r="2">
      <c r="A2" s="5">
        <v>44607.53023148148</v>
      </c>
      <c r="B2" s="7">
        <f t="shared" ref="B2:B2238" si="1">DATEVALUE(A2)</f>
        <v>44607</v>
      </c>
      <c r="C2" s="33" t="s">
        <v>3</v>
      </c>
      <c r="D2" s="4" t="s">
        <v>21</v>
      </c>
      <c r="E2" s="4" t="s">
        <v>21</v>
      </c>
      <c r="F2" s="4">
        <f t="shared" ref="F2:F2238" si="2">WEEKNUM(B2)</f>
        <v>8</v>
      </c>
    </row>
    <row r="3">
      <c r="A3" s="5">
        <v>44448.939039351855</v>
      </c>
      <c r="B3" s="7">
        <f t="shared" si="1"/>
        <v>44448</v>
      </c>
      <c r="C3" s="33" t="s">
        <v>3</v>
      </c>
      <c r="D3" s="4" t="s">
        <v>21</v>
      </c>
      <c r="E3" s="4" t="s">
        <v>21</v>
      </c>
      <c r="F3" s="4">
        <f t="shared" si="2"/>
        <v>37</v>
      </c>
    </row>
    <row r="4">
      <c r="A4" s="5">
        <v>44635.756377314814</v>
      </c>
      <c r="B4" s="7">
        <f t="shared" si="1"/>
        <v>44635</v>
      </c>
      <c r="C4" s="33" t="s">
        <v>3</v>
      </c>
      <c r="D4" s="4" t="s">
        <v>21</v>
      </c>
      <c r="E4" s="4" t="s">
        <v>21</v>
      </c>
      <c r="F4" s="4">
        <f t="shared" si="2"/>
        <v>12</v>
      </c>
    </row>
    <row r="5">
      <c r="A5" s="5">
        <v>44560.115949074076</v>
      </c>
      <c r="B5" s="7">
        <f t="shared" si="1"/>
        <v>44560</v>
      </c>
      <c r="C5" s="33" t="s">
        <v>3</v>
      </c>
      <c r="D5" s="4" t="s">
        <v>23</v>
      </c>
      <c r="E5" s="4" t="s">
        <v>21</v>
      </c>
      <c r="F5" s="4">
        <f t="shared" si="2"/>
        <v>53</v>
      </c>
    </row>
    <row r="6">
      <c r="A6" s="5">
        <v>44524.29945601852</v>
      </c>
      <c r="B6" s="7">
        <f t="shared" si="1"/>
        <v>44524</v>
      </c>
      <c r="C6" s="33" t="s">
        <v>3</v>
      </c>
      <c r="D6" s="4" t="s">
        <v>21</v>
      </c>
      <c r="E6" s="4" t="s">
        <v>21</v>
      </c>
      <c r="F6" s="4">
        <f t="shared" si="2"/>
        <v>48</v>
      </c>
    </row>
    <row r="7">
      <c r="A7" s="5">
        <v>44606.85449074074</v>
      </c>
      <c r="B7" s="7">
        <f t="shared" si="1"/>
        <v>44606</v>
      </c>
      <c r="C7" s="33" t="s">
        <v>3</v>
      </c>
      <c r="D7" s="4" t="s">
        <v>21</v>
      </c>
      <c r="E7" s="4" t="s">
        <v>21</v>
      </c>
      <c r="F7" s="4">
        <f t="shared" si="2"/>
        <v>8</v>
      </c>
    </row>
    <row r="8">
      <c r="A8" s="5">
        <v>44580.94479166667</v>
      </c>
      <c r="B8" s="7">
        <f t="shared" si="1"/>
        <v>44580</v>
      </c>
      <c r="C8" s="33" t="s">
        <v>3</v>
      </c>
      <c r="D8" s="4" t="s">
        <v>21</v>
      </c>
      <c r="E8" s="4" t="s">
        <v>21</v>
      </c>
      <c r="F8" s="4">
        <f t="shared" si="2"/>
        <v>4</v>
      </c>
    </row>
    <row r="9">
      <c r="A9" s="5">
        <v>44578.42765046296</v>
      </c>
      <c r="B9" s="7">
        <f t="shared" si="1"/>
        <v>44578</v>
      </c>
      <c r="C9" s="33" t="s">
        <v>3</v>
      </c>
      <c r="D9" s="4" t="s">
        <v>21</v>
      </c>
      <c r="E9" s="4" t="s">
        <v>21</v>
      </c>
      <c r="F9" s="4">
        <f t="shared" si="2"/>
        <v>4</v>
      </c>
    </row>
    <row r="10">
      <c r="A10" s="5">
        <v>44670.46744212963</v>
      </c>
      <c r="B10" s="7">
        <f t="shared" si="1"/>
        <v>44670</v>
      </c>
      <c r="C10" s="33" t="s">
        <v>3</v>
      </c>
      <c r="D10" s="4" t="s">
        <v>21</v>
      </c>
      <c r="E10" s="4" t="s">
        <v>21</v>
      </c>
      <c r="F10" s="4">
        <f t="shared" si="2"/>
        <v>17</v>
      </c>
    </row>
    <row r="11">
      <c r="A11" s="5">
        <v>44519.93311342593</v>
      </c>
      <c r="B11" s="7">
        <f t="shared" si="1"/>
        <v>44519</v>
      </c>
      <c r="C11" s="33" t="s">
        <v>3</v>
      </c>
      <c r="D11" s="4" t="s">
        <v>21</v>
      </c>
      <c r="E11" s="4" t="s">
        <v>21</v>
      </c>
      <c r="F11" s="4">
        <f t="shared" si="2"/>
        <v>47</v>
      </c>
    </row>
    <row r="12">
      <c r="A12" s="5">
        <v>44650.69269675926</v>
      </c>
      <c r="B12" s="7">
        <f t="shared" si="1"/>
        <v>44650</v>
      </c>
      <c r="C12" s="33" t="s">
        <v>3</v>
      </c>
      <c r="D12" s="4" t="s">
        <v>21</v>
      </c>
      <c r="E12" s="4" t="s">
        <v>21</v>
      </c>
      <c r="F12" s="4">
        <f t="shared" si="2"/>
        <v>14</v>
      </c>
    </row>
    <row r="13">
      <c r="A13" s="5">
        <v>44623.87366898148</v>
      </c>
      <c r="B13" s="7">
        <f t="shared" si="1"/>
        <v>44623</v>
      </c>
      <c r="C13" s="33" t="s">
        <v>3</v>
      </c>
      <c r="D13" s="4" t="s">
        <v>21</v>
      </c>
      <c r="E13" s="4" t="s">
        <v>21</v>
      </c>
      <c r="F13" s="4">
        <f t="shared" si="2"/>
        <v>10</v>
      </c>
    </row>
    <row r="14">
      <c r="A14" s="5">
        <v>44655.38960648148</v>
      </c>
      <c r="B14" s="7">
        <f t="shared" si="1"/>
        <v>44655</v>
      </c>
      <c r="C14" s="33" t="s">
        <v>3</v>
      </c>
      <c r="D14" s="4" t="s">
        <v>21</v>
      </c>
      <c r="E14" s="4" t="s">
        <v>21</v>
      </c>
      <c r="F14" s="4">
        <f t="shared" si="2"/>
        <v>15</v>
      </c>
    </row>
    <row r="15">
      <c r="A15" s="5">
        <v>44501.408796296295</v>
      </c>
      <c r="B15" s="7">
        <f t="shared" si="1"/>
        <v>44501</v>
      </c>
      <c r="C15" s="33" t="s">
        <v>3</v>
      </c>
      <c r="D15" s="4" t="s">
        <v>21</v>
      </c>
      <c r="E15" s="4" t="s">
        <v>21</v>
      </c>
      <c r="F15" s="4">
        <f t="shared" si="2"/>
        <v>45</v>
      </c>
    </row>
    <row r="16">
      <c r="A16" s="5">
        <v>44504.365069444444</v>
      </c>
      <c r="B16" s="7">
        <f t="shared" si="1"/>
        <v>44504</v>
      </c>
      <c r="C16" s="33" t="s">
        <v>3</v>
      </c>
      <c r="D16" s="4" t="s">
        <v>21</v>
      </c>
      <c r="E16" s="4" t="s">
        <v>21</v>
      </c>
      <c r="F16" s="4">
        <f t="shared" si="2"/>
        <v>45</v>
      </c>
    </row>
    <row r="17">
      <c r="A17" s="5">
        <v>44518.98211805556</v>
      </c>
      <c r="B17" s="7">
        <f t="shared" si="1"/>
        <v>44518</v>
      </c>
      <c r="C17" s="33" t="s">
        <v>3</v>
      </c>
      <c r="D17" s="4" t="s">
        <v>21</v>
      </c>
      <c r="E17" s="4" t="s">
        <v>21</v>
      </c>
      <c r="F17" s="4">
        <f t="shared" si="2"/>
        <v>47</v>
      </c>
    </row>
    <row r="18">
      <c r="A18" s="5">
        <v>44572.36184027778</v>
      </c>
      <c r="B18" s="7">
        <f t="shared" si="1"/>
        <v>44572</v>
      </c>
      <c r="C18" s="33" t="s">
        <v>3</v>
      </c>
      <c r="D18" s="4" t="s">
        <v>21</v>
      </c>
      <c r="E18" s="4" t="s">
        <v>21</v>
      </c>
      <c r="F18" s="4">
        <f t="shared" si="2"/>
        <v>3</v>
      </c>
    </row>
    <row r="19">
      <c r="A19" s="5">
        <v>44580.51201388889</v>
      </c>
      <c r="B19" s="7">
        <f t="shared" si="1"/>
        <v>44580</v>
      </c>
      <c r="C19" s="33" t="s">
        <v>3</v>
      </c>
      <c r="D19" s="4" t="s">
        <v>21</v>
      </c>
      <c r="E19" s="4" t="s">
        <v>21</v>
      </c>
      <c r="F19" s="4">
        <f t="shared" si="2"/>
        <v>4</v>
      </c>
    </row>
    <row r="20">
      <c r="A20" s="5">
        <v>44589.65217592593</v>
      </c>
      <c r="B20" s="7">
        <f t="shared" si="1"/>
        <v>44589</v>
      </c>
      <c r="C20" s="33" t="s">
        <v>3</v>
      </c>
      <c r="D20" s="4" t="s">
        <v>21</v>
      </c>
      <c r="E20" s="4" t="s">
        <v>21</v>
      </c>
      <c r="F20" s="4">
        <f t="shared" si="2"/>
        <v>5</v>
      </c>
    </row>
    <row r="21">
      <c r="A21" s="5">
        <v>44601.942291666666</v>
      </c>
      <c r="B21" s="7">
        <f t="shared" si="1"/>
        <v>44601</v>
      </c>
      <c r="C21" s="33" t="s">
        <v>3</v>
      </c>
      <c r="D21" s="4" t="s">
        <v>21</v>
      </c>
      <c r="E21" s="4" t="s">
        <v>21</v>
      </c>
      <c r="F21" s="4">
        <f t="shared" si="2"/>
        <v>7</v>
      </c>
    </row>
    <row r="22">
      <c r="A22" s="5">
        <v>44637.716145833336</v>
      </c>
      <c r="B22" s="7">
        <f t="shared" si="1"/>
        <v>44637</v>
      </c>
      <c r="C22" s="33" t="s">
        <v>3</v>
      </c>
      <c r="D22" s="4" t="s">
        <v>21</v>
      </c>
      <c r="E22" s="4" t="s">
        <v>21</v>
      </c>
      <c r="F22" s="4">
        <f t="shared" si="2"/>
        <v>12</v>
      </c>
    </row>
    <row r="23">
      <c r="A23" s="5">
        <v>44659.40190972222</v>
      </c>
      <c r="B23" s="7">
        <f t="shared" si="1"/>
        <v>44659</v>
      </c>
      <c r="C23" s="33" t="s">
        <v>3</v>
      </c>
      <c r="D23" s="4" t="s">
        <v>21</v>
      </c>
      <c r="E23" s="4" t="s">
        <v>21</v>
      </c>
      <c r="F23" s="4">
        <f t="shared" si="2"/>
        <v>15</v>
      </c>
    </row>
    <row r="24">
      <c r="A24" s="5">
        <v>44691.670752314814</v>
      </c>
      <c r="B24" s="7">
        <f t="shared" si="1"/>
        <v>44691</v>
      </c>
      <c r="C24" s="33" t="s">
        <v>3</v>
      </c>
      <c r="D24" s="4" t="s">
        <v>21</v>
      </c>
      <c r="E24" s="4" t="s">
        <v>21</v>
      </c>
      <c r="F24" s="4">
        <f t="shared" si="2"/>
        <v>20</v>
      </c>
    </row>
    <row r="25">
      <c r="A25" s="5">
        <v>44592.54207175926</v>
      </c>
      <c r="B25" s="7">
        <f t="shared" si="1"/>
        <v>44592</v>
      </c>
      <c r="C25" s="33" t="s">
        <v>3</v>
      </c>
      <c r="D25" s="4" t="s">
        <v>21</v>
      </c>
      <c r="E25" s="4" t="s">
        <v>23</v>
      </c>
      <c r="F25" s="4">
        <f t="shared" si="2"/>
        <v>6</v>
      </c>
    </row>
    <row r="26">
      <c r="A26" s="5">
        <v>44518.61607638889</v>
      </c>
      <c r="B26" s="7">
        <f t="shared" si="1"/>
        <v>44518</v>
      </c>
      <c r="C26" s="33" t="s">
        <v>3</v>
      </c>
      <c r="D26" s="4" t="s">
        <v>21</v>
      </c>
      <c r="E26" s="4" t="s">
        <v>21</v>
      </c>
      <c r="F26" s="4">
        <f t="shared" si="2"/>
        <v>47</v>
      </c>
    </row>
    <row r="27">
      <c r="A27" s="5">
        <v>44462.348125</v>
      </c>
      <c r="B27" s="7">
        <f t="shared" si="1"/>
        <v>44462</v>
      </c>
      <c r="C27" s="33" t="s">
        <v>3</v>
      </c>
      <c r="D27" s="4" t="s">
        <v>21</v>
      </c>
      <c r="E27" s="4" t="s">
        <v>21</v>
      </c>
      <c r="F27" s="4">
        <f t="shared" si="2"/>
        <v>39</v>
      </c>
    </row>
    <row r="28">
      <c r="A28" s="5">
        <v>44589.86834490741</v>
      </c>
      <c r="B28" s="7">
        <f t="shared" si="1"/>
        <v>44589</v>
      </c>
      <c r="C28" s="33" t="s">
        <v>3</v>
      </c>
      <c r="D28" s="4" t="s">
        <v>21</v>
      </c>
      <c r="E28" s="4" t="s">
        <v>21</v>
      </c>
      <c r="F28" s="4">
        <f t="shared" si="2"/>
        <v>5</v>
      </c>
    </row>
    <row r="29">
      <c r="A29" s="5">
        <v>44636.43168981482</v>
      </c>
      <c r="B29" s="7">
        <f t="shared" si="1"/>
        <v>44636</v>
      </c>
      <c r="C29" s="33" t="s">
        <v>3</v>
      </c>
      <c r="D29" s="4" t="s">
        <v>21</v>
      </c>
      <c r="E29" s="4" t="s">
        <v>21</v>
      </c>
      <c r="F29" s="4">
        <f t="shared" si="2"/>
        <v>12</v>
      </c>
    </row>
    <row r="30">
      <c r="A30" s="5">
        <v>44684.164664351854</v>
      </c>
      <c r="B30" s="7">
        <f t="shared" si="1"/>
        <v>44684</v>
      </c>
      <c r="C30" s="33" t="s">
        <v>3</v>
      </c>
      <c r="D30" s="4" t="s">
        <v>21</v>
      </c>
      <c r="E30" s="4" t="s">
        <v>21</v>
      </c>
      <c r="F30" s="4">
        <f t="shared" si="2"/>
        <v>19</v>
      </c>
    </row>
    <row r="31">
      <c r="A31" s="5">
        <v>44685.17420138889</v>
      </c>
      <c r="B31" s="7">
        <f t="shared" si="1"/>
        <v>44685</v>
      </c>
      <c r="C31" s="33" t="s">
        <v>3</v>
      </c>
      <c r="D31" s="4" t="s">
        <v>21</v>
      </c>
      <c r="E31" s="4" t="s">
        <v>21</v>
      </c>
      <c r="F31" s="4">
        <f t="shared" si="2"/>
        <v>19</v>
      </c>
    </row>
    <row r="32">
      <c r="A32" s="5">
        <v>44538.16469907408</v>
      </c>
      <c r="B32" s="7">
        <f t="shared" si="1"/>
        <v>44538</v>
      </c>
      <c r="C32" s="33" t="s">
        <v>3</v>
      </c>
      <c r="D32" s="4" t="s">
        <v>21</v>
      </c>
      <c r="E32" s="4" t="s">
        <v>21</v>
      </c>
      <c r="F32" s="4">
        <f t="shared" si="2"/>
        <v>50</v>
      </c>
    </row>
    <row r="33">
      <c r="A33" s="5">
        <v>44448.93375</v>
      </c>
      <c r="B33" s="7">
        <f t="shared" si="1"/>
        <v>44448</v>
      </c>
      <c r="C33" s="33" t="s">
        <v>3</v>
      </c>
      <c r="D33" s="4" t="s">
        <v>21</v>
      </c>
      <c r="E33" s="4" t="s">
        <v>21</v>
      </c>
      <c r="F33" s="4">
        <f t="shared" si="2"/>
        <v>37</v>
      </c>
    </row>
    <row r="34">
      <c r="A34" s="5">
        <v>44638.59207175926</v>
      </c>
      <c r="B34" s="7">
        <f t="shared" si="1"/>
        <v>44638</v>
      </c>
      <c r="C34" s="33" t="s">
        <v>3</v>
      </c>
      <c r="D34" s="4" t="s">
        <v>21</v>
      </c>
      <c r="E34" s="4" t="s">
        <v>21</v>
      </c>
      <c r="F34" s="4">
        <f t="shared" si="2"/>
        <v>12</v>
      </c>
    </row>
    <row r="35">
      <c r="A35" s="5">
        <v>44649.64690972222</v>
      </c>
      <c r="B35" s="7">
        <f t="shared" si="1"/>
        <v>44649</v>
      </c>
      <c r="C35" s="33" t="s">
        <v>3</v>
      </c>
      <c r="D35" s="4" t="s">
        <v>21</v>
      </c>
      <c r="E35" s="4" t="s">
        <v>21</v>
      </c>
      <c r="F35" s="4">
        <f t="shared" si="2"/>
        <v>14</v>
      </c>
    </row>
    <row r="36">
      <c r="A36" s="5">
        <v>44621.41212962963</v>
      </c>
      <c r="B36" s="7">
        <f t="shared" si="1"/>
        <v>44621</v>
      </c>
      <c r="C36" s="33" t="s">
        <v>3</v>
      </c>
      <c r="D36" s="4" t="s">
        <v>21</v>
      </c>
      <c r="E36" s="4" t="s">
        <v>21</v>
      </c>
      <c r="F36" s="4">
        <f t="shared" si="2"/>
        <v>10</v>
      </c>
    </row>
    <row r="37">
      <c r="A37" s="5">
        <v>44448.935891203706</v>
      </c>
      <c r="B37" s="7">
        <f t="shared" si="1"/>
        <v>44448</v>
      </c>
      <c r="C37" s="33" t="s">
        <v>3</v>
      </c>
      <c r="D37" s="4" t="s">
        <v>21</v>
      </c>
      <c r="E37" s="4" t="s">
        <v>21</v>
      </c>
      <c r="F37" s="4">
        <f t="shared" si="2"/>
        <v>37</v>
      </c>
    </row>
    <row r="38">
      <c r="A38" s="5">
        <v>44614.337222222224</v>
      </c>
      <c r="B38" s="7">
        <f t="shared" si="1"/>
        <v>44614</v>
      </c>
      <c r="C38" s="33" t="s">
        <v>3</v>
      </c>
      <c r="D38" s="4" t="s">
        <v>21</v>
      </c>
      <c r="E38" s="4" t="s">
        <v>21</v>
      </c>
      <c r="F38" s="4">
        <f t="shared" si="2"/>
        <v>9</v>
      </c>
    </row>
    <row r="39">
      <c r="A39" s="5">
        <v>44448.937685185185</v>
      </c>
      <c r="B39" s="7">
        <f t="shared" si="1"/>
        <v>44448</v>
      </c>
      <c r="C39" s="33" t="s">
        <v>3</v>
      </c>
      <c r="D39" s="4" t="s">
        <v>21</v>
      </c>
      <c r="E39" s="4" t="s">
        <v>21</v>
      </c>
      <c r="F39" s="4">
        <f t="shared" si="2"/>
        <v>37</v>
      </c>
    </row>
    <row r="40">
      <c r="A40" s="5">
        <v>44670.36965277778</v>
      </c>
      <c r="B40" s="7">
        <f t="shared" si="1"/>
        <v>44670</v>
      </c>
      <c r="C40" s="33" t="s">
        <v>3</v>
      </c>
      <c r="D40" s="4" t="s">
        <v>21</v>
      </c>
      <c r="E40" s="4" t="s">
        <v>21</v>
      </c>
      <c r="F40" s="4">
        <f t="shared" si="2"/>
        <v>17</v>
      </c>
    </row>
    <row r="41">
      <c r="A41" s="5">
        <v>44602.46364583333</v>
      </c>
      <c r="B41" s="7">
        <f t="shared" si="1"/>
        <v>44602</v>
      </c>
      <c r="C41" s="33" t="s">
        <v>3</v>
      </c>
      <c r="D41" s="4" t="s">
        <v>21</v>
      </c>
      <c r="E41" s="4" t="s">
        <v>21</v>
      </c>
      <c r="F41" s="4">
        <f t="shared" si="2"/>
        <v>7</v>
      </c>
    </row>
    <row r="42">
      <c r="A42" s="5">
        <v>44530.15268518519</v>
      </c>
      <c r="B42" s="7">
        <f t="shared" si="1"/>
        <v>44530</v>
      </c>
      <c r="C42" s="33" t="s">
        <v>3</v>
      </c>
      <c r="D42" s="4" t="s">
        <v>21</v>
      </c>
      <c r="E42" s="4" t="s">
        <v>21</v>
      </c>
      <c r="F42" s="4">
        <f t="shared" si="2"/>
        <v>49</v>
      </c>
    </row>
    <row r="43">
      <c r="A43" s="5">
        <v>44470.281226851854</v>
      </c>
      <c r="B43" s="7">
        <f t="shared" si="1"/>
        <v>44470</v>
      </c>
      <c r="C43" s="33" t="s">
        <v>3</v>
      </c>
      <c r="D43" s="4" t="s">
        <v>21</v>
      </c>
      <c r="E43" s="4" t="s">
        <v>21</v>
      </c>
      <c r="F43" s="4">
        <f t="shared" si="2"/>
        <v>40</v>
      </c>
    </row>
    <row r="44">
      <c r="A44" s="5">
        <v>44595.48945601852</v>
      </c>
      <c r="B44" s="7">
        <f t="shared" si="1"/>
        <v>44595</v>
      </c>
      <c r="C44" s="33" t="s">
        <v>3</v>
      </c>
      <c r="D44" s="4" t="s">
        <v>21</v>
      </c>
      <c r="E44" s="4" t="s">
        <v>23</v>
      </c>
      <c r="F44" s="4">
        <f t="shared" si="2"/>
        <v>6</v>
      </c>
    </row>
    <row r="45">
      <c r="A45" s="5">
        <v>44533.27234953704</v>
      </c>
      <c r="B45" s="7">
        <f t="shared" si="1"/>
        <v>44533</v>
      </c>
      <c r="C45" s="33" t="s">
        <v>3</v>
      </c>
      <c r="D45" s="4" t="s">
        <v>21</v>
      </c>
      <c r="E45" s="4" t="s">
        <v>21</v>
      </c>
      <c r="F45" s="4">
        <f t="shared" si="2"/>
        <v>49</v>
      </c>
    </row>
    <row r="46">
      <c r="A46" s="5">
        <v>44635.50109953704</v>
      </c>
      <c r="B46" s="7">
        <f t="shared" si="1"/>
        <v>44635</v>
      </c>
      <c r="C46" s="33" t="s">
        <v>3</v>
      </c>
      <c r="D46" s="4" t="s">
        <v>21</v>
      </c>
      <c r="E46" s="4" t="s">
        <v>21</v>
      </c>
      <c r="F46" s="4">
        <f t="shared" si="2"/>
        <v>12</v>
      </c>
    </row>
    <row r="47">
      <c r="A47" s="5">
        <v>44525.637407407405</v>
      </c>
      <c r="B47" s="7">
        <f t="shared" si="1"/>
        <v>44525</v>
      </c>
      <c r="C47" s="33" t="s">
        <v>3</v>
      </c>
      <c r="D47" s="4" t="s">
        <v>21</v>
      </c>
      <c r="E47" s="4" t="s">
        <v>21</v>
      </c>
      <c r="F47" s="4">
        <f t="shared" si="2"/>
        <v>48</v>
      </c>
    </row>
    <row r="48">
      <c r="A48" s="5">
        <v>44566.24335648148</v>
      </c>
      <c r="B48" s="7">
        <f t="shared" si="1"/>
        <v>44566</v>
      </c>
      <c r="C48" s="33" t="s">
        <v>3</v>
      </c>
      <c r="D48" s="4" t="s">
        <v>23</v>
      </c>
      <c r="E48" s="4" t="s">
        <v>21</v>
      </c>
      <c r="F48" s="4">
        <f t="shared" si="2"/>
        <v>2</v>
      </c>
    </row>
    <row r="49">
      <c r="A49" s="5">
        <v>44565.70203703704</v>
      </c>
      <c r="B49" s="7">
        <f t="shared" si="1"/>
        <v>44565</v>
      </c>
      <c r="C49" s="33" t="s">
        <v>3</v>
      </c>
      <c r="D49" s="4" t="s">
        <v>23</v>
      </c>
      <c r="E49" s="4" t="s">
        <v>21</v>
      </c>
      <c r="F49" s="4">
        <f t="shared" si="2"/>
        <v>2</v>
      </c>
    </row>
    <row r="50">
      <c r="A50" s="5">
        <v>44634.5633912037</v>
      </c>
      <c r="B50" s="7">
        <f t="shared" si="1"/>
        <v>44634</v>
      </c>
      <c r="C50" s="33" t="s">
        <v>3</v>
      </c>
      <c r="D50" s="4" t="s">
        <v>21</v>
      </c>
      <c r="E50" s="4" t="s">
        <v>21</v>
      </c>
      <c r="F50" s="4">
        <f t="shared" si="2"/>
        <v>12</v>
      </c>
    </row>
    <row r="51">
      <c r="A51" s="5">
        <v>44697.48625</v>
      </c>
      <c r="B51" s="7">
        <f t="shared" si="1"/>
        <v>44697</v>
      </c>
      <c r="C51" s="33" t="s">
        <v>3</v>
      </c>
      <c r="D51" s="4" t="s">
        <v>21</v>
      </c>
      <c r="E51" s="4" t="s">
        <v>21</v>
      </c>
      <c r="F51" s="4">
        <f t="shared" si="2"/>
        <v>21</v>
      </c>
    </row>
    <row r="52">
      <c r="A52" s="5">
        <v>44565.312951388885</v>
      </c>
      <c r="B52" s="7">
        <f t="shared" si="1"/>
        <v>44565</v>
      </c>
      <c r="C52" s="33" t="s">
        <v>3</v>
      </c>
      <c r="D52" s="4" t="s">
        <v>23</v>
      </c>
      <c r="E52" s="4" t="s">
        <v>21</v>
      </c>
      <c r="F52" s="4">
        <f t="shared" si="2"/>
        <v>2</v>
      </c>
    </row>
    <row r="53">
      <c r="A53" s="5">
        <v>44572.45167824074</v>
      </c>
      <c r="B53" s="7">
        <f t="shared" si="1"/>
        <v>44572</v>
      </c>
      <c r="C53" s="33" t="s">
        <v>3</v>
      </c>
      <c r="D53" s="4" t="s">
        <v>21</v>
      </c>
      <c r="E53" s="4" t="s">
        <v>21</v>
      </c>
      <c r="F53" s="4">
        <f t="shared" si="2"/>
        <v>3</v>
      </c>
    </row>
    <row r="54">
      <c r="A54" s="5">
        <v>44609.58615740741</v>
      </c>
      <c r="B54" s="7">
        <f t="shared" si="1"/>
        <v>44609</v>
      </c>
      <c r="C54" s="33" t="s">
        <v>3</v>
      </c>
      <c r="D54" s="4" t="s">
        <v>21</v>
      </c>
      <c r="E54" s="4" t="s">
        <v>21</v>
      </c>
      <c r="F54" s="4">
        <f t="shared" si="2"/>
        <v>8</v>
      </c>
    </row>
    <row r="55">
      <c r="A55" s="5">
        <v>44617.16002314815</v>
      </c>
      <c r="B55" s="7">
        <f t="shared" si="1"/>
        <v>44617</v>
      </c>
      <c r="C55" s="33" t="s">
        <v>3</v>
      </c>
      <c r="D55" s="4" t="s">
        <v>21</v>
      </c>
      <c r="E55" s="4" t="s">
        <v>21</v>
      </c>
      <c r="F55" s="4">
        <f t="shared" si="2"/>
        <v>9</v>
      </c>
    </row>
    <row r="56">
      <c r="A56" s="5">
        <v>44694.66075231481</v>
      </c>
      <c r="B56" s="7">
        <f t="shared" si="1"/>
        <v>44694</v>
      </c>
      <c r="C56" s="33" t="s">
        <v>3</v>
      </c>
      <c r="D56" s="4" t="s">
        <v>21</v>
      </c>
      <c r="E56" s="4" t="s">
        <v>21</v>
      </c>
      <c r="F56" s="4">
        <f t="shared" si="2"/>
        <v>20</v>
      </c>
    </row>
    <row r="57">
      <c r="A57" s="5">
        <v>44709.15114583333</v>
      </c>
      <c r="B57" s="7">
        <f t="shared" si="1"/>
        <v>44709</v>
      </c>
      <c r="C57" s="33" t="s">
        <v>3</v>
      </c>
      <c r="D57" s="4" t="s">
        <v>21</v>
      </c>
      <c r="E57" s="4" t="s">
        <v>21</v>
      </c>
      <c r="F57" s="4">
        <f t="shared" si="2"/>
        <v>22</v>
      </c>
    </row>
    <row r="58">
      <c r="A58" s="5">
        <v>44720.213055555556</v>
      </c>
      <c r="B58" s="7">
        <f t="shared" si="1"/>
        <v>44720</v>
      </c>
      <c r="C58" s="33" t="s">
        <v>3</v>
      </c>
      <c r="D58" s="4" t="s">
        <v>21</v>
      </c>
      <c r="E58" s="4" t="s">
        <v>21</v>
      </c>
      <c r="F58" s="4">
        <f t="shared" si="2"/>
        <v>24</v>
      </c>
    </row>
    <row r="59">
      <c r="A59" s="5">
        <v>44538.61678240741</v>
      </c>
      <c r="B59" s="7">
        <f t="shared" si="1"/>
        <v>44538</v>
      </c>
      <c r="C59" s="33" t="s">
        <v>3</v>
      </c>
      <c r="D59" s="4" t="s">
        <v>21</v>
      </c>
      <c r="E59" s="4" t="s">
        <v>21</v>
      </c>
      <c r="F59" s="4">
        <f t="shared" si="2"/>
        <v>50</v>
      </c>
    </row>
    <row r="60">
      <c r="A60" s="5">
        <v>44648.785787037035</v>
      </c>
      <c r="B60" s="7">
        <f t="shared" si="1"/>
        <v>44648</v>
      </c>
      <c r="C60" s="33" t="s">
        <v>3</v>
      </c>
      <c r="D60" s="4" t="s">
        <v>21</v>
      </c>
      <c r="E60" s="4" t="s">
        <v>21</v>
      </c>
      <c r="F60" s="4">
        <f t="shared" si="2"/>
        <v>14</v>
      </c>
    </row>
    <row r="61">
      <c r="A61" s="5">
        <v>44540.81318287037</v>
      </c>
      <c r="B61" s="7">
        <f t="shared" si="1"/>
        <v>44540</v>
      </c>
      <c r="C61" s="33" t="s">
        <v>3</v>
      </c>
      <c r="D61" s="4" t="s">
        <v>21</v>
      </c>
      <c r="E61" s="4" t="s">
        <v>21</v>
      </c>
      <c r="F61" s="4">
        <f t="shared" si="2"/>
        <v>50</v>
      </c>
    </row>
    <row r="62">
      <c r="A62" s="5">
        <v>44512.77810185185</v>
      </c>
      <c r="B62" s="7">
        <f t="shared" si="1"/>
        <v>44512</v>
      </c>
      <c r="C62" s="33" t="s">
        <v>3</v>
      </c>
      <c r="D62" s="4" t="s">
        <v>21</v>
      </c>
      <c r="E62" s="4" t="s">
        <v>21</v>
      </c>
      <c r="F62" s="4">
        <f t="shared" si="2"/>
        <v>46</v>
      </c>
    </row>
    <row r="63">
      <c r="A63" s="5">
        <v>44719.82305555556</v>
      </c>
      <c r="B63" s="7">
        <f t="shared" si="1"/>
        <v>44719</v>
      </c>
      <c r="C63" s="33" t="s">
        <v>3</v>
      </c>
      <c r="D63" s="4" t="s">
        <v>21</v>
      </c>
      <c r="E63" s="4" t="s">
        <v>21</v>
      </c>
      <c r="F63" s="4">
        <f t="shared" si="2"/>
        <v>24</v>
      </c>
    </row>
    <row r="64">
      <c r="A64" s="5">
        <v>44663.35686342593</v>
      </c>
      <c r="B64" s="7">
        <f t="shared" si="1"/>
        <v>44663</v>
      </c>
      <c r="C64" s="33" t="s">
        <v>3</v>
      </c>
      <c r="D64" s="4" t="s">
        <v>21</v>
      </c>
      <c r="E64" s="4" t="s">
        <v>21</v>
      </c>
      <c r="F64" s="4">
        <f t="shared" si="2"/>
        <v>16</v>
      </c>
    </row>
    <row r="65">
      <c r="A65" s="5">
        <v>44616.58363425926</v>
      </c>
      <c r="B65" s="7">
        <f t="shared" si="1"/>
        <v>44616</v>
      </c>
      <c r="C65" s="33" t="s">
        <v>3</v>
      </c>
      <c r="D65" s="4" t="s">
        <v>21</v>
      </c>
      <c r="E65" s="4" t="s">
        <v>21</v>
      </c>
      <c r="F65" s="4">
        <f t="shared" si="2"/>
        <v>9</v>
      </c>
    </row>
    <row r="66">
      <c r="A66" s="5">
        <v>44725.414247685185</v>
      </c>
      <c r="B66" s="7">
        <f t="shared" si="1"/>
        <v>44725</v>
      </c>
      <c r="C66" s="33" t="s">
        <v>3</v>
      </c>
      <c r="D66" s="4" t="s">
        <v>21</v>
      </c>
      <c r="E66" s="4" t="s">
        <v>21</v>
      </c>
      <c r="F66" s="4">
        <f t="shared" si="2"/>
        <v>25</v>
      </c>
    </row>
    <row r="67">
      <c r="A67" s="5">
        <v>44436.12372685185</v>
      </c>
      <c r="B67" s="7">
        <f t="shared" si="1"/>
        <v>44436</v>
      </c>
      <c r="C67" s="33" t="s">
        <v>3</v>
      </c>
      <c r="D67" s="4" t="s">
        <v>21</v>
      </c>
      <c r="E67" s="4" t="s">
        <v>21</v>
      </c>
      <c r="F67" s="4">
        <f t="shared" si="2"/>
        <v>35</v>
      </c>
    </row>
    <row r="68">
      <c r="A68" s="5">
        <v>44509.40331018518</v>
      </c>
      <c r="B68" s="7">
        <f t="shared" si="1"/>
        <v>44509</v>
      </c>
      <c r="C68" s="33" t="s">
        <v>3</v>
      </c>
      <c r="D68" s="4" t="s">
        <v>21</v>
      </c>
      <c r="E68" s="4" t="s">
        <v>21</v>
      </c>
      <c r="F68" s="4">
        <f t="shared" si="2"/>
        <v>46</v>
      </c>
    </row>
    <row r="69">
      <c r="A69" s="5">
        <v>44523.12125</v>
      </c>
      <c r="B69" s="7">
        <f t="shared" si="1"/>
        <v>44523</v>
      </c>
      <c r="C69" s="33" t="s">
        <v>3</v>
      </c>
      <c r="D69" s="4" t="s">
        <v>21</v>
      </c>
      <c r="E69" s="4" t="s">
        <v>21</v>
      </c>
      <c r="F69" s="4">
        <f t="shared" si="2"/>
        <v>48</v>
      </c>
    </row>
    <row r="70">
      <c r="A70" s="5">
        <v>44546.61960648148</v>
      </c>
      <c r="B70" s="7">
        <f t="shared" si="1"/>
        <v>44546</v>
      </c>
      <c r="C70" s="33" t="s">
        <v>3</v>
      </c>
      <c r="D70" s="4" t="s">
        <v>21</v>
      </c>
      <c r="E70" s="4" t="s">
        <v>21</v>
      </c>
      <c r="F70" s="4">
        <f t="shared" si="2"/>
        <v>51</v>
      </c>
    </row>
    <row r="71">
      <c r="A71" s="5">
        <v>44578.26429398148</v>
      </c>
      <c r="B71" s="7">
        <f t="shared" si="1"/>
        <v>44578</v>
      </c>
      <c r="C71" s="33" t="s">
        <v>3</v>
      </c>
      <c r="D71" s="4" t="s">
        <v>21</v>
      </c>
      <c r="E71" s="4" t="s">
        <v>21</v>
      </c>
      <c r="F71" s="4">
        <f t="shared" si="2"/>
        <v>4</v>
      </c>
    </row>
    <row r="72">
      <c r="A72" s="5">
        <v>44609.60228009259</v>
      </c>
      <c r="B72" s="7">
        <f t="shared" si="1"/>
        <v>44609</v>
      </c>
      <c r="C72" s="33" t="s">
        <v>3</v>
      </c>
      <c r="D72" s="4" t="s">
        <v>21</v>
      </c>
      <c r="E72" s="4" t="s">
        <v>21</v>
      </c>
      <c r="F72" s="4">
        <f t="shared" si="2"/>
        <v>8</v>
      </c>
    </row>
    <row r="73">
      <c r="A73" s="5">
        <v>44616.38974537037</v>
      </c>
      <c r="B73" s="7">
        <f t="shared" si="1"/>
        <v>44616</v>
      </c>
      <c r="C73" s="33" t="s">
        <v>3</v>
      </c>
      <c r="D73" s="4" t="s">
        <v>21</v>
      </c>
      <c r="E73" s="4" t="s">
        <v>21</v>
      </c>
      <c r="F73" s="4">
        <f t="shared" si="2"/>
        <v>9</v>
      </c>
    </row>
    <row r="74">
      <c r="A74" s="5">
        <v>44616.580775462964</v>
      </c>
      <c r="B74" s="7">
        <f t="shared" si="1"/>
        <v>44616</v>
      </c>
      <c r="C74" s="33" t="s">
        <v>3</v>
      </c>
      <c r="D74" s="4" t="s">
        <v>21</v>
      </c>
      <c r="E74" s="4" t="s">
        <v>21</v>
      </c>
      <c r="F74" s="4">
        <f t="shared" si="2"/>
        <v>9</v>
      </c>
    </row>
    <row r="75">
      <c r="A75" s="5">
        <v>44642.49909722222</v>
      </c>
      <c r="B75" s="7">
        <f t="shared" si="1"/>
        <v>44642</v>
      </c>
      <c r="C75" s="33" t="s">
        <v>3</v>
      </c>
      <c r="D75" s="4" t="s">
        <v>21</v>
      </c>
      <c r="E75" s="4" t="s">
        <v>21</v>
      </c>
      <c r="F75" s="4">
        <f t="shared" si="2"/>
        <v>13</v>
      </c>
    </row>
    <row r="76">
      <c r="A76" s="5">
        <v>44643.01288194444</v>
      </c>
      <c r="B76" s="7">
        <f t="shared" si="1"/>
        <v>44643</v>
      </c>
      <c r="C76" s="33" t="s">
        <v>3</v>
      </c>
      <c r="D76" s="4" t="s">
        <v>21</v>
      </c>
      <c r="E76" s="4" t="s">
        <v>21</v>
      </c>
      <c r="F76" s="4">
        <f t="shared" si="2"/>
        <v>13</v>
      </c>
    </row>
    <row r="77">
      <c r="A77" s="5">
        <v>44649.32648148148</v>
      </c>
      <c r="B77" s="7">
        <f t="shared" si="1"/>
        <v>44649</v>
      </c>
      <c r="C77" s="33" t="s">
        <v>3</v>
      </c>
      <c r="D77" s="4" t="s">
        <v>21</v>
      </c>
      <c r="E77" s="4" t="s">
        <v>21</v>
      </c>
      <c r="F77" s="4">
        <f t="shared" si="2"/>
        <v>14</v>
      </c>
    </row>
    <row r="78">
      <c r="A78" s="5">
        <v>44671.325891203705</v>
      </c>
      <c r="B78" s="7">
        <f t="shared" si="1"/>
        <v>44671</v>
      </c>
      <c r="C78" s="33" t="s">
        <v>3</v>
      </c>
      <c r="D78" s="4" t="s">
        <v>21</v>
      </c>
      <c r="E78" s="4" t="s">
        <v>21</v>
      </c>
      <c r="F78" s="4">
        <f t="shared" si="2"/>
        <v>17</v>
      </c>
    </row>
    <row r="79">
      <c r="A79" s="5">
        <v>44676.67201388889</v>
      </c>
      <c r="B79" s="7">
        <f t="shared" si="1"/>
        <v>44676</v>
      </c>
      <c r="C79" s="33" t="s">
        <v>3</v>
      </c>
      <c r="D79" s="4" t="s">
        <v>21</v>
      </c>
      <c r="E79" s="4" t="s">
        <v>21</v>
      </c>
      <c r="F79" s="4">
        <f t="shared" si="2"/>
        <v>18</v>
      </c>
    </row>
    <row r="80">
      <c r="A80" s="5">
        <v>44686.717523148145</v>
      </c>
      <c r="B80" s="7">
        <f t="shared" si="1"/>
        <v>44686</v>
      </c>
      <c r="C80" s="33" t="s">
        <v>3</v>
      </c>
      <c r="D80" s="4" t="s">
        <v>21</v>
      </c>
      <c r="E80" s="4" t="s">
        <v>21</v>
      </c>
      <c r="F80" s="4">
        <f t="shared" si="2"/>
        <v>19</v>
      </c>
    </row>
    <row r="81">
      <c r="A81" s="5">
        <v>44704.60318287037</v>
      </c>
      <c r="B81" s="7">
        <f t="shared" si="1"/>
        <v>44704</v>
      </c>
      <c r="C81" s="33" t="s">
        <v>3</v>
      </c>
      <c r="D81" s="4" t="s">
        <v>21</v>
      </c>
      <c r="E81" s="4" t="s">
        <v>21</v>
      </c>
      <c r="F81" s="4">
        <f t="shared" si="2"/>
        <v>22</v>
      </c>
    </row>
    <row r="82">
      <c r="A82" s="5">
        <v>44705.31791666667</v>
      </c>
      <c r="B82" s="7">
        <f t="shared" si="1"/>
        <v>44705</v>
      </c>
      <c r="C82" s="33" t="s">
        <v>3</v>
      </c>
      <c r="D82" s="4" t="s">
        <v>21</v>
      </c>
      <c r="E82" s="4" t="s">
        <v>21</v>
      </c>
      <c r="F82" s="4">
        <f t="shared" si="2"/>
        <v>22</v>
      </c>
    </row>
    <row r="83">
      <c r="A83" s="5">
        <v>44712.33053240741</v>
      </c>
      <c r="B83" s="7">
        <f t="shared" si="1"/>
        <v>44712</v>
      </c>
      <c r="C83" s="33" t="s">
        <v>3</v>
      </c>
      <c r="D83" s="4" t="s">
        <v>21</v>
      </c>
      <c r="E83" s="4" t="s">
        <v>21</v>
      </c>
      <c r="F83" s="4">
        <f t="shared" si="2"/>
        <v>23</v>
      </c>
    </row>
    <row r="84">
      <c r="A84" s="5">
        <v>44581.48034722222</v>
      </c>
      <c r="B84" s="7">
        <f t="shared" si="1"/>
        <v>44581</v>
      </c>
      <c r="C84" s="33" t="s">
        <v>3</v>
      </c>
      <c r="D84" s="4" t="s">
        <v>21</v>
      </c>
      <c r="E84" s="4" t="s">
        <v>21</v>
      </c>
      <c r="F84" s="4">
        <f t="shared" si="2"/>
        <v>4</v>
      </c>
    </row>
    <row r="85">
      <c r="A85" s="5">
        <v>44706.68854166667</v>
      </c>
      <c r="B85" s="7">
        <f t="shared" si="1"/>
        <v>44706</v>
      </c>
      <c r="C85" s="33" t="s">
        <v>3</v>
      </c>
      <c r="D85" s="4" t="s">
        <v>21</v>
      </c>
      <c r="E85" s="4" t="s">
        <v>21</v>
      </c>
      <c r="F85" s="4">
        <f t="shared" si="2"/>
        <v>22</v>
      </c>
    </row>
    <row r="86">
      <c r="A86" s="5">
        <v>44691.654270833336</v>
      </c>
      <c r="B86" s="7">
        <f t="shared" si="1"/>
        <v>44691</v>
      </c>
      <c r="C86" s="33" t="s">
        <v>3</v>
      </c>
      <c r="D86" s="4" t="s">
        <v>21</v>
      </c>
      <c r="E86" s="4" t="s">
        <v>21</v>
      </c>
      <c r="F86" s="4">
        <f t="shared" si="2"/>
        <v>20</v>
      </c>
    </row>
    <row r="87">
      <c r="A87" s="5">
        <v>44614.70096064815</v>
      </c>
      <c r="B87" s="7">
        <f t="shared" si="1"/>
        <v>44614</v>
      </c>
      <c r="C87" s="33" t="s">
        <v>3</v>
      </c>
      <c r="D87" s="4" t="s">
        <v>21</v>
      </c>
      <c r="E87" s="4" t="s">
        <v>21</v>
      </c>
      <c r="F87" s="4">
        <f t="shared" si="2"/>
        <v>9</v>
      </c>
    </row>
    <row r="88">
      <c r="A88" s="5">
        <v>44629.652604166666</v>
      </c>
      <c r="B88" s="7">
        <f t="shared" si="1"/>
        <v>44629</v>
      </c>
      <c r="C88" s="33" t="s">
        <v>3</v>
      </c>
      <c r="D88" s="4" t="s">
        <v>21</v>
      </c>
      <c r="E88" s="4" t="s">
        <v>21</v>
      </c>
      <c r="F88" s="4">
        <f t="shared" si="2"/>
        <v>11</v>
      </c>
    </row>
    <row r="89">
      <c r="A89" s="5">
        <v>44567.28952546296</v>
      </c>
      <c r="B89" s="7">
        <f t="shared" si="1"/>
        <v>44567</v>
      </c>
      <c r="C89" s="33" t="s">
        <v>3</v>
      </c>
      <c r="D89" s="4" t="s">
        <v>21</v>
      </c>
      <c r="E89" s="4" t="s">
        <v>21</v>
      </c>
      <c r="F89" s="4">
        <f t="shared" si="2"/>
        <v>2</v>
      </c>
    </row>
    <row r="90">
      <c r="A90" s="5">
        <v>44727.50383101852</v>
      </c>
      <c r="B90" s="7">
        <f t="shared" si="1"/>
        <v>44727</v>
      </c>
      <c r="C90" s="33" t="s">
        <v>3</v>
      </c>
      <c r="D90" s="4" t="s">
        <v>21</v>
      </c>
      <c r="E90" s="4" t="s">
        <v>21</v>
      </c>
      <c r="F90" s="4">
        <f t="shared" si="2"/>
        <v>25</v>
      </c>
    </row>
    <row r="91">
      <c r="A91" s="5">
        <v>44529.48552083333</v>
      </c>
      <c r="B91" s="7">
        <f t="shared" si="1"/>
        <v>44529</v>
      </c>
      <c r="C91" s="33" t="s">
        <v>3</v>
      </c>
      <c r="D91" s="4" t="s">
        <v>21</v>
      </c>
      <c r="E91" s="4" t="s">
        <v>21</v>
      </c>
      <c r="F91" s="4">
        <f t="shared" si="2"/>
        <v>49</v>
      </c>
    </row>
    <row r="92">
      <c r="A92" s="5">
        <v>44530.10530092593</v>
      </c>
      <c r="B92" s="7">
        <f t="shared" si="1"/>
        <v>44530</v>
      </c>
      <c r="C92" s="33" t="s">
        <v>3</v>
      </c>
      <c r="D92" s="4" t="s">
        <v>21</v>
      </c>
      <c r="E92" s="4" t="s">
        <v>21</v>
      </c>
      <c r="F92" s="4">
        <f t="shared" si="2"/>
        <v>49</v>
      </c>
    </row>
    <row r="93">
      <c r="A93" s="5">
        <v>44606.71324074074</v>
      </c>
      <c r="B93" s="7">
        <f t="shared" si="1"/>
        <v>44606</v>
      </c>
      <c r="C93" s="33" t="s">
        <v>3</v>
      </c>
      <c r="D93" s="4" t="s">
        <v>21</v>
      </c>
      <c r="E93" s="4" t="s">
        <v>21</v>
      </c>
      <c r="F93" s="4">
        <f t="shared" si="2"/>
        <v>8</v>
      </c>
    </row>
    <row r="94">
      <c r="A94" s="5">
        <v>44650.54405092593</v>
      </c>
      <c r="B94" s="7">
        <f t="shared" si="1"/>
        <v>44650</v>
      </c>
      <c r="C94" s="33" t="s">
        <v>3</v>
      </c>
      <c r="D94" s="4" t="s">
        <v>21</v>
      </c>
      <c r="E94" s="4" t="s">
        <v>21</v>
      </c>
      <c r="F94" s="4">
        <f t="shared" si="2"/>
        <v>14</v>
      </c>
    </row>
    <row r="95">
      <c r="A95" s="5">
        <v>44531.35542824074</v>
      </c>
      <c r="B95" s="7">
        <f t="shared" si="1"/>
        <v>44531</v>
      </c>
      <c r="C95" s="33" t="s">
        <v>3</v>
      </c>
      <c r="D95" s="4" t="s">
        <v>21</v>
      </c>
      <c r="E95" s="4" t="s">
        <v>21</v>
      </c>
      <c r="F95" s="4">
        <f t="shared" si="2"/>
        <v>49</v>
      </c>
    </row>
    <row r="96">
      <c r="A96" s="5">
        <v>44533.40351851852</v>
      </c>
      <c r="B96" s="7">
        <f t="shared" si="1"/>
        <v>44533</v>
      </c>
      <c r="C96" s="33" t="s">
        <v>3</v>
      </c>
      <c r="D96" s="4" t="s">
        <v>21</v>
      </c>
      <c r="E96" s="4" t="s">
        <v>21</v>
      </c>
      <c r="F96" s="4">
        <f t="shared" si="2"/>
        <v>49</v>
      </c>
    </row>
    <row r="97">
      <c r="A97" s="5">
        <v>44539.654074074075</v>
      </c>
      <c r="B97" s="7">
        <f t="shared" si="1"/>
        <v>44539</v>
      </c>
      <c r="C97" s="33" t="s">
        <v>3</v>
      </c>
      <c r="D97" s="4" t="s">
        <v>21</v>
      </c>
      <c r="E97" s="4" t="s">
        <v>21</v>
      </c>
      <c r="F97" s="4">
        <f t="shared" si="2"/>
        <v>50</v>
      </c>
    </row>
    <row r="98">
      <c r="A98" s="5">
        <v>44600.453518518516</v>
      </c>
      <c r="B98" s="7">
        <f t="shared" si="1"/>
        <v>44600</v>
      </c>
      <c r="C98" s="33" t="s">
        <v>3</v>
      </c>
      <c r="D98" s="4" t="s">
        <v>21</v>
      </c>
      <c r="E98" s="4" t="s">
        <v>21</v>
      </c>
      <c r="F98" s="4">
        <f t="shared" si="2"/>
        <v>7</v>
      </c>
    </row>
    <row r="99">
      <c r="A99" s="5">
        <v>44637.25619212963</v>
      </c>
      <c r="B99" s="7">
        <f t="shared" si="1"/>
        <v>44637</v>
      </c>
      <c r="C99" s="33" t="s">
        <v>3</v>
      </c>
      <c r="D99" s="4" t="s">
        <v>21</v>
      </c>
      <c r="E99" s="4" t="s">
        <v>21</v>
      </c>
      <c r="F99" s="4">
        <f t="shared" si="2"/>
        <v>12</v>
      </c>
    </row>
    <row r="100">
      <c r="A100" s="5">
        <v>44708.65351851852</v>
      </c>
      <c r="B100" s="7">
        <f t="shared" si="1"/>
        <v>44708</v>
      </c>
      <c r="C100" s="33" t="s">
        <v>3</v>
      </c>
      <c r="D100" s="4" t="s">
        <v>21</v>
      </c>
      <c r="E100" s="4" t="s">
        <v>21</v>
      </c>
      <c r="F100" s="4">
        <f t="shared" si="2"/>
        <v>22</v>
      </c>
    </row>
    <row r="101">
      <c r="A101" s="5">
        <v>44719.659895833334</v>
      </c>
      <c r="B101" s="7">
        <f t="shared" si="1"/>
        <v>44719</v>
      </c>
      <c r="C101" s="33" t="s">
        <v>3</v>
      </c>
      <c r="D101" s="4" t="s">
        <v>21</v>
      </c>
      <c r="E101" s="4" t="s">
        <v>21</v>
      </c>
      <c r="F101" s="4">
        <f t="shared" si="2"/>
        <v>24</v>
      </c>
    </row>
    <row r="102">
      <c r="A102" s="5">
        <v>44581.689675925925</v>
      </c>
      <c r="B102" s="7">
        <f t="shared" si="1"/>
        <v>44581</v>
      </c>
      <c r="C102" s="33" t="s">
        <v>3</v>
      </c>
      <c r="D102" s="4" t="s">
        <v>21</v>
      </c>
      <c r="E102" s="4" t="s">
        <v>21</v>
      </c>
      <c r="F102" s="4">
        <f t="shared" si="2"/>
        <v>4</v>
      </c>
    </row>
    <row r="103">
      <c r="A103" s="5">
        <v>44512.655173611114</v>
      </c>
      <c r="B103" s="7">
        <f t="shared" si="1"/>
        <v>44512</v>
      </c>
      <c r="C103" s="33" t="s">
        <v>3</v>
      </c>
      <c r="D103" s="4" t="s">
        <v>21</v>
      </c>
      <c r="E103" s="4" t="s">
        <v>21</v>
      </c>
      <c r="F103" s="4">
        <f t="shared" si="2"/>
        <v>46</v>
      </c>
    </row>
    <row r="104">
      <c r="A104" s="5">
        <v>44530.522986111115</v>
      </c>
      <c r="B104" s="7">
        <f t="shared" si="1"/>
        <v>44530</v>
      </c>
      <c r="C104" s="33" t="s">
        <v>3</v>
      </c>
      <c r="D104" s="4" t="s">
        <v>21</v>
      </c>
      <c r="E104" s="4" t="s">
        <v>21</v>
      </c>
      <c r="F104" s="4">
        <f t="shared" si="2"/>
        <v>49</v>
      </c>
    </row>
    <row r="105">
      <c r="A105" s="5">
        <v>44683.617939814816</v>
      </c>
      <c r="B105" s="7">
        <f t="shared" si="1"/>
        <v>44683</v>
      </c>
      <c r="C105" s="33" t="s">
        <v>3</v>
      </c>
      <c r="D105" s="4" t="s">
        <v>21</v>
      </c>
      <c r="E105" s="4" t="s">
        <v>21</v>
      </c>
      <c r="F105" s="4">
        <f t="shared" si="2"/>
        <v>19</v>
      </c>
    </row>
    <row r="106">
      <c r="A106" s="5">
        <v>44720.3777662037</v>
      </c>
      <c r="B106" s="7">
        <f t="shared" si="1"/>
        <v>44720</v>
      </c>
      <c r="C106" s="33" t="s">
        <v>3</v>
      </c>
      <c r="D106" s="4" t="s">
        <v>21</v>
      </c>
      <c r="E106" s="4" t="s">
        <v>21</v>
      </c>
      <c r="F106" s="4">
        <f t="shared" si="2"/>
        <v>24</v>
      </c>
    </row>
    <row r="107">
      <c r="A107" s="5">
        <v>44663.67153935185</v>
      </c>
      <c r="B107" s="7">
        <f t="shared" si="1"/>
        <v>44663</v>
      </c>
      <c r="C107" s="33" t="s">
        <v>3</v>
      </c>
      <c r="D107" s="4" t="s">
        <v>21</v>
      </c>
      <c r="E107" s="4" t="s">
        <v>21</v>
      </c>
      <c r="F107" s="4">
        <f t="shared" si="2"/>
        <v>16</v>
      </c>
    </row>
    <row r="108">
      <c r="A108" s="5">
        <v>44565.845138888886</v>
      </c>
      <c r="B108" s="7">
        <f t="shared" si="1"/>
        <v>44565</v>
      </c>
      <c r="C108" s="33" t="s">
        <v>3</v>
      </c>
      <c r="D108" s="4" t="s">
        <v>23</v>
      </c>
      <c r="E108" s="4" t="s">
        <v>21</v>
      </c>
      <c r="F108" s="4">
        <f t="shared" si="2"/>
        <v>2</v>
      </c>
    </row>
    <row r="109">
      <c r="A109" s="5">
        <v>44572.67381944445</v>
      </c>
      <c r="B109" s="7">
        <f t="shared" si="1"/>
        <v>44572</v>
      </c>
      <c r="C109" s="33" t="s">
        <v>3</v>
      </c>
      <c r="D109" s="4" t="s">
        <v>21</v>
      </c>
      <c r="E109" s="4" t="s">
        <v>21</v>
      </c>
      <c r="F109" s="4">
        <f t="shared" si="2"/>
        <v>3</v>
      </c>
    </row>
    <row r="110">
      <c r="A110" s="5">
        <v>44536.93106481482</v>
      </c>
      <c r="B110" s="7">
        <f t="shared" si="1"/>
        <v>44536</v>
      </c>
      <c r="C110" s="33" t="s">
        <v>3</v>
      </c>
      <c r="D110" s="4" t="s">
        <v>21</v>
      </c>
      <c r="E110" s="4" t="s">
        <v>21</v>
      </c>
      <c r="F110" s="4">
        <f t="shared" si="2"/>
        <v>50</v>
      </c>
    </row>
    <row r="111">
      <c r="A111" s="5">
        <v>44573.1253125</v>
      </c>
      <c r="B111" s="7">
        <f t="shared" si="1"/>
        <v>44573</v>
      </c>
      <c r="C111" s="33" t="s">
        <v>3</v>
      </c>
      <c r="D111" s="4" t="s">
        <v>21</v>
      </c>
      <c r="E111" s="4" t="s">
        <v>21</v>
      </c>
      <c r="F111" s="4">
        <f t="shared" si="2"/>
        <v>3</v>
      </c>
    </row>
    <row r="112">
      <c r="A112" s="5">
        <v>44573.46511574074</v>
      </c>
      <c r="B112" s="7">
        <f t="shared" si="1"/>
        <v>44573</v>
      </c>
      <c r="C112" s="33" t="s">
        <v>3</v>
      </c>
      <c r="D112" s="4" t="s">
        <v>21</v>
      </c>
      <c r="E112" s="4" t="s">
        <v>21</v>
      </c>
      <c r="F112" s="4">
        <f t="shared" si="2"/>
        <v>3</v>
      </c>
    </row>
    <row r="113">
      <c r="A113" s="5">
        <v>44533.630625</v>
      </c>
      <c r="B113" s="7">
        <f t="shared" si="1"/>
        <v>44533</v>
      </c>
      <c r="C113" s="33" t="s">
        <v>3</v>
      </c>
      <c r="D113" s="4" t="s">
        <v>21</v>
      </c>
      <c r="E113" s="4" t="s">
        <v>21</v>
      </c>
      <c r="F113" s="4">
        <f t="shared" si="2"/>
        <v>49</v>
      </c>
    </row>
    <row r="114">
      <c r="A114" s="5">
        <v>44546.33777777778</v>
      </c>
      <c r="B114" s="7">
        <f t="shared" si="1"/>
        <v>44546</v>
      </c>
      <c r="C114" s="33" t="s">
        <v>3</v>
      </c>
      <c r="D114" s="4" t="s">
        <v>21</v>
      </c>
      <c r="E114" s="4" t="s">
        <v>21</v>
      </c>
      <c r="F114" s="4">
        <f t="shared" si="2"/>
        <v>51</v>
      </c>
    </row>
    <row r="115">
      <c r="A115" s="5">
        <v>44663.75234953704</v>
      </c>
      <c r="B115" s="7">
        <f t="shared" si="1"/>
        <v>44663</v>
      </c>
      <c r="C115" s="33" t="s">
        <v>3</v>
      </c>
      <c r="D115" s="4" t="s">
        <v>21</v>
      </c>
      <c r="E115" s="4" t="s">
        <v>21</v>
      </c>
      <c r="F115" s="4">
        <f t="shared" si="2"/>
        <v>16</v>
      </c>
    </row>
    <row r="116">
      <c r="A116" s="5">
        <v>44371.37189814815</v>
      </c>
      <c r="B116" s="7">
        <f t="shared" si="1"/>
        <v>44371</v>
      </c>
      <c r="C116" s="33" t="s">
        <v>3</v>
      </c>
      <c r="D116" s="4" t="s">
        <v>21</v>
      </c>
      <c r="E116" s="4" t="s">
        <v>21</v>
      </c>
      <c r="F116" s="4">
        <f t="shared" si="2"/>
        <v>26</v>
      </c>
    </row>
    <row r="117">
      <c r="A117" s="5">
        <v>44474.78931712963</v>
      </c>
      <c r="B117" s="7">
        <f t="shared" si="1"/>
        <v>44474</v>
      </c>
      <c r="C117" s="33" t="s">
        <v>3</v>
      </c>
      <c r="D117" s="4" t="s">
        <v>21</v>
      </c>
      <c r="E117" s="4" t="s">
        <v>21</v>
      </c>
      <c r="F117" s="4">
        <f t="shared" si="2"/>
        <v>41</v>
      </c>
    </row>
    <row r="118">
      <c r="A118" s="5">
        <v>44553.118483796294</v>
      </c>
      <c r="B118" s="7">
        <f t="shared" si="1"/>
        <v>44553</v>
      </c>
      <c r="C118" s="33" t="s">
        <v>3</v>
      </c>
      <c r="D118" s="4" t="s">
        <v>21</v>
      </c>
      <c r="E118" s="4" t="s">
        <v>21</v>
      </c>
      <c r="F118" s="4">
        <f t="shared" si="2"/>
        <v>52</v>
      </c>
    </row>
    <row r="119">
      <c r="A119" s="5">
        <v>44582.927395833336</v>
      </c>
      <c r="B119" s="7">
        <f t="shared" si="1"/>
        <v>44582</v>
      </c>
      <c r="C119" s="33" t="s">
        <v>3</v>
      </c>
      <c r="D119" s="4" t="s">
        <v>21</v>
      </c>
      <c r="E119" s="4" t="s">
        <v>21</v>
      </c>
      <c r="F119" s="4">
        <f t="shared" si="2"/>
        <v>4</v>
      </c>
    </row>
    <row r="120">
      <c r="A120" s="5">
        <v>44603.41756944444</v>
      </c>
      <c r="B120" s="7">
        <f t="shared" si="1"/>
        <v>44603</v>
      </c>
      <c r="C120" s="33" t="s">
        <v>3</v>
      </c>
      <c r="D120" s="4" t="s">
        <v>21</v>
      </c>
      <c r="E120" s="4" t="s">
        <v>21</v>
      </c>
      <c r="F120" s="4">
        <f t="shared" si="2"/>
        <v>7</v>
      </c>
    </row>
    <row r="121">
      <c r="A121" s="5">
        <v>44641.71784722222</v>
      </c>
      <c r="B121" s="7">
        <f t="shared" si="1"/>
        <v>44641</v>
      </c>
      <c r="C121" s="33" t="s">
        <v>3</v>
      </c>
      <c r="D121" s="4" t="s">
        <v>21</v>
      </c>
      <c r="E121" s="4" t="s">
        <v>21</v>
      </c>
      <c r="F121" s="4">
        <f t="shared" si="2"/>
        <v>13</v>
      </c>
    </row>
    <row r="122">
      <c r="A122" s="5">
        <v>44711.73626157407</v>
      </c>
      <c r="B122" s="7">
        <f t="shared" si="1"/>
        <v>44711</v>
      </c>
      <c r="C122" s="33" t="s">
        <v>3</v>
      </c>
      <c r="D122" s="4" t="s">
        <v>21</v>
      </c>
      <c r="E122" s="4" t="s">
        <v>21</v>
      </c>
      <c r="F122" s="4">
        <f t="shared" si="2"/>
        <v>23</v>
      </c>
    </row>
    <row r="123">
      <c r="A123" s="5">
        <v>44711.74055555555</v>
      </c>
      <c r="B123" s="7">
        <f t="shared" si="1"/>
        <v>44711</v>
      </c>
      <c r="C123" s="33" t="s">
        <v>3</v>
      </c>
      <c r="D123" s="4" t="s">
        <v>21</v>
      </c>
      <c r="E123" s="4" t="s">
        <v>21</v>
      </c>
      <c r="F123" s="4">
        <f t="shared" si="2"/>
        <v>23</v>
      </c>
    </row>
    <row r="124">
      <c r="A124" s="5">
        <v>44630.48820601852</v>
      </c>
      <c r="B124" s="7">
        <f t="shared" si="1"/>
        <v>44630</v>
      </c>
      <c r="C124" s="33" t="s">
        <v>3</v>
      </c>
      <c r="D124" s="4" t="s">
        <v>21</v>
      </c>
      <c r="E124" s="4" t="s">
        <v>21</v>
      </c>
      <c r="F124" s="4">
        <f t="shared" si="2"/>
        <v>11</v>
      </c>
    </row>
    <row r="125">
      <c r="A125" s="5">
        <v>44531.613541666666</v>
      </c>
      <c r="B125" s="7">
        <f t="shared" si="1"/>
        <v>44531</v>
      </c>
      <c r="C125" s="33" t="s">
        <v>3</v>
      </c>
      <c r="D125" s="4" t="s">
        <v>21</v>
      </c>
      <c r="E125" s="4" t="s">
        <v>21</v>
      </c>
      <c r="F125" s="4">
        <f t="shared" si="2"/>
        <v>49</v>
      </c>
    </row>
    <row r="126">
      <c r="A126" s="5">
        <v>44652.531643518516</v>
      </c>
      <c r="B126" s="7">
        <f t="shared" si="1"/>
        <v>44652</v>
      </c>
      <c r="C126" s="33" t="s">
        <v>3</v>
      </c>
      <c r="D126" s="4" t="s">
        <v>21</v>
      </c>
      <c r="E126" s="4" t="s">
        <v>21</v>
      </c>
      <c r="F126" s="4">
        <f t="shared" si="2"/>
        <v>14</v>
      </c>
    </row>
    <row r="127">
      <c r="A127" s="5">
        <v>44466.378900462965</v>
      </c>
      <c r="B127" s="7">
        <f t="shared" si="1"/>
        <v>44466</v>
      </c>
      <c r="C127" s="33" t="s">
        <v>3</v>
      </c>
      <c r="D127" s="4" t="s">
        <v>21</v>
      </c>
      <c r="E127" s="4" t="s">
        <v>21</v>
      </c>
      <c r="F127" s="4">
        <f t="shared" si="2"/>
        <v>40</v>
      </c>
    </row>
    <row r="128">
      <c r="A128" s="5">
        <v>44579.589166666665</v>
      </c>
      <c r="B128" s="7">
        <f t="shared" si="1"/>
        <v>44579</v>
      </c>
      <c r="C128" s="33" t="s">
        <v>3</v>
      </c>
      <c r="D128" s="4" t="s">
        <v>21</v>
      </c>
      <c r="E128" s="4" t="s">
        <v>21</v>
      </c>
      <c r="F128" s="4">
        <f t="shared" si="2"/>
        <v>4</v>
      </c>
    </row>
    <row r="129">
      <c r="A129" s="5">
        <v>44578.24469907407</v>
      </c>
      <c r="B129" s="7">
        <f t="shared" si="1"/>
        <v>44578</v>
      </c>
      <c r="C129" s="33" t="s">
        <v>3</v>
      </c>
      <c r="D129" s="4" t="s">
        <v>21</v>
      </c>
      <c r="E129" s="4" t="s">
        <v>21</v>
      </c>
      <c r="F129" s="4">
        <f t="shared" si="2"/>
        <v>4</v>
      </c>
    </row>
    <row r="130">
      <c r="A130" s="5">
        <v>44588.45195601852</v>
      </c>
      <c r="B130" s="7">
        <f t="shared" si="1"/>
        <v>44588</v>
      </c>
      <c r="C130" s="33" t="s">
        <v>3</v>
      </c>
      <c r="D130" s="4" t="s">
        <v>21</v>
      </c>
      <c r="E130" s="4" t="s">
        <v>21</v>
      </c>
      <c r="F130" s="4">
        <f t="shared" si="2"/>
        <v>5</v>
      </c>
    </row>
    <row r="131">
      <c r="A131" s="5">
        <v>44600.44681712963</v>
      </c>
      <c r="B131" s="7">
        <f t="shared" si="1"/>
        <v>44600</v>
      </c>
      <c r="C131" s="33" t="s">
        <v>3</v>
      </c>
      <c r="D131" s="4" t="s">
        <v>21</v>
      </c>
      <c r="E131" s="4" t="s">
        <v>21</v>
      </c>
      <c r="F131" s="4">
        <f t="shared" si="2"/>
        <v>7</v>
      </c>
    </row>
    <row r="132">
      <c r="A132" s="5">
        <v>44606.59405092592</v>
      </c>
      <c r="B132" s="7">
        <f t="shared" si="1"/>
        <v>44606</v>
      </c>
      <c r="C132" s="33" t="s">
        <v>3</v>
      </c>
      <c r="D132" s="4" t="s">
        <v>21</v>
      </c>
      <c r="E132" s="4" t="s">
        <v>21</v>
      </c>
      <c r="F132" s="4">
        <f t="shared" si="2"/>
        <v>8</v>
      </c>
    </row>
    <row r="133">
      <c r="A133" s="5">
        <v>44412.5753125</v>
      </c>
      <c r="B133" s="7">
        <f t="shared" si="1"/>
        <v>44412</v>
      </c>
      <c r="C133" s="33" t="s">
        <v>3</v>
      </c>
      <c r="D133" s="4" t="s">
        <v>21</v>
      </c>
      <c r="E133" s="4" t="s">
        <v>21</v>
      </c>
      <c r="F133" s="4">
        <f t="shared" si="2"/>
        <v>32</v>
      </c>
    </row>
    <row r="134">
      <c r="A134" s="5">
        <v>44412.71196759259</v>
      </c>
      <c r="B134" s="7">
        <f t="shared" si="1"/>
        <v>44412</v>
      </c>
      <c r="C134" s="33" t="s">
        <v>3</v>
      </c>
      <c r="D134" s="4" t="s">
        <v>21</v>
      </c>
      <c r="E134" s="4" t="s">
        <v>21</v>
      </c>
      <c r="F134" s="4">
        <f t="shared" si="2"/>
        <v>32</v>
      </c>
    </row>
    <row r="135">
      <c r="A135" s="5">
        <v>44607.39733796296</v>
      </c>
      <c r="B135" s="7">
        <f t="shared" si="1"/>
        <v>44607</v>
      </c>
      <c r="C135" s="33" t="s">
        <v>3</v>
      </c>
      <c r="D135" s="4" t="s">
        <v>21</v>
      </c>
      <c r="E135" s="4" t="s">
        <v>21</v>
      </c>
      <c r="F135" s="4">
        <f t="shared" si="2"/>
        <v>8</v>
      </c>
    </row>
    <row r="136">
      <c r="A136" s="5">
        <v>44546.62494212963</v>
      </c>
      <c r="B136" s="7">
        <f t="shared" si="1"/>
        <v>44546</v>
      </c>
      <c r="C136" s="33" t="s">
        <v>3</v>
      </c>
      <c r="D136" s="4" t="s">
        <v>21</v>
      </c>
      <c r="E136" s="4" t="s">
        <v>21</v>
      </c>
      <c r="F136" s="4">
        <f t="shared" si="2"/>
        <v>51</v>
      </c>
    </row>
    <row r="137">
      <c r="A137" s="5">
        <v>44629.11150462963</v>
      </c>
      <c r="B137" s="7">
        <f t="shared" si="1"/>
        <v>44629</v>
      </c>
      <c r="C137" s="33" t="s">
        <v>3</v>
      </c>
      <c r="D137" s="4" t="s">
        <v>21</v>
      </c>
      <c r="E137" s="4" t="s">
        <v>21</v>
      </c>
      <c r="F137" s="4">
        <f t="shared" si="2"/>
        <v>11</v>
      </c>
    </row>
    <row r="138">
      <c r="A138" s="5">
        <v>44413.719618055555</v>
      </c>
      <c r="B138" s="7">
        <f t="shared" si="1"/>
        <v>44413</v>
      </c>
      <c r="C138" s="33" t="s">
        <v>3</v>
      </c>
      <c r="D138" s="4" t="s">
        <v>21</v>
      </c>
      <c r="E138" s="4" t="s">
        <v>21</v>
      </c>
      <c r="F138" s="4">
        <f t="shared" si="2"/>
        <v>32</v>
      </c>
    </row>
    <row r="139">
      <c r="A139" s="5">
        <v>44440.597395833334</v>
      </c>
      <c r="B139" s="7">
        <f t="shared" si="1"/>
        <v>44440</v>
      </c>
      <c r="C139" s="33" t="s">
        <v>3</v>
      </c>
      <c r="D139" s="4" t="s">
        <v>21</v>
      </c>
      <c r="E139" s="4" t="s">
        <v>21</v>
      </c>
      <c r="F139" s="4">
        <f t="shared" si="2"/>
        <v>36</v>
      </c>
    </row>
    <row r="140">
      <c r="A140" s="5">
        <v>44475.505694444444</v>
      </c>
      <c r="B140" s="7">
        <f t="shared" si="1"/>
        <v>44475</v>
      </c>
      <c r="C140" s="33" t="s">
        <v>3</v>
      </c>
      <c r="D140" s="4" t="s">
        <v>21</v>
      </c>
      <c r="E140" s="4" t="s">
        <v>21</v>
      </c>
      <c r="F140" s="4">
        <f t="shared" si="2"/>
        <v>41</v>
      </c>
    </row>
    <row r="141">
      <c r="A141" s="5">
        <v>44487.30289351852</v>
      </c>
      <c r="B141" s="7">
        <f t="shared" si="1"/>
        <v>44487</v>
      </c>
      <c r="C141" s="33" t="s">
        <v>3</v>
      </c>
      <c r="D141" s="4" t="s">
        <v>21</v>
      </c>
      <c r="E141" s="4" t="s">
        <v>21</v>
      </c>
      <c r="F141" s="4">
        <f t="shared" si="2"/>
        <v>43</v>
      </c>
    </row>
    <row r="142">
      <c r="A142" s="5">
        <v>44491.43934027778</v>
      </c>
      <c r="B142" s="7">
        <f t="shared" si="1"/>
        <v>44491</v>
      </c>
      <c r="C142" s="33" t="s">
        <v>3</v>
      </c>
      <c r="D142" s="4" t="s">
        <v>21</v>
      </c>
      <c r="E142" s="4" t="s">
        <v>21</v>
      </c>
      <c r="F142" s="4">
        <f t="shared" si="2"/>
        <v>43</v>
      </c>
    </row>
    <row r="143">
      <c r="A143" s="5">
        <v>44503.53099537037</v>
      </c>
      <c r="B143" s="7">
        <f t="shared" si="1"/>
        <v>44503</v>
      </c>
      <c r="C143" s="33" t="s">
        <v>3</v>
      </c>
      <c r="D143" s="4" t="s">
        <v>21</v>
      </c>
      <c r="E143" s="4" t="s">
        <v>21</v>
      </c>
      <c r="F143" s="4">
        <f t="shared" si="2"/>
        <v>45</v>
      </c>
    </row>
    <row r="144">
      <c r="A144" s="5">
        <v>44515.54142361111</v>
      </c>
      <c r="B144" s="7">
        <f t="shared" si="1"/>
        <v>44515</v>
      </c>
      <c r="C144" s="33" t="s">
        <v>3</v>
      </c>
      <c r="D144" s="4" t="s">
        <v>21</v>
      </c>
      <c r="E144" s="4" t="s">
        <v>21</v>
      </c>
      <c r="F144" s="4">
        <f t="shared" si="2"/>
        <v>47</v>
      </c>
    </row>
    <row r="145">
      <c r="A145" s="5">
        <v>44524.394282407404</v>
      </c>
      <c r="B145" s="7">
        <f t="shared" si="1"/>
        <v>44524</v>
      </c>
      <c r="C145" s="33" t="s">
        <v>3</v>
      </c>
      <c r="D145" s="4" t="s">
        <v>21</v>
      </c>
      <c r="E145" s="4" t="s">
        <v>21</v>
      </c>
      <c r="F145" s="4">
        <f t="shared" si="2"/>
        <v>48</v>
      </c>
    </row>
    <row r="146">
      <c r="A146" s="5">
        <v>44532.993425925924</v>
      </c>
      <c r="B146" s="7">
        <f t="shared" si="1"/>
        <v>44532</v>
      </c>
      <c r="C146" s="33" t="s">
        <v>3</v>
      </c>
      <c r="D146" s="4" t="s">
        <v>21</v>
      </c>
      <c r="E146" s="4" t="s">
        <v>21</v>
      </c>
      <c r="F146" s="4">
        <f t="shared" si="2"/>
        <v>49</v>
      </c>
    </row>
    <row r="147">
      <c r="A147" s="5">
        <v>44537.45180555555</v>
      </c>
      <c r="B147" s="7">
        <f t="shared" si="1"/>
        <v>44537</v>
      </c>
      <c r="C147" s="33" t="s">
        <v>3</v>
      </c>
      <c r="D147" s="4" t="s">
        <v>21</v>
      </c>
      <c r="E147" s="4" t="s">
        <v>21</v>
      </c>
      <c r="F147" s="4">
        <f t="shared" si="2"/>
        <v>50</v>
      </c>
    </row>
    <row r="148">
      <c r="A148" s="5">
        <v>44543.57016203704</v>
      </c>
      <c r="B148" s="7">
        <f t="shared" si="1"/>
        <v>44543</v>
      </c>
      <c r="C148" s="33" t="s">
        <v>3</v>
      </c>
      <c r="D148" s="4" t="s">
        <v>21</v>
      </c>
      <c r="E148" s="4" t="s">
        <v>21</v>
      </c>
      <c r="F148" s="4">
        <f t="shared" si="2"/>
        <v>51</v>
      </c>
    </row>
    <row r="149">
      <c r="A149" s="5">
        <v>44580.3128125</v>
      </c>
      <c r="B149" s="7">
        <f t="shared" si="1"/>
        <v>44580</v>
      </c>
      <c r="C149" s="33" t="s">
        <v>3</v>
      </c>
      <c r="D149" s="4" t="s">
        <v>21</v>
      </c>
      <c r="E149" s="4" t="s">
        <v>21</v>
      </c>
      <c r="F149" s="4">
        <f t="shared" si="2"/>
        <v>4</v>
      </c>
    </row>
    <row r="150">
      <c r="A150" s="5">
        <v>44586.884930555556</v>
      </c>
      <c r="B150" s="7">
        <f t="shared" si="1"/>
        <v>44586</v>
      </c>
      <c r="C150" s="33" t="s">
        <v>3</v>
      </c>
      <c r="D150" s="4" t="s">
        <v>21</v>
      </c>
      <c r="E150" s="4" t="s">
        <v>21</v>
      </c>
      <c r="F150" s="4">
        <f t="shared" si="2"/>
        <v>5</v>
      </c>
    </row>
    <row r="151">
      <c r="A151" s="5">
        <v>44600.340625</v>
      </c>
      <c r="B151" s="7">
        <f t="shared" si="1"/>
        <v>44600</v>
      </c>
      <c r="C151" s="33" t="s">
        <v>3</v>
      </c>
      <c r="D151" s="4" t="s">
        <v>21</v>
      </c>
      <c r="E151" s="4" t="s">
        <v>21</v>
      </c>
      <c r="F151" s="4">
        <f t="shared" si="2"/>
        <v>7</v>
      </c>
    </row>
    <row r="152">
      <c r="A152" s="5">
        <v>44607.79907407407</v>
      </c>
      <c r="B152" s="7">
        <f t="shared" si="1"/>
        <v>44607</v>
      </c>
      <c r="C152" s="33" t="s">
        <v>3</v>
      </c>
      <c r="D152" s="4" t="s">
        <v>21</v>
      </c>
      <c r="E152" s="4" t="s">
        <v>21</v>
      </c>
      <c r="F152" s="4">
        <f t="shared" si="2"/>
        <v>8</v>
      </c>
    </row>
    <row r="153">
      <c r="A153" s="5">
        <v>44607.84076388889</v>
      </c>
      <c r="B153" s="7">
        <f t="shared" si="1"/>
        <v>44607</v>
      </c>
      <c r="C153" s="33" t="s">
        <v>3</v>
      </c>
      <c r="D153" s="4" t="s">
        <v>21</v>
      </c>
      <c r="E153" s="4" t="s">
        <v>21</v>
      </c>
      <c r="F153" s="4">
        <f t="shared" si="2"/>
        <v>8</v>
      </c>
    </row>
    <row r="154">
      <c r="A154" s="5">
        <v>44628.05372685185</v>
      </c>
      <c r="B154" s="7">
        <f t="shared" si="1"/>
        <v>44628</v>
      </c>
      <c r="C154" s="33" t="s">
        <v>3</v>
      </c>
      <c r="D154" s="4" t="s">
        <v>21</v>
      </c>
      <c r="E154" s="4" t="s">
        <v>21</v>
      </c>
      <c r="F154" s="4">
        <f t="shared" si="2"/>
        <v>11</v>
      </c>
    </row>
    <row r="155">
      <c r="A155" s="5">
        <v>44628.055752314816</v>
      </c>
      <c r="B155" s="7">
        <f t="shared" si="1"/>
        <v>44628</v>
      </c>
      <c r="C155" s="33" t="s">
        <v>3</v>
      </c>
      <c r="D155" s="4" t="s">
        <v>21</v>
      </c>
      <c r="E155" s="4" t="s">
        <v>21</v>
      </c>
      <c r="F155" s="4">
        <f t="shared" si="2"/>
        <v>11</v>
      </c>
    </row>
    <row r="156">
      <c r="A156" s="5">
        <v>44641.72740740741</v>
      </c>
      <c r="B156" s="7">
        <f t="shared" si="1"/>
        <v>44641</v>
      </c>
      <c r="C156" s="33" t="s">
        <v>3</v>
      </c>
      <c r="D156" s="4" t="s">
        <v>21</v>
      </c>
      <c r="E156" s="4" t="s">
        <v>21</v>
      </c>
      <c r="F156" s="4">
        <f t="shared" si="2"/>
        <v>13</v>
      </c>
    </row>
    <row r="157">
      <c r="A157" s="5">
        <v>44641.73709490741</v>
      </c>
      <c r="B157" s="7">
        <f t="shared" si="1"/>
        <v>44641</v>
      </c>
      <c r="C157" s="33" t="s">
        <v>3</v>
      </c>
      <c r="D157" s="4" t="s">
        <v>21</v>
      </c>
      <c r="E157" s="4" t="s">
        <v>21</v>
      </c>
      <c r="F157" s="4">
        <f t="shared" si="2"/>
        <v>13</v>
      </c>
    </row>
    <row r="158">
      <c r="A158" s="5">
        <v>44651.328252314815</v>
      </c>
      <c r="B158" s="7">
        <f t="shared" si="1"/>
        <v>44651</v>
      </c>
      <c r="C158" s="33" t="s">
        <v>3</v>
      </c>
      <c r="D158" s="4" t="s">
        <v>21</v>
      </c>
      <c r="E158" s="4" t="s">
        <v>21</v>
      </c>
      <c r="F158" s="4">
        <f t="shared" si="2"/>
        <v>14</v>
      </c>
    </row>
    <row r="159">
      <c r="A159" s="5">
        <v>44678.83385416667</v>
      </c>
      <c r="B159" s="7">
        <f t="shared" si="1"/>
        <v>44678</v>
      </c>
      <c r="C159" s="33" t="s">
        <v>3</v>
      </c>
      <c r="D159" s="4" t="s">
        <v>21</v>
      </c>
      <c r="E159" s="4" t="s">
        <v>21</v>
      </c>
      <c r="F159" s="4">
        <f t="shared" si="2"/>
        <v>18</v>
      </c>
    </row>
    <row r="160">
      <c r="A160" s="5">
        <v>44698.879328703704</v>
      </c>
      <c r="B160" s="7">
        <f t="shared" si="1"/>
        <v>44698</v>
      </c>
      <c r="C160" s="33" t="s">
        <v>3</v>
      </c>
      <c r="D160" s="4" t="s">
        <v>21</v>
      </c>
      <c r="E160" s="4" t="s">
        <v>21</v>
      </c>
      <c r="F160" s="4">
        <f t="shared" si="2"/>
        <v>21</v>
      </c>
    </row>
    <row r="161">
      <c r="A161" s="5">
        <v>44727.59210648148</v>
      </c>
      <c r="B161" s="7">
        <f t="shared" si="1"/>
        <v>44727</v>
      </c>
      <c r="C161" s="33" t="s">
        <v>3</v>
      </c>
      <c r="D161" s="4" t="s">
        <v>21</v>
      </c>
      <c r="E161" s="4" t="s">
        <v>21</v>
      </c>
      <c r="F161" s="4">
        <f t="shared" si="2"/>
        <v>25</v>
      </c>
    </row>
    <row r="162">
      <c r="A162" s="5">
        <v>44652.27206018518</v>
      </c>
      <c r="B162" s="7">
        <f t="shared" si="1"/>
        <v>44652</v>
      </c>
      <c r="C162" s="33" t="s">
        <v>3</v>
      </c>
      <c r="D162" s="4" t="s">
        <v>21</v>
      </c>
      <c r="E162" s="4" t="s">
        <v>21</v>
      </c>
      <c r="F162" s="4">
        <f t="shared" si="2"/>
        <v>14</v>
      </c>
    </row>
    <row r="163">
      <c r="A163" s="5">
        <v>44622.171631944446</v>
      </c>
      <c r="B163" s="7">
        <f t="shared" si="1"/>
        <v>44622</v>
      </c>
      <c r="C163" s="33" t="s">
        <v>3</v>
      </c>
      <c r="D163" s="4" t="s">
        <v>21</v>
      </c>
      <c r="E163" s="4" t="s">
        <v>21</v>
      </c>
      <c r="F163" s="4">
        <f t="shared" si="2"/>
        <v>10</v>
      </c>
    </row>
    <row r="164">
      <c r="A164" s="5">
        <v>44624.41585648148</v>
      </c>
      <c r="B164" s="7">
        <f t="shared" si="1"/>
        <v>44624</v>
      </c>
      <c r="C164" s="33" t="s">
        <v>3</v>
      </c>
      <c r="D164" s="4" t="s">
        <v>21</v>
      </c>
      <c r="E164" s="4" t="s">
        <v>21</v>
      </c>
      <c r="F164" s="4">
        <f t="shared" si="2"/>
        <v>10</v>
      </c>
    </row>
    <row r="165">
      <c r="A165" s="5">
        <v>44676.314351851855</v>
      </c>
      <c r="B165" s="7">
        <f t="shared" si="1"/>
        <v>44676</v>
      </c>
      <c r="C165" s="33" t="s">
        <v>3</v>
      </c>
      <c r="D165" s="4" t="s">
        <v>21</v>
      </c>
      <c r="E165" s="4" t="s">
        <v>21</v>
      </c>
      <c r="F165" s="4">
        <f t="shared" si="2"/>
        <v>18</v>
      </c>
    </row>
    <row r="166">
      <c r="A166" s="5">
        <v>44676.34224537037</v>
      </c>
      <c r="B166" s="7">
        <f t="shared" si="1"/>
        <v>44676</v>
      </c>
      <c r="C166" s="33" t="s">
        <v>3</v>
      </c>
      <c r="D166" s="4" t="s">
        <v>21</v>
      </c>
      <c r="E166" s="4" t="s">
        <v>21</v>
      </c>
      <c r="F166" s="4">
        <f t="shared" si="2"/>
        <v>18</v>
      </c>
    </row>
    <row r="167">
      <c r="A167" s="5">
        <v>44676.350902777776</v>
      </c>
      <c r="B167" s="7">
        <f t="shared" si="1"/>
        <v>44676</v>
      </c>
      <c r="C167" s="33" t="s">
        <v>3</v>
      </c>
      <c r="D167" s="4" t="s">
        <v>21</v>
      </c>
      <c r="E167" s="4" t="s">
        <v>21</v>
      </c>
      <c r="F167" s="4">
        <f t="shared" si="2"/>
        <v>18</v>
      </c>
    </row>
    <row r="168">
      <c r="A168" s="5">
        <v>44592.50613425926</v>
      </c>
      <c r="B168" s="7">
        <f t="shared" si="1"/>
        <v>44592</v>
      </c>
      <c r="C168" s="33" t="s">
        <v>3</v>
      </c>
      <c r="D168" s="4" t="s">
        <v>21</v>
      </c>
      <c r="E168" s="4" t="s">
        <v>23</v>
      </c>
      <c r="F168" s="4">
        <f t="shared" si="2"/>
        <v>6</v>
      </c>
    </row>
    <row r="169">
      <c r="A169" s="5">
        <v>44592.50619212963</v>
      </c>
      <c r="B169" s="7">
        <f t="shared" si="1"/>
        <v>44592</v>
      </c>
      <c r="C169" s="33" t="s">
        <v>3</v>
      </c>
      <c r="D169" s="4" t="s">
        <v>21</v>
      </c>
      <c r="E169" s="4" t="s">
        <v>23</v>
      </c>
      <c r="F169" s="4">
        <f t="shared" si="2"/>
        <v>6</v>
      </c>
    </row>
    <row r="170">
      <c r="A170" s="5">
        <v>44482.5600462963</v>
      </c>
      <c r="B170" s="7">
        <f t="shared" si="1"/>
        <v>44482</v>
      </c>
      <c r="C170" s="33" t="s">
        <v>3</v>
      </c>
      <c r="D170" s="4" t="s">
        <v>21</v>
      </c>
      <c r="E170" s="4" t="s">
        <v>21</v>
      </c>
      <c r="F170" s="4">
        <f t="shared" si="2"/>
        <v>42</v>
      </c>
    </row>
    <row r="171">
      <c r="A171" s="5">
        <v>44614.42859953704</v>
      </c>
      <c r="B171" s="7">
        <f t="shared" si="1"/>
        <v>44614</v>
      </c>
      <c r="C171" s="33" t="s">
        <v>3</v>
      </c>
      <c r="D171" s="4" t="s">
        <v>21</v>
      </c>
      <c r="E171" s="4" t="s">
        <v>21</v>
      </c>
      <c r="F171" s="4">
        <f t="shared" si="2"/>
        <v>9</v>
      </c>
    </row>
    <row r="172">
      <c r="A172" s="5">
        <v>44460.45829861111</v>
      </c>
      <c r="B172" s="7">
        <f t="shared" si="1"/>
        <v>44460</v>
      </c>
      <c r="C172" s="33" t="s">
        <v>3</v>
      </c>
      <c r="D172" s="4" t="s">
        <v>21</v>
      </c>
      <c r="E172" s="4" t="s">
        <v>21</v>
      </c>
      <c r="F172" s="4">
        <f t="shared" si="2"/>
        <v>39</v>
      </c>
    </row>
    <row r="173">
      <c r="A173" s="5">
        <v>44676.535150462965</v>
      </c>
      <c r="B173" s="7">
        <f t="shared" si="1"/>
        <v>44676</v>
      </c>
      <c r="C173" s="33" t="s">
        <v>3</v>
      </c>
      <c r="D173" s="4" t="s">
        <v>21</v>
      </c>
      <c r="E173" s="4" t="s">
        <v>21</v>
      </c>
      <c r="F173" s="4">
        <f t="shared" si="2"/>
        <v>18</v>
      </c>
    </row>
    <row r="174">
      <c r="A174" s="5">
        <v>44497.56287037037</v>
      </c>
      <c r="B174" s="7">
        <f t="shared" si="1"/>
        <v>44497</v>
      </c>
      <c r="C174" s="33" t="s">
        <v>3</v>
      </c>
      <c r="D174" s="4" t="s">
        <v>21</v>
      </c>
      <c r="E174" s="4" t="s">
        <v>21</v>
      </c>
      <c r="F174" s="4">
        <f t="shared" si="2"/>
        <v>44</v>
      </c>
    </row>
    <row r="175">
      <c r="A175" s="5">
        <v>44644.97435185185</v>
      </c>
      <c r="B175" s="7">
        <f t="shared" si="1"/>
        <v>44644</v>
      </c>
      <c r="C175" s="33" t="s">
        <v>3</v>
      </c>
      <c r="D175" s="4" t="s">
        <v>21</v>
      </c>
      <c r="E175" s="4" t="s">
        <v>21</v>
      </c>
      <c r="F175" s="4">
        <f t="shared" si="2"/>
        <v>13</v>
      </c>
    </row>
    <row r="176">
      <c r="A176" s="5">
        <v>44600.187997685185</v>
      </c>
      <c r="B176" s="7">
        <f t="shared" si="1"/>
        <v>44600</v>
      </c>
      <c r="C176" s="33" t="s">
        <v>3</v>
      </c>
      <c r="D176" s="4" t="s">
        <v>21</v>
      </c>
      <c r="E176" s="4" t="s">
        <v>21</v>
      </c>
      <c r="F176" s="4">
        <f t="shared" si="2"/>
        <v>7</v>
      </c>
    </row>
    <row r="177">
      <c r="A177" s="5">
        <v>44600.437997685185</v>
      </c>
      <c r="B177" s="7">
        <f t="shared" si="1"/>
        <v>44600</v>
      </c>
      <c r="C177" s="33" t="s">
        <v>3</v>
      </c>
      <c r="D177" s="4" t="s">
        <v>21</v>
      </c>
      <c r="E177" s="4" t="s">
        <v>21</v>
      </c>
      <c r="F177" s="4">
        <f t="shared" si="2"/>
        <v>7</v>
      </c>
    </row>
    <row r="178">
      <c r="A178" s="5">
        <v>44608.56290509259</v>
      </c>
      <c r="B178" s="7">
        <f t="shared" si="1"/>
        <v>44608</v>
      </c>
      <c r="C178" s="33" t="s">
        <v>3</v>
      </c>
      <c r="D178" s="4" t="s">
        <v>21</v>
      </c>
      <c r="E178" s="4" t="s">
        <v>21</v>
      </c>
      <c r="F178" s="4">
        <f t="shared" si="2"/>
        <v>8</v>
      </c>
    </row>
    <row r="179">
      <c r="A179" s="5">
        <v>44616.23650462963</v>
      </c>
      <c r="B179" s="7">
        <f t="shared" si="1"/>
        <v>44616</v>
      </c>
      <c r="C179" s="33" t="s">
        <v>3</v>
      </c>
      <c r="D179" s="4" t="s">
        <v>21</v>
      </c>
      <c r="E179" s="4" t="s">
        <v>21</v>
      </c>
      <c r="F179" s="4">
        <f t="shared" si="2"/>
        <v>9</v>
      </c>
    </row>
    <row r="180">
      <c r="A180" s="5">
        <v>44618.22258101852</v>
      </c>
      <c r="B180" s="7">
        <f t="shared" si="1"/>
        <v>44618</v>
      </c>
      <c r="C180" s="33" t="s">
        <v>3</v>
      </c>
      <c r="D180" s="4" t="s">
        <v>21</v>
      </c>
      <c r="E180" s="4" t="s">
        <v>21</v>
      </c>
      <c r="F180" s="4">
        <f t="shared" si="2"/>
        <v>9</v>
      </c>
    </row>
    <row r="181">
      <c r="A181" s="5">
        <v>44638.78570601852</v>
      </c>
      <c r="B181" s="7">
        <f t="shared" si="1"/>
        <v>44638</v>
      </c>
      <c r="C181" s="33" t="s">
        <v>3</v>
      </c>
      <c r="D181" s="4" t="s">
        <v>21</v>
      </c>
      <c r="E181" s="4" t="s">
        <v>21</v>
      </c>
      <c r="F181" s="4">
        <f t="shared" si="2"/>
        <v>12</v>
      </c>
    </row>
    <row r="182">
      <c r="A182" s="5">
        <v>44593.79206018519</v>
      </c>
      <c r="B182" s="7">
        <f t="shared" si="1"/>
        <v>44593</v>
      </c>
      <c r="C182" s="33" t="s">
        <v>3</v>
      </c>
      <c r="D182" s="4" t="s">
        <v>21</v>
      </c>
      <c r="E182" s="4" t="s">
        <v>23</v>
      </c>
      <c r="F182" s="4">
        <f t="shared" si="2"/>
        <v>6</v>
      </c>
    </row>
    <row r="183">
      <c r="A183" s="5">
        <v>44602.00037037037</v>
      </c>
      <c r="B183" s="7">
        <f t="shared" si="1"/>
        <v>44602</v>
      </c>
      <c r="C183" s="33" t="s">
        <v>3</v>
      </c>
      <c r="D183" s="4" t="s">
        <v>21</v>
      </c>
      <c r="E183" s="4" t="s">
        <v>21</v>
      </c>
      <c r="F183" s="4">
        <f t="shared" si="2"/>
        <v>7</v>
      </c>
    </row>
    <row r="184">
      <c r="A184" s="5">
        <v>44487.39053240741</v>
      </c>
      <c r="B184" s="7">
        <f t="shared" si="1"/>
        <v>44487</v>
      </c>
      <c r="C184" s="33" t="s">
        <v>3</v>
      </c>
      <c r="D184" s="4" t="s">
        <v>21</v>
      </c>
      <c r="E184" s="4" t="s">
        <v>21</v>
      </c>
      <c r="F184" s="4">
        <f t="shared" si="2"/>
        <v>43</v>
      </c>
    </row>
    <row r="185">
      <c r="A185" s="5">
        <v>44636.459131944444</v>
      </c>
      <c r="B185" s="7">
        <f t="shared" si="1"/>
        <v>44636</v>
      </c>
      <c r="C185" s="33" t="s">
        <v>3</v>
      </c>
      <c r="D185" s="4" t="s">
        <v>21</v>
      </c>
      <c r="E185" s="4" t="s">
        <v>21</v>
      </c>
      <c r="F185" s="4">
        <f t="shared" si="2"/>
        <v>12</v>
      </c>
    </row>
    <row r="186">
      <c r="A186" s="5">
        <v>44715.571076388886</v>
      </c>
      <c r="B186" s="7">
        <f t="shared" si="1"/>
        <v>44715</v>
      </c>
      <c r="C186" s="33" t="s">
        <v>3</v>
      </c>
      <c r="D186" s="4" t="s">
        <v>21</v>
      </c>
      <c r="E186" s="4" t="s">
        <v>21</v>
      </c>
      <c r="F186" s="4">
        <f t="shared" si="2"/>
        <v>23</v>
      </c>
    </row>
    <row r="187">
      <c r="A187" s="5">
        <v>44715.577893518515</v>
      </c>
      <c r="B187" s="7">
        <f t="shared" si="1"/>
        <v>44715</v>
      </c>
      <c r="C187" s="33" t="s">
        <v>3</v>
      </c>
      <c r="D187" s="4" t="s">
        <v>21</v>
      </c>
      <c r="E187" s="4" t="s">
        <v>21</v>
      </c>
      <c r="F187" s="4">
        <f t="shared" si="2"/>
        <v>23</v>
      </c>
    </row>
    <row r="188">
      <c r="A188" s="5">
        <v>44720.27887731481</v>
      </c>
      <c r="B188" s="7">
        <f t="shared" si="1"/>
        <v>44720</v>
      </c>
      <c r="C188" s="33" t="s">
        <v>3</v>
      </c>
      <c r="D188" s="4" t="s">
        <v>21</v>
      </c>
      <c r="E188" s="4" t="s">
        <v>21</v>
      </c>
      <c r="F188" s="4">
        <f t="shared" si="2"/>
        <v>24</v>
      </c>
    </row>
    <row r="189">
      <c r="A189" s="5">
        <v>44567.04525462963</v>
      </c>
      <c r="B189" s="7">
        <f t="shared" si="1"/>
        <v>44567</v>
      </c>
      <c r="C189" s="33" t="s">
        <v>3</v>
      </c>
      <c r="D189" s="4" t="s">
        <v>21</v>
      </c>
      <c r="E189" s="4" t="s">
        <v>21</v>
      </c>
      <c r="F189" s="4">
        <f t="shared" si="2"/>
        <v>2</v>
      </c>
    </row>
    <row r="190">
      <c r="A190" s="5">
        <v>44432.58349537037</v>
      </c>
      <c r="B190" s="7">
        <f t="shared" si="1"/>
        <v>44432</v>
      </c>
      <c r="C190" s="33" t="s">
        <v>3</v>
      </c>
      <c r="D190" s="4" t="s">
        <v>21</v>
      </c>
      <c r="E190" s="4" t="s">
        <v>21</v>
      </c>
      <c r="F190" s="4">
        <f t="shared" si="2"/>
        <v>35</v>
      </c>
    </row>
    <row r="191">
      <c r="A191" s="5">
        <v>44448.41645833333</v>
      </c>
      <c r="B191" s="7">
        <f t="shared" si="1"/>
        <v>44448</v>
      </c>
      <c r="C191" s="33" t="s">
        <v>3</v>
      </c>
      <c r="D191" s="4" t="s">
        <v>21</v>
      </c>
      <c r="E191" s="4" t="s">
        <v>21</v>
      </c>
      <c r="F191" s="4">
        <f t="shared" si="2"/>
        <v>37</v>
      </c>
    </row>
    <row r="192">
      <c r="A192" s="5">
        <v>44517.672002314815</v>
      </c>
      <c r="B192" s="7">
        <f t="shared" si="1"/>
        <v>44517</v>
      </c>
      <c r="C192" s="33" t="s">
        <v>3</v>
      </c>
      <c r="D192" s="4" t="s">
        <v>21</v>
      </c>
      <c r="E192" s="4" t="s">
        <v>21</v>
      </c>
      <c r="F192" s="4">
        <f t="shared" si="2"/>
        <v>47</v>
      </c>
    </row>
    <row r="193">
      <c r="A193" s="5">
        <v>44725.64356481482</v>
      </c>
      <c r="B193" s="7">
        <f t="shared" si="1"/>
        <v>44725</v>
      </c>
      <c r="C193" s="33" t="s">
        <v>3</v>
      </c>
      <c r="D193" s="4" t="s">
        <v>21</v>
      </c>
      <c r="E193" s="4" t="s">
        <v>21</v>
      </c>
      <c r="F193" s="4">
        <f t="shared" si="2"/>
        <v>25</v>
      </c>
    </row>
    <row r="194">
      <c r="A194" s="5">
        <v>44539.84577546296</v>
      </c>
      <c r="B194" s="7">
        <f t="shared" si="1"/>
        <v>44539</v>
      </c>
      <c r="C194" s="33" t="s">
        <v>3</v>
      </c>
      <c r="D194" s="4" t="s">
        <v>21</v>
      </c>
      <c r="E194" s="4" t="s">
        <v>21</v>
      </c>
      <c r="F194" s="4">
        <f t="shared" si="2"/>
        <v>50</v>
      </c>
    </row>
    <row r="195">
      <c r="A195" s="5">
        <v>44588.43875</v>
      </c>
      <c r="B195" s="7">
        <f t="shared" si="1"/>
        <v>44588</v>
      </c>
      <c r="C195" s="33" t="s">
        <v>3</v>
      </c>
      <c r="D195" s="4" t="s">
        <v>21</v>
      </c>
      <c r="E195" s="4" t="s">
        <v>21</v>
      </c>
      <c r="F195" s="4">
        <f t="shared" si="2"/>
        <v>5</v>
      </c>
    </row>
    <row r="196">
      <c r="A196" s="5">
        <v>44621.418969907405</v>
      </c>
      <c r="B196" s="7">
        <f t="shared" si="1"/>
        <v>44621</v>
      </c>
      <c r="C196" s="33" t="s">
        <v>3</v>
      </c>
      <c r="D196" s="4" t="s">
        <v>21</v>
      </c>
      <c r="E196" s="4" t="s">
        <v>21</v>
      </c>
      <c r="F196" s="4">
        <f t="shared" si="2"/>
        <v>10</v>
      </c>
    </row>
    <row r="197">
      <c r="A197" s="5">
        <v>44727.587488425925</v>
      </c>
      <c r="B197" s="7">
        <f t="shared" si="1"/>
        <v>44727</v>
      </c>
      <c r="C197" s="33" t="s">
        <v>3</v>
      </c>
      <c r="D197" s="4" t="s">
        <v>21</v>
      </c>
      <c r="E197" s="4" t="s">
        <v>21</v>
      </c>
      <c r="F197" s="4">
        <f t="shared" si="2"/>
        <v>25</v>
      </c>
    </row>
    <row r="198">
      <c r="A198" s="5">
        <v>44638.87027777778</v>
      </c>
      <c r="B198" s="7">
        <f t="shared" si="1"/>
        <v>44638</v>
      </c>
      <c r="C198" s="33" t="s">
        <v>3</v>
      </c>
      <c r="D198" s="4" t="s">
        <v>21</v>
      </c>
      <c r="E198" s="4" t="s">
        <v>21</v>
      </c>
      <c r="F198" s="4">
        <f t="shared" si="2"/>
        <v>12</v>
      </c>
    </row>
    <row r="199">
      <c r="A199" s="5">
        <v>44537.67905092592</v>
      </c>
      <c r="B199" s="7">
        <f t="shared" si="1"/>
        <v>44537</v>
      </c>
      <c r="C199" s="33" t="s">
        <v>3</v>
      </c>
      <c r="D199" s="4" t="s">
        <v>21</v>
      </c>
      <c r="E199" s="4" t="s">
        <v>21</v>
      </c>
      <c r="F199" s="4">
        <f t="shared" si="2"/>
        <v>50</v>
      </c>
    </row>
    <row r="200">
      <c r="A200" s="5">
        <v>44504.33155092593</v>
      </c>
      <c r="B200" s="7">
        <f t="shared" si="1"/>
        <v>44504</v>
      </c>
      <c r="C200" s="33" t="s">
        <v>3</v>
      </c>
      <c r="D200" s="4" t="s">
        <v>21</v>
      </c>
      <c r="E200" s="4" t="s">
        <v>21</v>
      </c>
      <c r="F200" s="4">
        <f t="shared" si="2"/>
        <v>45</v>
      </c>
    </row>
    <row r="201">
      <c r="A201" s="5">
        <v>44631.506585648145</v>
      </c>
      <c r="B201" s="7">
        <f t="shared" si="1"/>
        <v>44631</v>
      </c>
      <c r="C201" s="33" t="s">
        <v>3</v>
      </c>
      <c r="D201" s="4" t="s">
        <v>21</v>
      </c>
      <c r="E201" s="4" t="s">
        <v>21</v>
      </c>
      <c r="F201" s="4">
        <f t="shared" si="2"/>
        <v>11</v>
      </c>
    </row>
    <row r="202">
      <c r="A202" s="5">
        <v>44530.108090277776</v>
      </c>
      <c r="B202" s="7">
        <f t="shared" si="1"/>
        <v>44530</v>
      </c>
      <c r="C202" s="33" t="s">
        <v>3</v>
      </c>
      <c r="D202" s="4" t="s">
        <v>21</v>
      </c>
      <c r="E202" s="4" t="s">
        <v>21</v>
      </c>
      <c r="F202" s="4">
        <f t="shared" si="2"/>
        <v>49</v>
      </c>
    </row>
    <row r="203">
      <c r="A203" s="5">
        <v>44461.3784375</v>
      </c>
      <c r="B203" s="7">
        <f t="shared" si="1"/>
        <v>44461</v>
      </c>
      <c r="C203" s="33" t="s">
        <v>3</v>
      </c>
      <c r="D203" s="4" t="s">
        <v>21</v>
      </c>
      <c r="E203" s="4" t="s">
        <v>21</v>
      </c>
      <c r="F203" s="4">
        <f t="shared" si="2"/>
        <v>39</v>
      </c>
    </row>
    <row r="204">
      <c r="A204" s="5">
        <v>44530.30861111111</v>
      </c>
      <c r="B204" s="7">
        <f t="shared" si="1"/>
        <v>44530</v>
      </c>
      <c r="C204" s="33" t="s">
        <v>3</v>
      </c>
      <c r="D204" s="4" t="s">
        <v>21</v>
      </c>
      <c r="E204" s="4" t="s">
        <v>21</v>
      </c>
      <c r="F204" s="4">
        <f t="shared" si="2"/>
        <v>49</v>
      </c>
    </row>
    <row r="205">
      <c r="A205" s="5">
        <v>44538.375069444446</v>
      </c>
      <c r="B205" s="7">
        <f t="shared" si="1"/>
        <v>44538</v>
      </c>
      <c r="C205" s="33" t="s">
        <v>3</v>
      </c>
      <c r="D205" s="4" t="s">
        <v>21</v>
      </c>
      <c r="E205" s="4" t="s">
        <v>21</v>
      </c>
      <c r="F205" s="4">
        <f t="shared" si="2"/>
        <v>50</v>
      </c>
    </row>
    <row r="206">
      <c r="A206" s="5">
        <v>44480.46560185185</v>
      </c>
      <c r="B206" s="7">
        <f t="shared" si="1"/>
        <v>44480</v>
      </c>
      <c r="C206" s="33" t="s">
        <v>3</v>
      </c>
      <c r="D206" s="4" t="s">
        <v>21</v>
      </c>
      <c r="E206" s="4" t="s">
        <v>21</v>
      </c>
      <c r="F206" s="4">
        <f t="shared" si="2"/>
        <v>42</v>
      </c>
    </row>
    <row r="207">
      <c r="A207" s="5">
        <v>44662.51918981481</v>
      </c>
      <c r="B207" s="7">
        <f t="shared" si="1"/>
        <v>44662</v>
      </c>
      <c r="C207" s="33" t="s">
        <v>3</v>
      </c>
      <c r="D207" s="4" t="s">
        <v>21</v>
      </c>
      <c r="E207" s="4" t="s">
        <v>21</v>
      </c>
      <c r="F207" s="4">
        <f t="shared" si="2"/>
        <v>16</v>
      </c>
    </row>
    <row r="208">
      <c r="A208" s="5">
        <v>44487.39697916667</v>
      </c>
      <c r="B208" s="7">
        <f t="shared" si="1"/>
        <v>44487</v>
      </c>
      <c r="C208" s="33" t="s">
        <v>3</v>
      </c>
      <c r="D208" s="4" t="s">
        <v>21</v>
      </c>
      <c r="E208" s="4" t="s">
        <v>21</v>
      </c>
      <c r="F208" s="4">
        <f t="shared" si="2"/>
        <v>43</v>
      </c>
    </row>
    <row r="209">
      <c r="A209" s="5">
        <v>44523.79673611111</v>
      </c>
      <c r="B209" s="7">
        <f t="shared" si="1"/>
        <v>44523</v>
      </c>
      <c r="C209" s="33" t="s">
        <v>3</v>
      </c>
      <c r="D209" s="4" t="s">
        <v>21</v>
      </c>
      <c r="E209" s="4" t="s">
        <v>21</v>
      </c>
      <c r="F209" s="4">
        <f t="shared" si="2"/>
        <v>48</v>
      </c>
    </row>
    <row r="210">
      <c r="A210" s="5">
        <v>44530.570625</v>
      </c>
      <c r="B210" s="7">
        <f t="shared" si="1"/>
        <v>44530</v>
      </c>
      <c r="C210" s="33" t="s">
        <v>3</v>
      </c>
      <c r="D210" s="4" t="s">
        <v>21</v>
      </c>
      <c r="E210" s="4" t="s">
        <v>21</v>
      </c>
      <c r="F210" s="4">
        <f t="shared" si="2"/>
        <v>49</v>
      </c>
    </row>
    <row r="211">
      <c r="A211" s="5">
        <v>44581.57013888889</v>
      </c>
      <c r="B211" s="7">
        <f t="shared" si="1"/>
        <v>44581</v>
      </c>
      <c r="C211" s="33" t="s">
        <v>3</v>
      </c>
      <c r="D211" s="4" t="s">
        <v>21</v>
      </c>
      <c r="E211" s="4" t="s">
        <v>21</v>
      </c>
      <c r="F211" s="4">
        <f t="shared" si="2"/>
        <v>4</v>
      </c>
    </row>
    <row r="212">
      <c r="A212" s="5">
        <v>44586.2715625</v>
      </c>
      <c r="B212" s="7">
        <f t="shared" si="1"/>
        <v>44586</v>
      </c>
      <c r="C212" s="33" t="s">
        <v>3</v>
      </c>
      <c r="D212" s="4" t="s">
        <v>21</v>
      </c>
      <c r="E212" s="4" t="s">
        <v>21</v>
      </c>
      <c r="F212" s="4">
        <f t="shared" si="2"/>
        <v>5</v>
      </c>
    </row>
    <row r="213">
      <c r="A213" s="5">
        <v>44593.39644675926</v>
      </c>
      <c r="B213" s="7">
        <f t="shared" si="1"/>
        <v>44593</v>
      </c>
      <c r="C213" s="33" t="s">
        <v>3</v>
      </c>
      <c r="D213" s="4" t="s">
        <v>21</v>
      </c>
      <c r="E213" s="4" t="s">
        <v>23</v>
      </c>
      <c r="F213" s="4">
        <f t="shared" si="2"/>
        <v>6</v>
      </c>
    </row>
    <row r="214">
      <c r="A214" s="5">
        <v>44599.681550925925</v>
      </c>
      <c r="B214" s="7">
        <f t="shared" si="1"/>
        <v>44599</v>
      </c>
      <c r="C214" s="33" t="s">
        <v>3</v>
      </c>
      <c r="D214" s="4" t="s">
        <v>21</v>
      </c>
      <c r="E214" s="4" t="s">
        <v>21</v>
      </c>
      <c r="F214" s="4">
        <f t="shared" si="2"/>
        <v>7</v>
      </c>
    </row>
    <row r="215">
      <c r="A215" s="5">
        <v>44606.86853009259</v>
      </c>
      <c r="B215" s="7">
        <f t="shared" si="1"/>
        <v>44606</v>
      </c>
      <c r="C215" s="33" t="s">
        <v>3</v>
      </c>
      <c r="D215" s="4" t="s">
        <v>21</v>
      </c>
      <c r="E215" s="4" t="s">
        <v>21</v>
      </c>
      <c r="F215" s="4">
        <f t="shared" si="2"/>
        <v>8</v>
      </c>
    </row>
    <row r="216">
      <c r="A216" s="5">
        <v>44565.42219907408</v>
      </c>
      <c r="B216" s="7">
        <f t="shared" si="1"/>
        <v>44565</v>
      </c>
      <c r="C216" s="33" t="s">
        <v>3</v>
      </c>
      <c r="D216" s="4" t="s">
        <v>23</v>
      </c>
      <c r="E216" s="4" t="s">
        <v>21</v>
      </c>
      <c r="F216" s="4">
        <f t="shared" si="2"/>
        <v>2</v>
      </c>
    </row>
    <row r="217">
      <c r="A217" s="5">
        <v>44453.80788194444</v>
      </c>
      <c r="B217" s="7">
        <f t="shared" si="1"/>
        <v>44453</v>
      </c>
      <c r="C217" s="33" t="s">
        <v>3</v>
      </c>
      <c r="D217" s="4" t="s">
        <v>21</v>
      </c>
      <c r="E217" s="4" t="s">
        <v>21</v>
      </c>
      <c r="F217" s="4">
        <f t="shared" si="2"/>
        <v>38</v>
      </c>
    </row>
    <row r="218">
      <c r="A218" s="5">
        <v>44580.51697916666</v>
      </c>
      <c r="B218" s="7">
        <f t="shared" si="1"/>
        <v>44580</v>
      </c>
      <c r="C218" s="33" t="s">
        <v>3</v>
      </c>
      <c r="D218" s="4" t="s">
        <v>21</v>
      </c>
      <c r="E218" s="4" t="s">
        <v>21</v>
      </c>
      <c r="F218" s="4">
        <f t="shared" si="2"/>
        <v>4</v>
      </c>
    </row>
    <row r="219">
      <c r="A219" s="5">
        <v>44530.24890046296</v>
      </c>
      <c r="B219" s="7">
        <f t="shared" si="1"/>
        <v>44530</v>
      </c>
      <c r="C219" s="33" t="s">
        <v>3</v>
      </c>
      <c r="D219" s="4" t="s">
        <v>21</v>
      </c>
      <c r="E219" s="4" t="s">
        <v>21</v>
      </c>
      <c r="F219" s="4">
        <f t="shared" si="2"/>
        <v>49</v>
      </c>
    </row>
    <row r="220">
      <c r="A220" s="5">
        <v>44530.26231481481</v>
      </c>
      <c r="B220" s="7">
        <f t="shared" si="1"/>
        <v>44530</v>
      </c>
      <c r="C220" s="33" t="s">
        <v>3</v>
      </c>
      <c r="D220" s="4" t="s">
        <v>21</v>
      </c>
      <c r="E220" s="4" t="s">
        <v>21</v>
      </c>
      <c r="F220" s="4">
        <f t="shared" si="2"/>
        <v>49</v>
      </c>
    </row>
    <row r="221">
      <c r="A221" s="5">
        <v>44498.54552083334</v>
      </c>
      <c r="B221" s="7">
        <f t="shared" si="1"/>
        <v>44498</v>
      </c>
      <c r="C221" s="33" t="s">
        <v>3</v>
      </c>
      <c r="D221" s="4" t="s">
        <v>21</v>
      </c>
      <c r="E221" s="4" t="s">
        <v>21</v>
      </c>
      <c r="F221" s="4">
        <f t="shared" si="2"/>
        <v>44</v>
      </c>
    </row>
    <row r="222">
      <c r="A222" s="5">
        <v>44519.61372685185</v>
      </c>
      <c r="B222" s="7">
        <f t="shared" si="1"/>
        <v>44519</v>
      </c>
      <c r="C222" s="33" t="s">
        <v>3</v>
      </c>
      <c r="D222" s="4" t="s">
        <v>21</v>
      </c>
      <c r="E222" s="4" t="s">
        <v>21</v>
      </c>
      <c r="F222" s="4">
        <f t="shared" si="2"/>
        <v>47</v>
      </c>
    </row>
    <row r="223">
      <c r="A223" s="5">
        <v>44568.48064814815</v>
      </c>
      <c r="B223" s="7">
        <f t="shared" si="1"/>
        <v>44568</v>
      </c>
      <c r="C223" s="33" t="s">
        <v>3</v>
      </c>
      <c r="D223" s="4" t="s">
        <v>21</v>
      </c>
      <c r="E223" s="4" t="s">
        <v>21</v>
      </c>
      <c r="F223" s="4">
        <f t="shared" si="2"/>
        <v>2</v>
      </c>
    </row>
    <row r="224">
      <c r="A224" s="5">
        <v>44578.68019675926</v>
      </c>
      <c r="B224" s="7">
        <f t="shared" si="1"/>
        <v>44578</v>
      </c>
      <c r="C224" s="33" t="s">
        <v>3</v>
      </c>
      <c r="D224" s="4" t="s">
        <v>21</v>
      </c>
      <c r="E224" s="4" t="s">
        <v>21</v>
      </c>
      <c r="F224" s="4">
        <f t="shared" si="2"/>
        <v>4</v>
      </c>
    </row>
    <row r="225">
      <c r="A225" s="5">
        <v>44684.94274305556</v>
      </c>
      <c r="B225" s="7">
        <f t="shared" si="1"/>
        <v>44684</v>
      </c>
      <c r="C225" s="33" t="s">
        <v>3</v>
      </c>
      <c r="D225" s="4" t="s">
        <v>21</v>
      </c>
      <c r="E225" s="4" t="s">
        <v>21</v>
      </c>
      <c r="F225" s="4">
        <f t="shared" si="2"/>
        <v>19</v>
      </c>
    </row>
    <row r="226">
      <c r="A226" s="5">
        <v>44580.39680555555</v>
      </c>
      <c r="B226" s="7">
        <f t="shared" si="1"/>
        <v>44580</v>
      </c>
      <c r="C226" s="33" t="s">
        <v>3</v>
      </c>
      <c r="D226" s="4" t="s">
        <v>21</v>
      </c>
      <c r="E226" s="4" t="s">
        <v>21</v>
      </c>
      <c r="F226" s="4">
        <f t="shared" si="2"/>
        <v>4</v>
      </c>
    </row>
    <row r="227">
      <c r="A227" s="5">
        <v>44501.5462962963</v>
      </c>
      <c r="B227" s="7">
        <f t="shared" si="1"/>
        <v>44501</v>
      </c>
      <c r="C227" s="33" t="s">
        <v>3</v>
      </c>
      <c r="D227" s="4" t="s">
        <v>21</v>
      </c>
      <c r="E227" s="4" t="s">
        <v>21</v>
      </c>
      <c r="F227" s="4">
        <f t="shared" si="2"/>
        <v>45</v>
      </c>
    </row>
    <row r="228">
      <c r="A228" s="5">
        <v>44690.656064814815</v>
      </c>
      <c r="B228" s="7">
        <f t="shared" si="1"/>
        <v>44690</v>
      </c>
      <c r="C228" s="33" t="s">
        <v>3</v>
      </c>
      <c r="D228" s="4" t="s">
        <v>21</v>
      </c>
      <c r="E228" s="4" t="s">
        <v>21</v>
      </c>
      <c r="F228" s="4">
        <f t="shared" si="2"/>
        <v>20</v>
      </c>
    </row>
    <row r="229">
      <c r="A229" s="5">
        <v>44621.539826388886</v>
      </c>
      <c r="B229" s="7">
        <f t="shared" si="1"/>
        <v>44621</v>
      </c>
      <c r="C229" s="33" t="s">
        <v>3</v>
      </c>
      <c r="D229" s="4" t="s">
        <v>21</v>
      </c>
      <c r="E229" s="4" t="s">
        <v>21</v>
      </c>
      <c r="F229" s="4">
        <f t="shared" si="2"/>
        <v>10</v>
      </c>
    </row>
    <row r="230">
      <c r="A230" s="5">
        <v>44662.527604166666</v>
      </c>
      <c r="B230" s="7">
        <f t="shared" si="1"/>
        <v>44662</v>
      </c>
      <c r="C230" s="33" t="s">
        <v>3</v>
      </c>
      <c r="D230" s="4" t="s">
        <v>21</v>
      </c>
      <c r="E230" s="4" t="s">
        <v>21</v>
      </c>
      <c r="F230" s="4">
        <f t="shared" si="2"/>
        <v>16</v>
      </c>
    </row>
    <row r="231">
      <c r="A231" s="5">
        <v>44530.243113425924</v>
      </c>
      <c r="B231" s="7">
        <f t="shared" si="1"/>
        <v>44530</v>
      </c>
      <c r="C231" s="33" t="s">
        <v>3</v>
      </c>
      <c r="D231" s="4" t="s">
        <v>21</v>
      </c>
      <c r="E231" s="4" t="s">
        <v>21</v>
      </c>
      <c r="F231" s="4">
        <f t="shared" si="2"/>
        <v>49</v>
      </c>
    </row>
    <row r="232">
      <c r="A232" s="5">
        <v>44518.458078703705</v>
      </c>
      <c r="B232" s="7">
        <f t="shared" si="1"/>
        <v>44518</v>
      </c>
      <c r="C232" s="33" t="s">
        <v>3</v>
      </c>
      <c r="D232" s="4" t="s">
        <v>21</v>
      </c>
      <c r="E232" s="4" t="s">
        <v>21</v>
      </c>
      <c r="F232" s="4">
        <f t="shared" si="2"/>
        <v>47</v>
      </c>
    </row>
    <row r="233">
      <c r="A233" s="5">
        <v>44602.87563657408</v>
      </c>
      <c r="B233" s="7">
        <f t="shared" si="1"/>
        <v>44602</v>
      </c>
      <c r="C233" s="33" t="s">
        <v>3</v>
      </c>
      <c r="D233" s="4" t="s">
        <v>21</v>
      </c>
      <c r="E233" s="4" t="s">
        <v>21</v>
      </c>
      <c r="F233" s="4">
        <f t="shared" si="2"/>
        <v>7</v>
      </c>
    </row>
    <row r="234">
      <c r="A234" s="5">
        <v>44622.40765046296</v>
      </c>
      <c r="B234" s="7">
        <f t="shared" si="1"/>
        <v>44622</v>
      </c>
      <c r="C234" s="33" t="s">
        <v>3</v>
      </c>
      <c r="D234" s="4" t="s">
        <v>21</v>
      </c>
      <c r="E234" s="4" t="s">
        <v>21</v>
      </c>
      <c r="F234" s="4">
        <f t="shared" si="2"/>
        <v>10</v>
      </c>
    </row>
    <row r="235">
      <c r="A235" s="5">
        <v>44580.75178240741</v>
      </c>
      <c r="B235" s="7">
        <f t="shared" si="1"/>
        <v>44580</v>
      </c>
      <c r="C235" s="33" t="s">
        <v>3</v>
      </c>
      <c r="D235" s="4" t="s">
        <v>21</v>
      </c>
      <c r="E235" s="4" t="s">
        <v>21</v>
      </c>
      <c r="F235" s="4">
        <f t="shared" si="2"/>
        <v>4</v>
      </c>
    </row>
    <row r="236">
      <c r="A236" s="5">
        <v>44616.39509259259</v>
      </c>
      <c r="B236" s="7">
        <f t="shared" si="1"/>
        <v>44616</v>
      </c>
      <c r="C236" s="33" t="s">
        <v>3</v>
      </c>
      <c r="D236" s="4" t="s">
        <v>21</v>
      </c>
      <c r="E236" s="4" t="s">
        <v>21</v>
      </c>
      <c r="F236" s="4">
        <f t="shared" si="2"/>
        <v>9</v>
      </c>
    </row>
    <row r="237">
      <c r="A237" s="5">
        <v>44613.56984953704</v>
      </c>
      <c r="B237" s="7">
        <f t="shared" si="1"/>
        <v>44613</v>
      </c>
      <c r="C237" s="33" t="s">
        <v>3</v>
      </c>
      <c r="D237" s="4" t="s">
        <v>21</v>
      </c>
      <c r="E237" s="4" t="s">
        <v>21</v>
      </c>
      <c r="F237" s="4">
        <f t="shared" si="2"/>
        <v>9</v>
      </c>
    </row>
    <row r="238">
      <c r="A238" s="5">
        <v>44592.643854166665</v>
      </c>
      <c r="B238" s="7">
        <f t="shared" si="1"/>
        <v>44592</v>
      </c>
      <c r="C238" s="33" t="s">
        <v>3</v>
      </c>
      <c r="D238" s="4" t="s">
        <v>21</v>
      </c>
      <c r="E238" s="4" t="s">
        <v>23</v>
      </c>
      <c r="F238" s="4">
        <f t="shared" si="2"/>
        <v>6</v>
      </c>
    </row>
    <row r="239">
      <c r="A239" s="5">
        <v>44461.52675925926</v>
      </c>
      <c r="B239" s="7">
        <f t="shared" si="1"/>
        <v>44461</v>
      </c>
      <c r="C239" s="33" t="s">
        <v>3</v>
      </c>
      <c r="D239" s="4" t="s">
        <v>21</v>
      </c>
      <c r="E239" s="4" t="s">
        <v>21</v>
      </c>
      <c r="F239" s="4">
        <f t="shared" si="2"/>
        <v>39</v>
      </c>
    </row>
    <row r="240">
      <c r="A240" s="5">
        <v>44592.68079861111</v>
      </c>
      <c r="B240" s="7">
        <f t="shared" si="1"/>
        <v>44592</v>
      </c>
      <c r="C240" s="33" t="s">
        <v>3</v>
      </c>
      <c r="D240" s="4" t="s">
        <v>21</v>
      </c>
      <c r="E240" s="4" t="s">
        <v>23</v>
      </c>
      <c r="F240" s="4">
        <f t="shared" si="2"/>
        <v>6</v>
      </c>
    </row>
    <row r="241">
      <c r="A241" s="5">
        <v>44426.591828703706</v>
      </c>
      <c r="B241" s="7">
        <f t="shared" si="1"/>
        <v>44426</v>
      </c>
      <c r="C241" s="33" t="s">
        <v>3</v>
      </c>
      <c r="D241" s="4" t="s">
        <v>21</v>
      </c>
      <c r="E241" s="4" t="s">
        <v>21</v>
      </c>
      <c r="F241" s="4">
        <f t="shared" si="2"/>
        <v>34</v>
      </c>
    </row>
    <row r="242">
      <c r="A242" s="5">
        <v>44455.524375</v>
      </c>
      <c r="B242" s="7">
        <f t="shared" si="1"/>
        <v>44455</v>
      </c>
      <c r="C242" s="33" t="s">
        <v>3</v>
      </c>
      <c r="D242" s="4" t="s">
        <v>21</v>
      </c>
      <c r="E242" s="4" t="s">
        <v>21</v>
      </c>
      <c r="F242" s="4">
        <f t="shared" si="2"/>
        <v>38</v>
      </c>
    </row>
    <row r="243">
      <c r="A243" s="5">
        <v>44455.602847222224</v>
      </c>
      <c r="B243" s="7">
        <f t="shared" si="1"/>
        <v>44455</v>
      </c>
      <c r="C243" s="33" t="s">
        <v>3</v>
      </c>
      <c r="D243" s="4" t="s">
        <v>21</v>
      </c>
      <c r="E243" s="4" t="s">
        <v>21</v>
      </c>
      <c r="F243" s="4">
        <f t="shared" si="2"/>
        <v>38</v>
      </c>
    </row>
    <row r="244">
      <c r="A244" s="5">
        <v>44483.39685185185</v>
      </c>
      <c r="B244" s="7">
        <f t="shared" si="1"/>
        <v>44483</v>
      </c>
      <c r="C244" s="33" t="s">
        <v>3</v>
      </c>
      <c r="D244" s="4" t="s">
        <v>21</v>
      </c>
      <c r="E244" s="4" t="s">
        <v>21</v>
      </c>
      <c r="F244" s="4">
        <f t="shared" si="2"/>
        <v>42</v>
      </c>
    </row>
    <row r="245">
      <c r="A245" s="5">
        <v>44519.60706018518</v>
      </c>
      <c r="B245" s="7">
        <f t="shared" si="1"/>
        <v>44519</v>
      </c>
      <c r="C245" s="33" t="s">
        <v>3</v>
      </c>
      <c r="D245" s="4" t="s">
        <v>21</v>
      </c>
      <c r="E245" s="4" t="s">
        <v>21</v>
      </c>
      <c r="F245" s="4">
        <f t="shared" si="2"/>
        <v>47</v>
      </c>
    </row>
    <row r="246">
      <c r="A246" s="5">
        <v>44564.7559375</v>
      </c>
      <c r="B246" s="7">
        <f t="shared" si="1"/>
        <v>44564</v>
      </c>
      <c r="C246" s="33" t="s">
        <v>3</v>
      </c>
      <c r="D246" s="4" t="s">
        <v>23</v>
      </c>
      <c r="E246" s="4" t="s">
        <v>21</v>
      </c>
      <c r="F246" s="4">
        <f t="shared" si="2"/>
        <v>2</v>
      </c>
    </row>
    <row r="247">
      <c r="A247" s="5">
        <v>44649.70431712963</v>
      </c>
      <c r="B247" s="7">
        <f t="shared" si="1"/>
        <v>44649</v>
      </c>
      <c r="C247" s="33" t="s">
        <v>3</v>
      </c>
      <c r="D247" s="4" t="s">
        <v>21</v>
      </c>
      <c r="E247" s="4" t="s">
        <v>21</v>
      </c>
      <c r="F247" s="4">
        <f t="shared" si="2"/>
        <v>14</v>
      </c>
    </row>
    <row r="248">
      <c r="A248" s="5">
        <v>44650.278495370374</v>
      </c>
      <c r="B248" s="7">
        <f t="shared" si="1"/>
        <v>44650</v>
      </c>
      <c r="C248" s="33" t="s">
        <v>3</v>
      </c>
      <c r="D248" s="4" t="s">
        <v>21</v>
      </c>
      <c r="E248" s="4" t="s">
        <v>21</v>
      </c>
      <c r="F248" s="4">
        <f t="shared" si="2"/>
        <v>14</v>
      </c>
    </row>
    <row r="249">
      <c r="A249" s="5">
        <v>44461.10121527778</v>
      </c>
      <c r="B249" s="7">
        <f t="shared" si="1"/>
        <v>44461</v>
      </c>
      <c r="C249" s="33" t="s">
        <v>3</v>
      </c>
      <c r="D249" s="4" t="s">
        <v>21</v>
      </c>
      <c r="E249" s="4" t="s">
        <v>21</v>
      </c>
      <c r="F249" s="4">
        <f t="shared" si="2"/>
        <v>39</v>
      </c>
    </row>
    <row r="250">
      <c r="A250" s="5">
        <v>44607.177569444444</v>
      </c>
      <c r="B250" s="7">
        <f t="shared" si="1"/>
        <v>44607</v>
      </c>
      <c r="C250" s="33" t="s">
        <v>3</v>
      </c>
      <c r="D250" s="4" t="s">
        <v>21</v>
      </c>
      <c r="E250" s="4" t="s">
        <v>21</v>
      </c>
      <c r="F250" s="4">
        <f t="shared" si="2"/>
        <v>8</v>
      </c>
    </row>
    <row r="251">
      <c r="A251" s="5">
        <v>44530.239895833336</v>
      </c>
      <c r="B251" s="7">
        <f t="shared" si="1"/>
        <v>44530</v>
      </c>
      <c r="C251" s="33" t="s">
        <v>3</v>
      </c>
      <c r="D251" s="4" t="s">
        <v>21</v>
      </c>
      <c r="E251" s="4" t="s">
        <v>21</v>
      </c>
      <c r="F251" s="4">
        <f t="shared" si="2"/>
        <v>49</v>
      </c>
    </row>
    <row r="252">
      <c r="A252" s="5">
        <v>44530.256886574076</v>
      </c>
      <c r="B252" s="7">
        <f t="shared" si="1"/>
        <v>44530</v>
      </c>
      <c r="C252" s="33" t="s">
        <v>3</v>
      </c>
      <c r="D252" s="4" t="s">
        <v>21</v>
      </c>
      <c r="E252" s="4" t="s">
        <v>21</v>
      </c>
      <c r="F252" s="4">
        <f t="shared" si="2"/>
        <v>49</v>
      </c>
    </row>
    <row r="253">
      <c r="A253" s="5">
        <v>44586.68884259259</v>
      </c>
      <c r="B253" s="7">
        <f t="shared" si="1"/>
        <v>44586</v>
      </c>
      <c r="C253" s="33" t="s">
        <v>3</v>
      </c>
      <c r="D253" s="4" t="s">
        <v>21</v>
      </c>
      <c r="E253" s="4" t="s">
        <v>21</v>
      </c>
      <c r="F253" s="4">
        <f t="shared" si="2"/>
        <v>5</v>
      </c>
    </row>
    <row r="254">
      <c r="A254" s="5">
        <v>44532.48336805555</v>
      </c>
      <c r="B254" s="7">
        <f t="shared" si="1"/>
        <v>44532</v>
      </c>
      <c r="C254" s="33" t="s">
        <v>3</v>
      </c>
      <c r="D254" s="4" t="s">
        <v>21</v>
      </c>
      <c r="E254" s="4" t="s">
        <v>21</v>
      </c>
      <c r="F254" s="4">
        <f t="shared" si="2"/>
        <v>49</v>
      </c>
    </row>
    <row r="255">
      <c r="A255" s="5">
        <v>44532.610081018516</v>
      </c>
      <c r="B255" s="7">
        <f t="shared" si="1"/>
        <v>44532</v>
      </c>
      <c r="C255" s="33" t="s">
        <v>3</v>
      </c>
      <c r="D255" s="4" t="s">
        <v>21</v>
      </c>
      <c r="E255" s="4" t="s">
        <v>21</v>
      </c>
      <c r="F255" s="4">
        <f t="shared" si="2"/>
        <v>49</v>
      </c>
    </row>
    <row r="256">
      <c r="A256" s="5">
        <v>44566.62461805555</v>
      </c>
      <c r="B256" s="7">
        <f t="shared" si="1"/>
        <v>44566</v>
      </c>
      <c r="C256" s="33" t="s">
        <v>3</v>
      </c>
      <c r="D256" s="4" t="s">
        <v>23</v>
      </c>
      <c r="E256" s="4" t="s">
        <v>21</v>
      </c>
      <c r="F256" s="4">
        <f t="shared" si="2"/>
        <v>2</v>
      </c>
    </row>
    <row r="257">
      <c r="A257" s="5">
        <v>44412.57929398148</v>
      </c>
      <c r="B257" s="7">
        <f t="shared" si="1"/>
        <v>44412</v>
      </c>
      <c r="C257" s="33" t="s">
        <v>3</v>
      </c>
      <c r="D257" s="4" t="s">
        <v>21</v>
      </c>
      <c r="E257" s="4" t="s">
        <v>21</v>
      </c>
      <c r="F257" s="4">
        <f t="shared" si="2"/>
        <v>32</v>
      </c>
    </row>
    <row r="258">
      <c r="A258" s="5">
        <v>44428.76231481481</v>
      </c>
      <c r="B258" s="7">
        <f t="shared" si="1"/>
        <v>44428</v>
      </c>
      <c r="C258" s="33" t="s">
        <v>3</v>
      </c>
      <c r="D258" s="4" t="s">
        <v>21</v>
      </c>
      <c r="E258" s="4" t="s">
        <v>21</v>
      </c>
      <c r="F258" s="4">
        <f t="shared" si="2"/>
        <v>34</v>
      </c>
    </row>
    <row r="259">
      <c r="A259" s="5">
        <v>44429.55662037037</v>
      </c>
      <c r="B259" s="7">
        <f t="shared" si="1"/>
        <v>44429</v>
      </c>
      <c r="C259" s="33" t="s">
        <v>3</v>
      </c>
      <c r="D259" s="4" t="s">
        <v>21</v>
      </c>
      <c r="E259" s="4" t="s">
        <v>21</v>
      </c>
      <c r="F259" s="4">
        <f t="shared" si="2"/>
        <v>34</v>
      </c>
    </row>
    <row r="260">
      <c r="A260" s="5">
        <v>44430.062060185184</v>
      </c>
      <c r="B260" s="7">
        <f t="shared" si="1"/>
        <v>44430</v>
      </c>
      <c r="C260" s="33" t="s">
        <v>3</v>
      </c>
      <c r="D260" s="4" t="s">
        <v>21</v>
      </c>
      <c r="E260" s="4" t="s">
        <v>21</v>
      </c>
      <c r="F260" s="4">
        <f t="shared" si="2"/>
        <v>35</v>
      </c>
    </row>
    <row r="261">
      <c r="A261" s="5">
        <v>44430.06486111111</v>
      </c>
      <c r="B261" s="7">
        <f t="shared" si="1"/>
        <v>44430</v>
      </c>
      <c r="C261" s="33" t="s">
        <v>3</v>
      </c>
      <c r="D261" s="4" t="s">
        <v>21</v>
      </c>
      <c r="E261" s="4" t="s">
        <v>21</v>
      </c>
      <c r="F261" s="4">
        <f t="shared" si="2"/>
        <v>35</v>
      </c>
    </row>
    <row r="262">
      <c r="A262" s="5">
        <v>44430.09070601852</v>
      </c>
      <c r="B262" s="7">
        <f t="shared" si="1"/>
        <v>44430</v>
      </c>
      <c r="C262" s="33" t="s">
        <v>3</v>
      </c>
      <c r="D262" s="4" t="s">
        <v>21</v>
      </c>
      <c r="E262" s="4" t="s">
        <v>21</v>
      </c>
      <c r="F262" s="4">
        <f t="shared" si="2"/>
        <v>35</v>
      </c>
    </row>
    <row r="263">
      <c r="A263" s="5">
        <v>44430.096504629626</v>
      </c>
      <c r="B263" s="7">
        <f t="shared" si="1"/>
        <v>44430</v>
      </c>
      <c r="C263" s="33" t="s">
        <v>3</v>
      </c>
      <c r="D263" s="4" t="s">
        <v>21</v>
      </c>
      <c r="E263" s="4" t="s">
        <v>21</v>
      </c>
      <c r="F263" s="4">
        <f t="shared" si="2"/>
        <v>35</v>
      </c>
    </row>
    <row r="264">
      <c r="A264" s="5">
        <v>44430.10188657408</v>
      </c>
      <c r="B264" s="7">
        <f t="shared" si="1"/>
        <v>44430</v>
      </c>
      <c r="C264" s="33" t="s">
        <v>3</v>
      </c>
      <c r="D264" s="4" t="s">
        <v>21</v>
      </c>
      <c r="E264" s="4" t="s">
        <v>21</v>
      </c>
      <c r="F264" s="4">
        <f t="shared" si="2"/>
        <v>35</v>
      </c>
    </row>
    <row r="265">
      <c r="A265" s="5">
        <v>44510.535578703704</v>
      </c>
      <c r="B265" s="7">
        <f t="shared" si="1"/>
        <v>44510</v>
      </c>
      <c r="C265" s="33" t="s">
        <v>3</v>
      </c>
      <c r="D265" s="4" t="s">
        <v>21</v>
      </c>
      <c r="E265" s="4" t="s">
        <v>21</v>
      </c>
      <c r="F265" s="4">
        <f t="shared" si="2"/>
        <v>46</v>
      </c>
    </row>
    <row r="266">
      <c r="A266" s="5">
        <v>44515.829513888886</v>
      </c>
      <c r="B266" s="7">
        <f t="shared" si="1"/>
        <v>44515</v>
      </c>
      <c r="C266" s="33" t="s">
        <v>3</v>
      </c>
      <c r="D266" s="4" t="s">
        <v>21</v>
      </c>
      <c r="E266" s="4" t="s">
        <v>21</v>
      </c>
      <c r="F266" s="4">
        <f t="shared" si="2"/>
        <v>47</v>
      </c>
    </row>
    <row r="267">
      <c r="A267" s="5">
        <v>44412.58703703704</v>
      </c>
      <c r="B267" s="7">
        <f t="shared" si="1"/>
        <v>44412</v>
      </c>
      <c r="C267" s="33" t="s">
        <v>3</v>
      </c>
      <c r="D267" s="4" t="s">
        <v>21</v>
      </c>
      <c r="E267" s="4" t="s">
        <v>21</v>
      </c>
      <c r="F267" s="4">
        <f t="shared" si="2"/>
        <v>32</v>
      </c>
    </row>
    <row r="268">
      <c r="A268" s="5">
        <v>44480.41805555556</v>
      </c>
      <c r="B268" s="7">
        <f t="shared" si="1"/>
        <v>44480</v>
      </c>
      <c r="C268" s="33" t="s">
        <v>3</v>
      </c>
      <c r="D268" s="4" t="s">
        <v>21</v>
      </c>
      <c r="E268" s="4" t="s">
        <v>21</v>
      </c>
      <c r="F268" s="4">
        <f t="shared" si="2"/>
        <v>42</v>
      </c>
    </row>
    <row r="269">
      <c r="A269" s="5">
        <v>44531.88618055556</v>
      </c>
      <c r="B269" s="7">
        <f t="shared" si="1"/>
        <v>44531</v>
      </c>
      <c r="C269" s="33" t="s">
        <v>3</v>
      </c>
      <c r="D269" s="4" t="s">
        <v>21</v>
      </c>
      <c r="E269" s="4" t="s">
        <v>21</v>
      </c>
      <c r="F269" s="4">
        <f t="shared" si="2"/>
        <v>49</v>
      </c>
    </row>
    <row r="270">
      <c r="A270" s="5">
        <v>44594.29219907407</v>
      </c>
      <c r="B270" s="7">
        <f t="shared" si="1"/>
        <v>44594</v>
      </c>
      <c r="C270" s="33" t="s">
        <v>3</v>
      </c>
      <c r="D270" s="4" t="s">
        <v>21</v>
      </c>
      <c r="E270" s="4" t="s">
        <v>23</v>
      </c>
      <c r="F270" s="4">
        <f t="shared" si="2"/>
        <v>6</v>
      </c>
    </row>
    <row r="271">
      <c r="A271" s="5">
        <v>44613.743726851855</v>
      </c>
      <c r="B271" s="7">
        <f t="shared" si="1"/>
        <v>44613</v>
      </c>
      <c r="C271" s="33" t="s">
        <v>3</v>
      </c>
      <c r="D271" s="4" t="s">
        <v>21</v>
      </c>
      <c r="E271" s="4" t="s">
        <v>21</v>
      </c>
      <c r="F271" s="4">
        <f t="shared" si="2"/>
        <v>9</v>
      </c>
    </row>
    <row r="272">
      <c r="A272" s="5">
        <v>44634.37024305556</v>
      </c>
      <c r="B272" s="7">
        <f t="shared" si="1"/>
        <v>44634</v>
      </c>
      <c r="C272" s="33" t="s">
        <v>3</v>
      </c>
      <c r="D272" s="4" t="s">
        <v>21</v>
      </c>
      <c r="E272" s="4" t="s">
        <v>21</v>
      </c>
      <c r="F272" s="4">
        <f t="shared" si="2"/>
        <v>12</v>
      </c>
    </row>
    <row r="273">
      <c r="A273" s="5">
        <v>44663.5259375</v>
      </c>
      <c r="B273" s="7">
        <f t="shared" si="1"/>
        <v>44663</v>
      </c>
      <c r="C273" s="33" t="s">
        <v>3</v>
      </c>
      <c r="D273" s="4" t="s">
        <v>21</v>
      </c>
      <c r="E273" s="4" t="s">
        <v>21</v>
      </c>
      <c r="F273" s="4">
        <f t="shared" si="2"/>
        <v>16</v>
      </c>
    </row>
    <row r="274">
      <c r="A274" s="5">
        <v>44701.68681712963</v>
      </c>
      <c r="B274" s="7">
        <f t="shared" si="1"/>
        <v>44701</v>
      </c>
      <c r="C274" s="33" t="s">
        <v>3</v>
      </c>
      <c r="D274" s="4" t="s">
        <v>21</v>
      </c>
      <c r="E274" s="4" t="s">
        <v>21</v>
      </c>
      <c r="F274" s="4">
        <f t="shared" si="2"/>
        <v>21</v>
      </c>
    </row>
    <row r="275">
      <c r="A275" s="5">
        <v>44722.541354166664</v>
      </c>
      <c r="B275" s="7">
        <f t="shared" si="1"/>
        <v>44722</v>
      </c>
      <c r="C275" s="33" t="s">
        <v>3</v>
      </c>
      <c r="D275" s="4" t="s">
        <v>21</v>
      </c>
      <c r="E275" s="4" t="s">
        <v>21</v>
      </c>
      <c r="F275" s="4">
        <f t="shared" si="2"/>
        <v>24</v>
      </c>
    </row>
    <row r="276">
      <c r="A276" s="5">
        <v>44441.91724537037</v>
      </c>
      <c r="B276" s="7">
        <f t="shared" si="1"/>
        <v>44441</v>
      </c>
      <c r="C276" s="33" t="s">
        <v>3</v>
      </c>
      <c r="D276" s="4" t="s">
        <v>21</v>
      </c>
      <c r="E276" s="4" t="s">
        <v>21</v>
      </c>
      <c r="F276" s="4">
        <f t="shared" si="2"/>
        <v>36</v>
      </c>
    </row>
    <row r="277">
      <c r="A277" s="5">
        <v>44515.711643518516</v>
      </c>
      <c r="B277" s="7">
        <f t="shared" si="1"/>
        <v>44515</v>
      </c>
      <c r="C277" s="33" t="s">
        <v>3</v>
      </c>
      <c r="D277" s="4" t="s">
        <v>21</v>
      </c>
      <c r="E277" s="4" t="s">
        <v>21</v>
      </c>
      <c r="F277" s="4">
        <f t="shared" si="2"/>
        <v>47</v>
      </c>
    </row>
    <row r="278">
      <c r="A278" s="5">
        <v>44439.48972222222</v>
      </c>
      <c r="B278" s="7">
        <f t="shared" si="1"/>
        <v>44439</v>
      </c>
      <c r="C278" s="33" t="s">
        <v>3</v>
      </c>
      <c r="D278" s="4" t="s">
        <v>21</v>
      </c>
      <c r="E278" s="4" t="s">
        <v>21</v>
      </c>
      <c r="F278" s="4">
        <f t="shared" si="2"/>
        <v>36</v>
      </c>
    </row>
    <row r="279">
      <c r="A279" s="5">
        <v>44536.47361111111</v>
      </c>
      <c r="B279" s="7">
        <f t="shared" si="1"/>
        <v>44536</v>
      </c>
      <c r="C279" s="33" t="s">
        <v>3</v>
      </c>
      <c r="D279" s="4" t="s">
        <v>21</v>
      </c>
      <c r="E279" s="4" t="s">
        <v>21</v>
      </c>
      <c r="F279" s="4">
        <f t="shared" si="2"/>
        <v>50</v>
      </c>
    </row>
    <row r="280">
      <c r="A280" s="5">
        <v>44536.48297453704</v>
      </c>
      <c r="B280" s="7">
        <f t="shared" si="1"/>
        <v>44536</v>
      </c>
      <c r="C280" s="33" t="s">
        <v>3</v>
      </c>
      <c r="D280" s="4" t="s">
        <v>21</v>
      </c>
      <c r="E280" s="4" t="s">
        <v>21</v>
      </c>
      <c r="F280" s="4">
        <f t="shared" si="2"/>
        <v>50</v>
      </c>
    </row>
    <row r="281">
      <c r="A281" s="5">
        <v>44473.53494212963</v>
      </c>
      <c r="B281" s="7">
        <f t="shared" si="1"/>
        <v>44473</v>
      </c>
      <c r="C281" s="33" t="s">
        <v>3</v>
      </c>
      <c r="D281" s="4" t="s">
        <v>21</v>
      </c>
      <c r="E281" s="4" t="s">
        <v>21</v>
      </c>
      <c r="F281" s="4">
        <f t="shared" si="2"/>
        <v>41</v>
      </c>
    </row>
    <row r="282">
      <c r="A282" s="5">
        <v>44537.54215277778</v>
      </c>
      <c r="B282" s="7">
        <f t="shared" si="1"/>
        <v>44537</v>
      </c>
      <c r="C282" s="33" t="s">
        <v>3</v>
      </c>
      <c r="D282" s="4" t="s">
        <v>21</v>
      </c>
      <c r="E282" s="4" t="s">
        <v>21</v>
      </c>
      <c r="F282" s="4">
        <f t="shared" si="2"/>
        <v>50</v>
      </c>
    </row>
    <row r="283">
      <c r="A283" s="5">
        <v>44586.54890046296</v>
      </c>
      <c r="B283" s="7">
        <f t="shared" si="1"/>
        <v>44586</v>
      </c>
      <c r="C283" s="33" t="s">
        <v>3</v>
      </c>
      <c r="D283" s="4" t="s">
        <v>21</v>
      </c>
      <c r="E283" s="4" t="s">
        <v>21</v>
      </c>
      <c r="F283" s="4">
        <f t="shared" si="2"/>
        <v>5</v>
      </c>
    </row>
    <row r="284">
      <c r="A284" s="5">
        <v>44528.22148148148</v>
      </c>
      <c r="B284" s="7">
        <f t="shared" si="1"/>
        <v>44528</v>
      </c>
      <c r="C284" s="33" t="s">
        <v>3</v>
      </c>
      <c r="D284" s="4" t="s">
        <v>21</v>
      </c>
      <c r="E284" s="4" t="s">
        <v>21</v>
      </c>
      <c r="F284" s="4">
        <f t="shared" si="2"/>
        <v>49</v>
      </c>
    </row>
    <row r="285">
      <c r="A285" s="5">
        <v>44578.514340277776</v>
      </c>
      <c r="B285" s="7">
        <f t="shared" si="1"/>
        <v>44578</v>
      </c>
      <c r="C285" s="33" t="s">
        <v>3</v>
      </c>
      <c r="D285" s="4" t="s">
        <v>21</v>
      </c>
      <c r="E285" s="4" t="s">
        <v>21</v>
      </c>
      <c r="F285" s="4">
        <f t="shared" si="2"/>
        <v>4</v>
      </c>
    </row>
    <row r="286">
      <c r="A286" s="5">
        <v>44589.71078703704</v>
      </c>
      <c r="B286" s="7">
        <f t="shared" si="1"/>
        <v>44589</v>
      </c>
      <c r="C286" s="33" t="s">
        <v>3</v>
      </c>
      <c r="D286" s="4" t="s">
        <v>21</v>
      </c>
      <c r="E286" s="4" t="s">
        <v>21</v>
      </c>
      <c r="F286" s="4">
        <f t="shared" si="2"/>
        <v>5</v>
      </c>
    </row>
    <row r="287">
      <c r="A287" s="5">
        <v>44523.47825231482</v>
      </c>
      <c r="B287" s="7">
        <f t="shared" si="1"/>
        <v>44523</v>
      </c>
      <c r="C287" s="33" t="s">
        <v>3</v>
      </c>
      <c r="D287" s="4" t="s">
        <v>21</v>
      </c>
      <c r="E287" s="4" t="s">
        <v>21</v>
      </c>
      <c r="F287" s="4">
        <f t="shared" si="2"/>
        <v>48</v>
      </c>
    </row>
    <row r="288">
      <c r="A288" s="5">
        <v>44670.3440625</v>
      </c>
      <c r="B288" s="7">
        <f t="shared" si="1"/>
        <v>44670</v>
      </c>
      <c r="C288" s="33" t="s">
        <v>3</v>
      </c>
      <c r="D288" s="4" t="s">
        <v>21</v>
      </c>
      <c r="E288" s="4" t="s">
        <v>21</v>
      </c>
      <c r="F288" s="4">
        <f t="shared" si="2"/>
        <v>17</v>
      </c>
    </row>
    <row r="289">
      <c r="A289" s="5">
        <v>44390.18315972222</v>
      </c>
      <c r="B289" s="7">
        <f t="shared" si="1"/>
        <v>44390</v>
      </c>
      <c r="C289" s="33" t="s">
        <v>3</v>
      </c>
      <c r="D289" s="4" t="s">
        <v>21</v>
      </c>
      <c r="E289" s="4" t="s">
        <v>21</v>
      </c>
      <c r="F289" s="4">
        <f t="shared" si="2"/>
        <v>29</v>
      </c>
    </row>
    <row r="290">
      <c r="A290" s="5">
        <v>44574.43753472222</v>
      </c>
      <c r="B290" s="7">
        <f t="shared" si="1"/>
        <v>44574</v>
      </c>
      <c r="C290" s="33" t="s">
        <v>3</v>
      </c>
      <c r="D290" s="4" t="s">
        <v>21</v>
      </c>
      <c r="E290" s="4" t="s">
        <v>21</v>
      </c>
      <c r="F290" s="4">
        <f t="shared" si="2"/>
        <v>3</v>
      </c>
    </row>
    <row r="291">
      <c r="A291" s="5">
        <v>44700.873935185184</v>
      </c>
      <c r="B291" s="7">
        <f t="shared" si="1"/>
        <v>44700</v>
      </c>
      <c r="C291" s="33" t="s">
        <v>3</v>
      </c>
      <c r="D291" s="4" t="s">
        <v>21</v>
      </c>
      <c r="E291" s="4" t="s">
        <v>21</v>
      </c>
      <c r="F291" s="4">
        <f t="shared" si="2"/>
        <v>21</v>
      </c>
    </row>
    <row r="292">
      <c r="A292" s="5">
        <v>44430.105462962965</v>
      </c>
      <c r="B292" s="7">
        <f t="shared" si="1"/>
        <v>44430</v>
      </c>
      <c r="C292" s="33" t="s">
        <v>3</v>
      </c>
      <c r="D292" s="4" t="s">
        <v>21</v>
      </c>
      <c r="E292" s="4" t="s">
        <v>21</v>
      </c>
      <c r="F292" s="4">
        <f t="shared" si="2"/>
        <v>35</v>
      </c>
    </row>
    <row r="293">
      <c r="A293" s="5">
        <v>44725.16226851852</v>
      </c>
      <c r="B293" s="7">
        <f t="shared" si="1"/>
        <v>44725</v>
      </c>
      <c r="C293" s="33" t="s">
        <v>3</v>
      </c>
      <c r="D293" s="4" t="s">
        <v>21</v>
      </c>
      <c r="E293" s="4" t="s">
        <v>21</v>
      </c>
      <c r="F293" s="4">
        <f t="shared" si="2"/>
        <v>25</v>
      </c>
    </row>
    <row r="294">
      <c r="A294" s="5">
        <v>44532.58039351852</v>
      </c>
      <c r="B294" s="7">
        <f t="shared" si="1"/>
        <v>44532</v>
      </c>
      <c r="C294" s="33" t="s">
        <v>3</v>
      </c>
      <c r="D294" s="4" t="s">
        <v>21</v>
      </c>
      <c r="E294" s="4" t="s">
        <v>21</v>
      </c>
      <c r="F294" s="4">
        <f t="shared" si="2"/>
        <v>49</v>
      </c>
    </row>
    <row r="295">
      <c r="A295" s="5">
        <v>44537.1603125</v>
      </c>
      <c r="B295" s="7">
        <f t="shared" si="1"/>
        <v>44537</v>
      </c>
      <c r="C295" s="33" t="s">
        <v>3</v>
      </c>
      <c r="D295" s="4" t="s">
        <v>21</v>
      </c>
      <c r="E295" s="4" t="s">
        <v>21</v>
      </c>
      <c r="F295" s="4">
        <f t="shared" si="2"/>
        <v>50</v>
      </c>
    </row>
    <row r="296">
      <c r="A296" s="5">
        <v>44691.37130787037</v>
      </c>
      <c r="B296" s="7">
        <f t="shared" si="1"/>
        <v>44691</v>
      </c>
      <c r="C296" s="33" t="s">
        <v>3</v>
      </c>
      <c r="D296" s="4" t="s">
        <v>21</v>
      </c>
      <c r="E296" s="4" t="s">
        <v>21</v>
      </c>
      <c r="F296" s="4">
        <f t="shared" si="2"/>
        <v>20</v>
      </c>
    </row>
    <row r="297">
      <c r="A297" s="5">
        <v>44568.63228009259</v>
      </c>
      <c r="B297" s="7">
        <f t="shared" si="1"/>
        <v>44568</v>
      </c>
      <c r="C297" s="33" t="s">
        <v>3</v>
      </c>
      <c r="D297" s="4" t="s">
        <v>21</v>
      </c>
      <c r="E297" s="4" t="s">
        <v>21</v>
      </c>
      <c r="F297" s="4">
        <f t="shared" si="2"/>
        <v>2</v>
      </c>
    </row>
    <row r="298">
      <c r="A298" s="5">
        <v>44540.5144212963</v>
      </c>
      <c r="B298" s="7">
        <f t="shared" si="1"/>
        <v>44540</v>
      </c>
      <c r="C298" s="33" t="s">
        <v>3</v>
      </c>
      <c r="D298" s="4" t="s">
        <v>21</v>
      </c>
      <c r="E298" s="4" t="s">
        <v>21</v>
      </c>
      <c r="F298" s="4">
        <f t="shared" si="2"/>
        <v>50</v>
      </c>
    </row>
    <row r="299">
      <c r="A299" s="5">
        <v>44531.53503472222</v>
      </c>
      <c r="B299" s="7">
        <f t="shared" si="1"/>
        <v>44531</v>
      </c>
      <c r="C299" s="33" t="s">
        <v>3</v>
      </c>
      <c r="D299" s="4" t="s">
        <v>21</v>
      </c>
      <c r="E299" s="4" t="s">
        <v>21</v>
      </c>
      <c r="F299" s="4">
        <f t="shared" si="2"/>
        <v>49</v>
      </c>
    </row>
    <row r="300">
      <c r="A300" s="5">
        <v>44589.59101851852</v>
      </c>
      <c r="B300" s="7">
        <f t="shared" si="1"/>
        <v>44589</v>
      </c>
      <c r="C300" s="33" t="s">
        <v>3</v>
      </c>
      <c r="D300" s="4" t="s">
        <v>21</v>
      </c>
      <c r="E300" s="4" t="s">
        <v>21</v>
      </c>
      <c r="F300" s="4">
        <f t="shared" si="2"/>
        <v>5</v>
      </c>
    </row>
    <row r="301">
      <c r="A301" s="5">
        <v>44638.59825231481</v>
      </c>
      <c r="B301" s="7">
        <f t="shared" si="1"/>
        <v>44638</v>
      </c>
      <c r="C301" s="33" t="s">
        <v>3</v>
      </c>
      <c r="D301" s="4" t="s">
        <v>21</v>
      </c>
      <c r="E301" s="4" t="s">
        <v>21</v>
      </c>
      <c r="F301" s="4">
        <f t="shared" si="2"/>
        <v>12</v>
      </c>
    </row>
    <row r="302">
      <c r="A302" s="5">
        <v>44698.40859953704</v>
      </c>
      <c r="B302" s="7">
        <f t="shared" si="1"/>
        <v>44698</v>
      </c>
      <c r="C302" s="33" t="s">
        <v>3</v>
      </c>
      <c r="D302" s="4" t="s">
        <v>21</v>
      </c>
      <c r="E302" s="4" t="s">
        <v>21</v>
      </c>
      <c r="F302" s="4">
        <f t="shared" si="2"/>
        <v>21</v>
      </c>
    </row>
    <row r="303">
      <c r="A303" s="5">
        <v>44439.448425925926</v>
      </c>
      <c r="B303" s="7">
        <f t="shared" si="1"/>
        <v>44439</v>
      </c>
      <c r="C303" s="33" t="s">
        <v>3</v>
      </c>
      <c r="D303" s="4" t="s">
        <v>21</v>
      </c>
      <c r="E303" s="4" t="s">
        <v>21</v>
      </c>
      <c r="F303" s="4">
        <f t="shared" si="2"/>
        <v>36</v>
      </c>
    </row>
    <row r="304">
      <c r="A304" s="5">
        <v>44426.250659722224</v>
      </c>
      <c r="B304" s="7">
        <f t="shared" si="1"/>
        <v>44426</v>
      </c>
      <c r="C304" s="33" t="s">
        <v>3</v>
      </c>
      <c r="D304" s="4" t="s">
        <v>21</v>
      </c>
      <c r="E304" s="4" t="s">
        <v>21</v>
      </c>
      <c r="F304" s="4">
        <f t="shared" si="2"/>
        <v>34</v>
      </c>
    </row>
    <row r="305">
      <c r="A305" s="5">
        <v>44574.69216435185</v>
      </c>
      <c r="B305" s="7">
        <f t="shared" si="1"/>
        <v>44574</v>
      </c>
      <c r="C305" s="33" t="s">
        <v>3</v>
      </c>
      <c r="D305" s="4" t="s">
        <v>21</v>
      </c>
      <c r="E305" s="4" t="s">
        <v>21</v>
      </c>
      <c r="F305" s="4">
        <f t="shared" si="2"/>
        <v>3</v>
      </c>
    </row>
    <row r="306">
      <c r="A306" s="5">
        <v>44652.418275462966</v>
      </c>
      <c r="B306" s="7">
        <f t="shared" si="1"/>
        <v>44652</v>
      </c>
      <c r="C306" s="33" t="s">
        <v>3</v>
      </c>
      <c r="D306" s="4" t="s">
        <v>21</v>
      </c>
      <c r="E306" s="4" t="s">
        <v>21</v>
      </c>
      <c r="F306" s="4">
        <f t="shared" si="2"/>
        <v>14</v>
      </c>
    </row>
    <row r="307">
      <c r="A307" s="5">
        <v>44593.691875</v>
      </c>
      <c r="B307" s="7">
        <f t="shared" si="1"/>
        <v>44593</v>
      </c>
      <c r="C307" s="33" t="s">
        <v>3</v>
      </c>
      <c r="D307" s="4" t="s">
        <v>21</v>
      </c>
      <c r="E307" s="4" t="s">
        <v>23</v>
      </c>
      <c r="F307" s="4">
        <f t="shared" si="2"/>
        <v>6</v>
      </c>
    </row>
    <row r="308">
      <c r="A308" s="5">
        <v>44523.34291666667</v>
      </c>
      <c r="B308" s="7">
        <f t="shared" si="1"/>
        <v>44523</v>
      </c>
      <c r="C308" s="33" t="s">
        <v>3</v>
      </c>
      <c r="D308" s="4" t="s">
        <v>21</v>
      </c>
      <c r="E308" s="4" t="s">
        <v>21</v>
      </c>
      <c r="F308" s="4">
        <f t="shared" si="2"/>
        <v>48</v>
      </c>
    </row>
    <row r="309">
      <c r="A309" s="5">
        <v>44446.91542824074</v>
      </c>
      <c r="B309" s="7">
        <f t="shared" si="1"/>
        <v>44446</v>
      </c>
      <c r="C309" s="33" t="s">
        <v>3</v>
      </c>
      <c r="D309" s="4" t="s">
        <v>21</v>
      </c>
      <c r="E309" s="4" t="s">
        <v>21</v>
      </c>
      <c r="F309" s="4">
        <f t="shared" si="2"/>
        <v>37</v>
      </c>
    </row>
    <row r="310">
      <c r="A310" s="5">
        <v>44523.57962962963</v>
      </c>
      <c r="B310" s="7">
        <f t="shared" si="1"/>
        <v>44523</v>
      </c>
      <c r="C310" s="33" t="s">
        <v>3</v>
      </c>
      <c r="D310" s="4" t="s">
        <v>21</v>
      </c>
      <c r="E310" s="4" t="s">
        <v>21</v>
      </c>
      <c r="F310" s="4">
        <f t="shared" si="2"/>
        <v>48</v>
      </c>
    </row>
    <row r="311">
      <c r="A311" s="5">
        <v>44585.54471064815</v>
      </c>
      <c r="B311" s="7">
        <f t="shared" si="1"/>
        <v>44585</v>
      </c>
      <c r="C311" s="33" t="s">
        <v>3</v>
      </c>
      <c r="D311" s="4" t="s">
        <v>21</v>
      </c>
      <c r="E311" s="4" t="s">
        <v>21</v>
      </c>
      <c r="F311" s="4">
        <f t="shared" si="2"/>
        <v>5</v>
      </c>
    </row>
    <row r="312">
      <c r="A312" s="5">
        <v>44686.742430555554</v>
      </c>
      <c r="B312" s="7">
        <f t="shared" si="1"/>
        <v>44686</v>
      </c>
      <c r="C312" s="33" t="s">
        <v>3</v>
      </c>
      <c r="D312" s="4" t="s">
        <v>21</v>
      </c>
      <c r="E312" s="4" t="s">
        <v>21</v>
      </c>
      <c r="F312" s="4">
        <f t="shared" si="2"/>
        <v>19</v>
      </c>
    </row>
    <row r="313">
      <c r="A313" s="5">
        <v>44440.421898148146</v>
      </c>
      <c r="B313" s="7">
        <f t="shared" si="1"/>
        <v>44440</v>
      </c>
      <c r="C313" s="33" t="s">
        <v>3</v>
      </c>
      <c r="D313" s="4" t="s">
        <v>21</v>
      </c>
      <c r="E313" s="4" t="s">
        <v>21</v>
      </c>
      <c r="F313" s="4">
        <f t="shared" si="2"/>
        <v>36</v>
      </c>
    </row>
    <row r="314">
      <c r="A314" s="5">
        <v>44441.60472222222</v>
      </c>
      <c r="B314" s="7">
        <f t="shared" si="1"/>
        <v>44441</v>
      </c>
      <c r="C314" s="33" t="s">
        <v>3</v>
      </c>
      <c r="D314" s="4" t="s">
        <v>21</v>
      </c>
      <c r="E314" s="4" t="s">
        <v>21</v>
      </c>
      <c r="F314" s="4">
        <f t="shared" si="2"/>
        <v>36</v>
      </c>
    </row>
    <row r="315">
      <c r="A315" s="5">
        <v>44442.86114583333</v>
      </c>
      <c r="B315" s="7">
        <f t="shared" si="1"/>
        <v>44442</v>
      </c>
      <c r="C315" s="33" t="s">
        <v>3</v>
      </c>
      <c r="D315" s="4" t="s">
        <v>21</v>
      </c>
      <c r="E315" s="4" t="s">
        <v>21</v>
      </c>
      <c r="F315" s="4">
        <f t="shared" si="2"/>
        <v>36</v>
      </c>
    </row>
    <row r="316">
      <c r="A316" s="5">
        <v>44445.34538194445</v>
      </c>
      <c r="B316" s="7">
        <f t="shared" si="1"/>
        <v>44445</v>
      </c>
      <c r="C316" s="33" t="s">
        <v>3</v>
      </c>
      <c r="D316" s="4" t="s">
        <v>21</v>
      </c>
      <c r="E316" s="4" t="s">
        <v>21</v>
      </c>
      <c r="F316" s="4">
        <f t="shared" si="2"/>
        <v>37</v>
      </c>
    </row>
    <row r="317">
      <c r="A317" s="5">
        <v>44445.347766203704</v>
      </c>
      <c r="B317" s="7">
        <f t="shared" si="1"/>
        <v>44445</v>
      </c>
      <c r="C317" s="33" t="s">
        <v>3</v>
      </c>
      <c r="D317" s="4" t="s">
        <v>21</v>
      </c>
      <c r="E317" s="4" t="s">
        <v>21</v>
      </c>
      <c r="F317" s="4">
        <f t="shared" si="2"/>
        <v>37</v>
      </c>
    </row>
    <row r="318">
      <c r="A318" s="5">
        <v>44445.78707175926</v>
      </c>
      <c r="B318" s="7">
        <f t="shared" si="1"/>
        <v>44445</v>
      </c>
      <c r="C318" s="33" t="s">
        <v>3</v>
      </c>
      <c r="D318" s="4" t="s">
        <v>21</v>
      </c>
      <c r="E318" s="4" t="s">
        <v>21</v>
      </c>
      <c r="F318" s="4">
        <f t="shared" si="2"/>
        <v>37</v>
      </c>
    </row>
    <row r="319">
      <c r="A319" s="5">
        <v>44447.144270833334</v>
      </c>
      <c r="B319" s="7">
        <f t="shared" si="1"/>
        <v>44447</v>
      </c>
      <c r="C319" s="33" t="s">
        <v>3</v>
      </c>
      <c r="D319" s="4" t="s">
        <v>21</v>
      </c>
      <c r="E319" s="4" t="s">
        <v>21</v>
      </c>
      <c r="F319" s="4">
        <f t="shared" si="2"/>
        <v>37</v>
      </c>
    </row>
    <row r="320">
      <c r="A320" s="5">
        <v>44449.09462962963</v>
      </c>
      <c r="B320" s="7">
        <f t="shared" si="1"/>
        <v>44449</v>
      </c>
      <c r="C320" s="33" t="s">
        <v>3</v>
      </c>
      <c r="D320" s="4" t="s">
        <v>21</v>
      </c>
      <c r="E320" s="4" t="s">
        <v>21</v>
      </c>
      <c r="F320" s="4">
        <f t="shared" si="2"/>
        <v>37</v>
      </c>
    </row>
    <row r="321">
      <c r="A321" s="5">
        <v>44439.42833333334</v>
      </c>
      <c r="B321" s="7">
        <f t="shared" si="1"/>
        <v>44439</v>
      </c>
      <c r="C321" s="33" t="s">
        <v>3</v>
      </c>
      <c r="D321" s="4" t="s">
        <v>21</v>
      </c>
      <c r="E321" s="4" t="s">
        <v>21</v>
      </c>
      <c r="F321" s="4">
        <f t="shared" si="2"/>
        <v>36</v>
      </c>
    </row>
    <row r="322">
      <c r="A322" s="5">
        <v>44452.6844212963</v>
      </c>
      <c r="B322" s="7">
        <f t="shared" si="1"/>
        <v>44452</v>
      </c>
      <c r="C322" s="33" t="s">
        <v>3</v>
      </c>
      <c r="D322" s="4" t="s">
        <v>21</v>
      </c>
      <c r="E322" s="4" t="s">
        <v>21</v>
      </c>
      <c r="F322" s="4">
        <f t="shared" si="2"/>
        <v>38</v>
      </c>
    </row>
    <row r="323">
      <c r="A323" s="5">
        <v>44452.68483796297</v>
      </c>
      <c r="B323" s="7">
        <f t="shared" si="1"/>
        <v>44452</v>
      </c>
      <c r="C323" s="33" t="s">
        <v>3</v>
      </c>
      <c r="D323" s="4" t="s">
        <v>21</v>
      </c>
      <c r="E323" s="4" t="s">
        <v>21</v>
      </c>
      <c r="F323" s="4">
        <f t="shared" si="2"/>
        <v>38</v>
      </c>
    </row>
    <row r="324">
      <c r="A324" s="5">
        <v>44452.685162037036</v>
      </c>
      <c r="B324" s="7">
        <f t="shared" si="1"/>
        <v>44452</v>
      </c>
      <c r="C324" s="33" t="s">
        <v>3</v>
      </c>
      <c r="D324" s="4" t="s">
        <v>21</v>
      </c>
      <c r="E324" s="4" t="s">
        <v>21</v>
      </c>
      <c r="F324" s="4">
        <f t="shared" si="2"/>
        <v>38</v>
      </c>
    </row>
    <row r="325">
      <c r="A325" s="5">
        <v>44550.59112268518</v>
      </c>
      <c r="B325" s="7">
        <f t="shared" si="1"/>
        <v>44550</v>
      </c>
      <c r="C325" s="33" t="s">
        <v>3</v>
      </c>
      <c r="D325" s="4" t="s">
        <v>21</v>
      </c>
      <c r="E325" s="4" t="s">
        <v>21</v>
      </c>
      <c r="F325" s="4">
        <f t="shared" si="2"/>
        <v>52</v>
      </c>
    </row>
    <row r="326">
      <c r="A326" s="5">
        <v>44550.59118055556</v>
      </c>
      <c r="B326" s="7">
        <f t="shared" si="1"/>
        <v>44550</v>
      </c>
      <c r="C326" s="33" t="s">
        <v>3</v>
      </c>
      <c r="D326" s="4" t="s">
        <v>21</v>
      </c>
      <c r="E326" s="4" t="s">
        <v>21</v>
      </c>
      <c r="F326" s="4">
        <f t="shared" si="2"/>
        <v>52</v>
      </c>
    </row>
    <row r="327">
      <c r="A327" s="5">
        <v>44623.74737268518</v>
      </c>
      <c r="B327" s="7">
        <f t="shared" si="1"/>
        <v>44623</v>
      </c>
      <c r="C327" s="33" t="s">
        <v>3</v>
      </c>
      <c r="D327" s="4" t="s">
        <v>21</v>
      </c>
      <c r="E327" s="4" t="s">
        <v>21</v>
      </c>
      <c r="F327" s="4">
        <f t="shared" si="2"/>
        <v>10</v>
      </c>
    </row>
    <row r="328">
      <c r="A328" s="5">
        <v>44628.5356712963</v>
      </c>
      <c r="B328" s="7">
        <f t="shared" si="1"/>
        <v>44628</v>
      </c>
      <c r="C328" s="33" t="s">
        <v>3</v>
      </c>
      <c r="D328" s="4" t="s">
        <v>21</v>
      </c>
      <c r="E328" s="4" t="s">
        <v>21</v>
      </c>
      <c r="F328" s="4">
        <f t="shared" si="2"/>
        <v>11</v>
      </c>
    </row>
    <row r="329">
      <c r="A329" s="5">
        <v>44628.55674768519</v>
      </c>
      <c r="B329" s="7">
        <f t="shared" si="1"/>
        <v>44628</v>
      </c>
      <c r="C329" s="33" t="s">
        <v>3</v>
      </c>
      <c r="D329" s="4" t="s">
        <v>21</v>
      </c>
      <c r="E329" s="4" t="s">
        <v>21</v>
      </c>
      <c r="F329" s="4">
        <f t="shared" si="2"/>
        <v>11</v>
      </c>
    </row>
    <row r="330">
      <c r="A330" s="5">
        <v>44628.57386574074</v>
      </c>
      <c r="B330" s="7">
        <f t="shared" si="1"/>
        <v>44628</v>
      </c>
      <c r="C330" s="33" t="s">
        <v>3</v>
      </c>
      <c r="D330" s="4" t="s">
        <v>21</v>
      </c>
      <c r="E330" s="4" t="s">
        <v>21</v>
      </c>
      <c r="F330" s="4">
        <f t="shared" si="2"/>
        <v>11</v>
      </c>
    </row>
    <row r="331">
      <c r="A331" s="5">
        <v>44473.30480324074</v>
      </c>
      <c r="B331" s="7">
        <f t="shared" si="1"/>
        <v>44473</v>
      </c>
      <c r="C331" s="33" t="s">
        <v>3</v>
      </c>
      <c r="D331" s="4" t="s">
        <v>21</v>
      </c>
      <c r="E331" s="4" t="s">
        <v>21</v>
      </c>
      <c r="F331" s="4">
        <f t="shared" si="2"/>
        <v>41</v>
      </c>
    </row>
    <row r="332">
      <c r="A332" s="5">
        <v>44473.30758101852</v>
      </c>
      <c r="B332" s="7">
        <f t="shared" si="1"/>
        <v>44473</v>
      </c>
      <c r="C332" s="33" t="s">
        <v>3</v>
      </c>
      <c r="D332" s="4" t="s">
        <v>21</v>
      </c>
      <c r="E332" s="4" t="s">
        <v>21</v>
      </c>
      <c r="F332" s="4">
        <f t="shared" si="2"/>
        <v>41</v>
      </c>
    </row>
    <row r="333">
      <c r="A333" s="5">
        <v>44473.31292824074</v>
      </c>
      <c r="B333" s="7">
        <f t="shared" si="1"/>
        <v>44473</v>
      </c>
      <c r="C333" s="33" t="s">
        <v>3</v>
      </c>
      <c r="D333" s="4" t="s">
        <v>21</v>
      </c>
      <c r="E333" s="4" t="s">
        <v>21</v>
      </c>
      <c r="F333" s="4">
        <f t="shared" si="2"/>
        <v>41</v>
      </c>
    </row>
    <row r="334">
      <c r="A334" s="5">
        <v>44473.31825231481</v>
      </c>
      <c r="B334" s="7">
        <f t="shared" si="1"/>
        <v>44473</v>
      </c>
      <c r="C334" s="33" t="s">
        <v>3</v>
      </c>
      <c r="D334" s="4" t="s">
        <v>21</v>
      </c>
      <c r="E334" s="4" t="s">
        <v>21</v>
      </c>
      <c r="F334" s="4">
        <f t="shared" si="2"/>
        <v>41</v>
      </c>
    </row>
    <row r="335">
      <c r="A335" s="5">
        <v>44473.32219907407</v>
      </c>
      <c r="B335" s="7">
        <f t="shared" si="1"/>
        <v>44473</v>
      </c>
      <c r="C335" s="33" t="s">
        <v>3</v>
      </c>
      <c r="D335" s="4" t="s">
        <v>21</v>
      </c>
      <c r="E335" s="4" t="s">
        <v>21</v>
      </c>
      <c r="F335" s="4">
        <f t="shared" si="2"/>
        <v>41</v>
      </c>
    </row>
    <row r="336">
      <c r="A336" s="5">
        <v>44473.32474537037</v>
      </c>
      <c r="B336" s="7">
        <f t="shared" si="1"/>
        <v>44473</v>
      </c>
      <c r="C336" s="33" t="s">
        <v>3</v>
      </c>
      <c r="D336" s="4" t="s">
        <v>21</v>
      </c>
      <c r="E336" s="4" t="s">
        <v>21</v>
      </c>
      <c r="F336" s="4">
        <f t="shared" si="2"/>
        <v>41</v>
      </c>
    </row>
    <row r="337">
      <c r="A337" s="5">
        <v>44473.329733796294</v>
      </c>
      <c r="B337" s="7">
        <f t="shared" si="1"/>
        <v>44473</v>
      </c>
      <c r="C337" s="33" t="s">
        <v>3</v>
      </c>
      <c r="D337" s="4" t="s">
        <v>21</v>
      </c>
      <c r="E337" s="4" t="s">
        <v>21</v>
      </c>
      <c r="F337" s="4">
        <f t="shared" si="2"/>
        <v>41</v>
      </c>
    </row>
    <row r="338">
      <c r="A338" s="5">
        <v>44473.347337962965</v>
      </c>
      <c r="B338" s="7">
        <f t="shared" si="1"/>
        <v>44473</v>
      </c>
      <c r="C338" s="33" t="s">
        <v>3</v>
      </c>
      <c r="D338" s="4" t="s">
        <v>21</v>
      </c>
      <c r="E338" s="4" t="s">
        <v>21</v>
      </c>
      <c r="F338" s="4">
        <f t="shared" si="2"/>
        <v>41</v>
      </c>
    </row>
    <row r="339">
      <c r="A339" s="5">
        <v>44473.360671296294</v>
      </c>
      <c r="B339" s="7">
        <f t="shared" si="1"/>
        <v>44473</v>
      </c>
      <c r="C339" s="33" t="s">
        <v>3</v>
      </c>
      <c r="D339" s="4" t="s">
        <v>21</v>
      </c>
      <c r="E339" s="4" t="s">
        <v>21</v>
      </c>
      <c r="F339" s="4">
        <f t="shared" si="2"/>
        <v>41</v>
      </c>
    </row>
    <row r="340">
      <c r="A340" s="5">
        <v>44578.51673611111</v>
      </c>
      <c r="B340" s="7">
        <f t="shared" si="1"/>
        <v>44578</v>
      </c>
      <c r="C340" s="33" t="s">
        <v>3</v>
      </c>
      <c r="D340" s="4" t="s">
        <v>21</v>
      </c>
      <c r="E340" s="4" t="s">
        <v>21</v>
      </c>
      <c r="F340" s="4">
        <f t="shared" si="2"/>
        <v>4</v>
      </c>
    </row>
    <row r="341">
      <c r="A341" s="5">
        <v>44578.52043981481</v>
      </c>
      <c r="B341" s="7">
        <f t="shared" si="1"/>
        <v>44578</v>
      </c>
      <c r="C341" s="33" t="s">
        <v>3</v>
      </c>
      <c r="D341" s="4" t="s">
        <v>21</v>
      </c>
      <c r="E341" s="4" t="s">
        <v>21</v>
      </c>
      <c r="F341" s="4">
        <f t="shared" si="2"/>
        <v>4</v>
      </c>
    </row>
    <row r="342">
      <c r="A342" s="5">
        <v>44578.52274305555</v>
      </c>
      <c r="B342" s="7">
        <f t="shared" si="1"/>
        <v>44578</v>
      </c>
      <c r="C342" s="33" t="s">
        <v>3</v>
      </c>
      <c r="D342" s="4" t="s">
        <v>21</v>
      </c>
      <c r="E342" s="4" t="s">
        <v>21</v>
      </c>
      <c r="F342" s="4">
        <f t="shared" si="2"/>
        <v>4</v>
      </c>
    </row>
    <row r="343">
      <c r="A343" s="5">
        <v>44578.52460648148</v>
      </c>
      <c r="B343" s="7">
        <f t="shared" si="1"/>
        <v>44578</v>
      </c>
      <c r="C343" s="33" t="s">
        <v>3</v>
      </c>
      <c r="D343" s="4" t="s">
        <v>21</v>
      </c>
      <c r="E343" s="4" t="s">
        <v>21</v>
      </c>
      <c r="F343" s="4">
        <f t="shared" si="2"/>
        <v>4</v>
      </c>
    </row>
    <row r="344">
      <c r="A344" s="5">
        <v>44578.526342592595</v>
      </c>
      <c r="B344" s="7">
        <f t="shared" si="1"/>
        <v>44578</v>
      </c>
      <c r="C344" s="33" t="s">
        <v>3</v>
      </c>
      <c r="D344" s="4" t="s">
        <v>21</v>
      </c>
      <c r="E344" s="4" t="s">
        <v>21</v>
      </c>
      <c r="F344" s="4">
        <f t="shared" si="2"/>
        <v>4</v>
      </c>
    </row>
    <row r="345">
      <c r="A345" s="5">
        <v>44606.58797453704</v>
      </c>
      <c r="B345" s="7">
        <f t="shared" si="1"/>
        <v>44606</v>
      </c>
      <c r="C345" s="33" t="s">
        <v>3</v>
      </c>
      <c r="D345" s="4" t="s">
        <v>21</v>
      </c>
      <c r="E345" s="4" t="s">
        <v>21</v>
      </c>
      <c r="F345" s="4">
        <f t="shared" si="2"/>
        <v>8</v>
      </c>
    </row>
    <row r="346">
      <c r="A346" s="5">
        <v>44720.432858796295</v>
      </c>
      <c r="B346" s="7">
        <f t="shared" si="1"/>
        <v>44720</v>
      </c>
      <c r="C346" s="33" t="s">
        <v>3</v>
      </c>
      <c r="D346" s="4" t="s">
        <v>21</v>
      </c>
      <c r="E346" s="4" t="s">
        <v>21</v>
      </c>
      <c r="F346" s="4">
        <f t="shared" si="2"/>
        <v>24</v>
      </c>
    </row>
    <row r="347">
      <c r="A347" s="5">
        <v>44735.57645833334</v>
      </c>
      <c r="B347" s="7">
        <f t="shared" si="1"/>
        <v>44735</v>
      </c>
      <c r="C347" s="33" t="s">
        <v>3</v>
      </c>
      <c r="D347" s="4" t="s">
        <v>21</v>
      </c>
      <c r="E347" s="4" t="s">
        <v>21</v>
      </c>
      <c r="F347" s="4">
        <f t="shared" si="2"/>
        <v>26</v>
      </c>
    </row>
    <row r="348">
      <c r="A348" s="5">
        <v>44739.20891203704</v>
      </c>
      <c r="B348" s="7">
        <f t="shared" si="1"/>
        <v>44739</v>
      </c>
      <c r="C348" s="33" t="s">
        <v>3</v>
      </c>
      <c r="D348" s="4" t="s">
        <v>21</v>
      </c>
      <c r="E348" s="4" t="s">
        <v>21</v>
      </c>
      <c r="F348" s="4">
        <f t="shared" si="2"/>
        <v>27</v>
      </c>
    </row>
    <row r="349">
      <c r="A349" s="5">
        <v>44735.540347222224</v>
      </c>
      <c r="B349" s="7">
        <f t="shared" si="1"/>
        <v>44735</v>
      </c>
      <c r="C349" s="33" t="s">
        <v>3</v>
      </c>
      <c r="D349" s="4" t="s">
        <v>21</v>
      </c>
      <c r="E349" s="4" t="s">
        <v>21</v>
      </c>
      <c r="F349" s="4">
        <f t="shared" si="2"/>
        <v>26</v>
      </c>
    </row>
    <row r="350">
      <c r="A350" s="5">
        <v>44546.23017361111</v>
      </c>
      <c r="B350" s="7">
        <f t="shared" si="1"/>
        <v>44546</v>
      </c>
      <c r="C350" s="33" t="s">
        <v>3</v>
      </c>
      <c r="D350" s="4" t="s">
        <v>21</v>
      </c>
      <c r="E350" s="4" t="s">
        <v>21</v>
      </c>
      <c r="F350" s="4">
        <f t="shared" si="2"/>
        <v>51</v>
      </c>
    </row>
    <row r="351">
      <c r="A351" s="5">
        <v>44498.33662037037</v>
      </c>
      <c r="B351" s="7">
        <f t="shared" si="1"/>
        <v>44498</v>
      </c>
      <c r="C351" s="33" t="s">
        <v>3</v>
      </c>
      <c r="D351" s="4" t="s">
        <v>21</v>
      </c>
      <c r="E351" s="4" t="s">
        <v>21</v>
      </c>
      <c r="F351" s="4">
        <f t="shared" si="2"/>
        <v>44</v>
      </c>
    </row>
    <row r="352">
      <c r="A352" s="5">
        <v>44501.95543981482</v>
      </c>
      <c r="B352" s="7">
        <f t="shared" si="1"/>
        <v>44501</v>
      </c>
      <c r="C352" s="33" t="s">
        <v>3</v>
      </c>
      <c r="D352" s="4" t="s">
        <v>21</v>
      </c>
      <c r="E352" s="4" t="s">
        <v>21</v>
      </c>
      <c r="F352" s="4">
        <f t="shared" si="2"/>
        <v>45</v>
      </c>
    </row>
    <row r="353">
      <c r="A353" s="5">
        <v>44574.55758101852</v>
      </c>
      <c r="B353" s="7">
        <f t="shared" si="1"/>
        <v>44574</v>
      </c>
      <c r="C353" s="33" t="s">
        <v>3</v>
      </c>
      <c r="D353" s="4" t="s">
        <v>21</v>
      </c>
      <c r="E353" s="4" t="s">
        <v>21</v>
      </c>
      <c r="F353" s="4">
        <f t="shared" si="2"/>
        <v>3</v>
      </c>
    </row>
    <row r="354">
      <c r="A354" s="5">
        <v>44574.5646875</v>
      </c>
      <c r="B354" s="7">
        <f t="shared" si="1"/>
        <v>44574</v>
      </c>
      <c r="C354" s="33" t="s">
        <v>3</v>
      </c>
      <c r="D354" s="4" t="s">
        <v>21</v>
      </c>
      <c r="E354" s="4" t="s">
        <v>21</v>
      </c>
      <c r="F354" s="4">
        <f t="shared" si="2"/>
        <v>3</v>
      </c>
    </row>
    <row r="355">
      <c r="A355" s="5">
        <v>44574.56767361111</v>
      </c>
      <c r="B355" s="7">
        <f t="shared" si="1"/>
        <v>44574</v>
      </c>
      <c r="C355" s="33" t="s">
        <v>3</v>
      </c>
      <c r="D355" s="4" t="s">
        <v>21</v>
      </c>
      <c r="E355" s="4" t="s">
        <v>21</v>
      </c>
      <c r="F355" s="4">
        <f t="shared" si="2"/>
        <v>3</v>
      </c>
    </row>
    <row r="356">
      <c r="A356" s="5">
        <v>44574.570706018516</v>
      </c>
      <c r="B356" s="7">
        <f t="shared" si="1"/>
        <v>44574</v>
      </c>
      <c r="C356" s="33" t="s">
        <v>3</v>
      </c>
      <c r="D356" s="4" t="s">
        <v>21</v>
      </c>
      <c r="E356" s="4" t="s">
        <v>21</v>
      </c>
      <c r="F356" s="4">
        <f t="shared" si="2"/>
        <v>3</v>
      </c>
    </row>
    <row r="357">
      <c r="A357" s="5">
        <v>44574.58356481481</v>
      </c>
      <c r="B357" s="7">
        <f t="shared" si="1"/>
        <v>44574</v>
      </c>
      <c r="C357" s="33" t="s">
        <v>3</v>
      </c>
      <c r="D357" s="4" t="s">
        <v>21</v>
      </c>
      <c r="E357" s="4" t="s">
        <v>21</v>
      </c>
      <c r="F357" s="4">
        <f t="shared" si="2"/>
        <v>3</v>
      </c>
    </row>
    <row r="358">
      <c r="A358" s="5">
        <v>44574.61046296296</v>
      </c>
      <c r="B358" s="7">
        <f t="shared" si="1"/>
        <v>44574</v>
      </c>
      <c r="C358" s="33" t="s">
        <v>3</v>
      </c>
      <c r="D358" s="4" t="s">
        <v>21</v>
      </c>
      <c r="E358" s="4" t="s">
        <v>21</v>
      </c>
      <c r="F358" s="4">
        <f t="shared" si="2"/>
        <v>3</v>
      </c>
    </row>
    <row r="359">
      <c r="A359" s="5">
        <v>44574.65109953703</v>
      </c>
      <c r="B359" s="7">
        <f t="shared" si="1"/>
        <v>44574</v>
      </c>
      <c r="C359" s="33" t="s">
        <v>3</v>
      </c>
      <c r="D359" s="4" t="s">
        <v>21</v>
      </c>
      <c r="E359" s="4" t="s">
        <v>21</v>
      </c>
      <c r="F359" s="4">
        <f t="shared" si="2"/>
        <v>3</v>
      </c>
    </row>
    <row r="360">
      <c r="A360" s="5">
        <v>44496.51155092593</v>
      </c>
      <c r="B360" s="7">
        <f t="shared" si="1"/>
        <v>44496</v>
      </c>
      <c r="C360" s="33" t="s">
        <v>3</v>
      </c>
      <c r="D360" s="4" t="s">
        <v>21</v>
      </c>
      <c r="E360" s="4" t="s">
        <v>21</v>
      </c>
      <c r="F360" s="4">
        <f t="shared" si="2"/>
        <v>44</v>
      </c>
    </row>
    <row r="361">
      <c r="A361" s="5">
        <v>44652.45282407408</v>
      </c>
      <c r="B361" s="7">
        <f t="shared" si="1"/>
        <v>44652</v>
      </c>
      <c r="C361" s="33" t="s">
        <v>3</v>
      </c>
      <c r="D361" s="4" t="s">
        <v>21</v>
      </c>
      <c r="E361" s="4" t="s">
        <v>21</v>
      </c>
      <c r="F361" s="4">
        <f t="shared" si="2"/>
        <v>14</v>
      </c>
    </row>
    <row r="362">
      <c r="A362" s="5">
        <v>44652.45556712963</v>
      </c>
      <c r="B362" s="7">
        <f t="shared" si="1"/>
        <v>44652</v>
      </c>
      <c r="C362" s="33" t="s">
        <v>3</v>
      </c>
      <c r="D362" s="4" t="s">
        <v>21</v>
      </c>
      <c r="E362" s="4" t="s">
        <v>21</v>
      </c>
      <c r="F362" s="4">
        <f t="shared" si="2"/>
        <v>14</v>
      </c>
    </row>
    <row r="363">
      <c r="A363" s="5">
        <v>44652.45649305556</v>
      </c>
      <c r="B363" s="7">
        <f t="shared" si="1"/>
        <v>44652</v>
      </c>
      <c r="C363" s="33" t="s">
        <v>3</v>
      </c>
      <c r="D363" s="4" t="s">
        <v>21</v>
      </c>
      <c r="E363" s="4" t="s">
        <v>21</v>
      </c>
      <c r="F363" s="4">
        <f t="shared" si="2"/>
        <v>14</v>
      </c>
    </row>
    <row r="364">
      <c r="A364" s="5">
        <v>44652.45726851852</v>
      </c>
      <c r="B364" s="7">
        <f t="shared" si="1"/>
        <v>44652</v>
      </c>
      <c r="C364" s="33" t="s">
        <v>3</v>
      </c>
      <c r="D364" s="4" t="s">
        <v>21</v>
      </c>
      <c r="E364" s="4" t="s">
        <v>21</v>
      </c>
      <c r="F364" s="4">
        <f t="shared" si="2"/>
        <v>14</v>
      </c>
    </row>
    <row r="365">
      <c r="A365" s="5">
        <v>44652.457766203705</v>
      </c>
      <c r="B365" s="7">
        <f t="shared" si="1"/>
        <v>44652</v>
      </c>
      <c r="C365" s="33" t="s">
        <v>3</v>
      </c>
      <c r="D365" s="4" t="s">
        <v>21</v>
      </c>
      <c r="E365" s="4" t="s">
        <v>21</v>
      </c>
      <c r="F365" s="4">
        <f t="shared" si="2"/>
        <v>14</v>
      </c>
    </row>
    <row r="366">
      <c r="A366" s="5">
        <v>44652.46364583333</v>
      </c>
      <c r="B366" s="7">
        <f t="shared" si="1"/>
        <v>44652</v>
      </c>
      <c r="C366" s="33" t="s">
        <v>3</v>
      </c>
      <c r="D366" s="4" t="s">
        <v>21</v>
      </c>
      <c r="E366" s="4" t="s">
        <v>21</v>
      </c>
      <c r="F366" s="4">
        <f t="shared" si="2"/>
        <v>14</v>
      </c>
    </row>
    <row r="367">
      <c r="A367" s="5">
        <v>44655.568657407406</v>
      </c>
      <c r="B367" s="7">
        <f t="shared" si="1"/>
        <v>44655</v>
      </c>
      <c r="C367" s="33" t="s">
        <v>3</v>
      </c>
      <c r="D367" s="4" t="s">
        <v>21</v>
      </c>
      <c r="E367" s="4" t="s">
        <v>21</v>
      </c>
      <c r="F367" s="4">
        <f t="shared" si="2"/>
        <v>15</v>
      </c>
    </row>
    <row r="368">
      <c r="A368" s="5">
        <v>44655.570763888885</v>
      </c>
      <c r="B368" s="7">
        <f t="shared" si="1"/>
        <v>44655</v>
      </c>
      <c r="C368" s="33" t="s">
        <v>3</v>
      </c>
      <c r="D368" s="4" t="s">
        <v>21</v>
      </c>
      <c r="E368" s="4" t="s">
        <v>21</v>
      </c>
      <c r="F368" s="4">
        <f t="shared" si="2"/>
        <v>15</v>
      </c>
    </row>
    <row r="369">
      <c r="A369" s="5">
        <v>44655.57288194444</v>
      </c>
      <c r="B369" s="7">
        <f t="shared" si="1"/>
        <v>44655</v>
      </c>
      <c r="C369" s="33" t="s">
        <v>3</v>
      </c>
      <c r="D369" s="4" t="s">
        <v>21</v>
      </c>
      <c r="E369" s="4" t="s">
        <v>21</v>
      </c>
      <c r="F369" s="4">
        <f t="shared" si="2"/>
        <v>15</v>
      </c>
    </row>
    <row r="370">
      <c r="A370" s="5">
        <v>44655.57381944444</v>
      </c>
      <c r="B370" s="7">
        <f t="shared" si="1"/>
        <v>44655</v>
      </c>
      <c r="C370" s="33" t="s">
        <v>3</v>
      </c>
      <c r="D370" s="4" t="s">
        <v>21</v>
      </c>
      <c r="E370" s="4" t="s">
        <v>21</v>
      </c>
      <c r="F370" s="4">
        <f t="shared" si="2"/>
        <v>15</v>
      </c>
    </row>
    <row r="371">
      <c r="A371" s="5">
        <v>44655.57498842593</v>
      </c>
      <c r="B371" s="7">
        <f t="shared" si="1"/>
        <v>44655</v>
      </c>
      <c r="C371" s="33" t="s">
        <v>3</v>
      </c>
      <c r="D371" s="4" t="s">
        <v>21</v>
      </c>
      <c r="E371" s="4" t="s">
        <v>21</v>
      </c>
      <c r="F371" s="4">
        <f t="shared" si="2"/>
        <v>15</v>
      </c>
    </row>
    <row r="372">
      <c r="A372" s="5">
        <v>44655.57534722222</v>
      </c>
      <c r="B372" s="7">
        <f t="shared" si="1"/>
        <v>44655</v>
      </c>
      <c r="C372" s="33" t="s">
        <v>3</v>
      </c>
      <c r="D372" s="4" t="s">
        <v>21</v>
      </c>
      <c r="E372" s="4" t="s">
        <v>21</v>
      </c>
      <c r="F372" s="4">
        <f t="shared" si="2"/>
        <v>15</v>
      </c>
    </row>
    <row r="373">
      <c r="A373" s="5">
        <v>44655.57607638889</v>
      </c>
      <c r="B373" s="7">
        <f t="shared" si="1"/>
        <v>44655</v>
      </c>
      <c r="C373" s="33" t="s">
        <v>3</v>
      </c>
      <c r="D373" s="4" t="s">
        <v>21</v>
      </c>
      <c r="E373" s="4" t="s">
        <v>21</v>
      </c>
      <c r="F373" s="4">
        <f t="shared" si="2"/>
        <v>15</v>
      </c>
    </row>
    <row r="374">
      <c r="A374" s="5">
        <v>44655.58112268519</v>
      </c>
      <c r="B374" s="7">
        <f t="shared" si="1"/>
        <v>44655</v>
      </c>
      <c r="C374" s="33" t="s">
        <v>3</v>
      </c>
      <c r="D374" s="4" t="s">
        <v>21</v>
      </c>
      <c r="E374" s="4" t="s">
        <v>21</v>
      </c>
      <c r="F374" s="4">
        <f t="shared" si="2"/>
        <v>15</v>
      </c>
    </row>
    <row r="375">
      <c r="A375" s="5">
        <v>44655.58190972222</v>
      </c>
      <c r="B375" s="7">
        <f t="shared" si="1"/>
        <v>44655</v>
      </c>
      <c r="C375" s="33" t="s">
        <v>3</v>
      </c>
      <c r="D375" s="4" t="s">
        <v>21</v>
      </c>
      <c r="E375" s="4" t="s">
        <v>21</v>
      </c>
      <c r="F375" s="4">
        <f t="shared" si="2"/>
        <v>15</v>
      </c>
    </row>
    <row r="376">
      <c r="A376" s="5">
        <v>44655.58290509259</v>
      </c>
      <c r="B376" s="7">
        <f t="shared" si="1"/>
        <v>44655</v>
      </c>
      <c r="C376" s="33" t="s">
        <v>3</v>
      </c>
      <c r="D376" s="4" t="s">
        <v>21</v>
      </c>
      <c r="E376" s="4" t="s">
        <v>21</v>
      </c>
      <c r="F376" s="4">
        <f t="shared" si="2"/>
        <v>15</v>
      </c>
    </row>
    <row r="377">
      <c r="A377" s="5">
        <v>44655.58320601852</v>
      </c>
      <c r="B377" s="7">
        <f t="shared" si="1"/>
        <v>44655</v>
      </c>
      <c r="C377" s="33" t="s">
        <v>3</v>
      </c>
      <c r="D377" s="4" t="s">
        <v>21</v>
      </c>
      <c r="E377" s="4" t="s">
        <v>21</v>
      </c>
      <c r="F377" s="4">
        <f t="shared" si="2"/>
        <v>15</v>
      </c>
    </row>
    <row r="378">
      <c r="A378" s="5">
        <v>44655.58347222222</v>
      </c>
      <c r="B378" s="7">
        <f t="shared" si="1"/>
        <v>44655</v>
      </c>
      <c r="C378" s="33" t="s">
        <v>3</v>
      </c>
      <c r="D378" s="4" t="s">
        <v>21</v>
      </c>
      <c r="E378" s="4" t="s">
        <v>21</v>
      </c>
      <c r="F378" s="4">
        <f t="shared" si="2"/>
        <v>15</v>
      </c>
    </row>
    <row r="379">
      <c r="A379" s="5">
        <v>44655.58678240741</v>
      </c>
      <c r="B379" s="7">
        <f t="shared" si="1"/>
        <v>44655</v>
      </c>
      <c r="C379" s="33" t="s">
        <v>3</v>
      </c>
      <c r="D379" s="4" t="s">
        <v>21</v>
      </c>
      <c r="E379" s="4" t="s">
        <v>21</v>
      </c>
      <c r="F379" s="4">
        <f t="shared" si="2"/>
        <v>15</v>
      </c>
    </row>
    <row r="380">
      <c r="A380" s="5">
        <v>44655.588587962964</v>
      </c>
      <c r="B380" s="7">
        <f t="shared" si="1"/>
        <v>44655</v>
      </c>
      <c r="C380" s="33" t="s">
        <v>3</v>
      </c>
      <c r="D380" s="4" t="s">
        <v>21</v>
      </c>
      <c r="E380" s="4" t="s">
        <v>21</v>
      </c>
      <c r="F380" s="4">
        <f t="shared" si="2"/>
        <v>15</v>
      </c>
    </row>
    <row r="381">
      <c r="A381" s="5">
        <v>44655.589525462965</v>
      </c>
      <c r="B381" s="7">
        <f t="shared" si="1"/>
        <v>44655</v>
      </c>
      <c r="C381" s="33" t="s">
        <v>3</v>
      </c>
      <c r="D381" s="4" t="s">
        <v>21</v>
      </c>
      <c r="E381" s="4" t="s">
        <v>21</v>
      </c>
      <c r="F381" s="4">
        <f t="shared" si="2"/>
        <v>15</v>
      </c>
    </row>
    <row r="382">
      <c r="A382" s="5">
        <v>44655.61748842592</v>
      </c>
      <c r="B382" s="7">
        <f t="shared" si="1"/>
        <v>44655</v>
      </c>
      <c r="C382" s="33" t="s">
        <v>3</v>
      </c>
      <c r="D382" s="4" t="s">
        <v>21</v>
      </c>
      <c r="E382" s="4" t="s">
        <v>21</v>
      </c>
      <c r="F382" s="4">
        <f t="shared" si="2"/>
        <v>15</v>
      </c>
    </row>
    <row r="383">
      <c r="A383" s="5">
        <v>44734.551412037035</v>
      </c>
      <c r="B383" s="7">
        <f t="shared" si="1"/>
        <v>44734</v>
      </c>
      <c r="C383" s="33" t="s">
        <v>3</v>
      </c>
      <c r="D383" s="4" t="s">
        <v>21</v>
      </c>
      <c r="E383" s="4" t="s">
        <v>21</v>
      </c>
      <c r="F383" s="4">
        <f t="shared" si="2"/>
        <v>26</v>
      </c>
    </row>
    <row r="384">
      <c r="A384" s="5">
        <v>44734.55204861111</v>
      </c>
      <c r="B384" s="7">
        <f t="shared" si="1"/>
        <v>44734</v>
      </c>
      <c r="C384" s="33" t="s">
        <v>3</v>
      </c>
      <c r="D384" s="4" t="s">
        <v>21</v>
      </c>
      <c r="E384" s="4" t="s">
        <v>21</v>
      </c>
      <c r="F384" s="4">
        <f t="shared" si="2"/>
        <v>26</v>
      </c>
    </row>
    <row r="385">
      <c r="A385" s="5">
        <v>44734.55226851852</v>
      </c>
      <c r="B385" s="7">
        <f t="shared" si="1"/>
        <v>44734</v>
      </c>
      <c r="C385" s="33" t="s">
        <v>3</v>
      </c>
      <c r="D385" s="4" t="s">
        <v>21</v>
      </c>
      <c r="E385" s="4" t="s">
        <v>21</v>
      </c>
      <c r="F385" s="4">
        <f t="shared" si="2"/>
        <v>26</v>
      </c>
    </row>
    <row r="386">
      <c r="A386" s="5">
        <v>44734.55296296296</v>
      </c>
      <c r="B386" s="7">
        <f t="shared" si="1"/>
        <v>44734</v>
      </c>
      <c r="C386" s="33" t="s">
        <v>3</v>
      </c>
      <c r="D386" s="4" t="s">
        <v>21</v>
      </c>
      <c r="E386" s="4" t="s">
        <v>21</v>
      </c>
      <c r="F386" s="4">
        <f t="shared" si="2"/>
        <v>26</v>
      </c>
    </row>
    <row r="387">
      <c r="A387" s="5">
        <v>44734.55321759259</v>
      </c>
      <c r="B387" s="7">
        <f t="shared" si="1"/>
        <v>44734</v>
      </c>
      <c r="C387" s="33" t="s">
        <v>3</v>
      </c>
      <c r="D387" s="4" t="s">
        <v>21</v>
      </c>
      <c r="E387" s="4" t="s">
        <v>21</v>
      </c>
      <c r="F387" s="4">
        <f t="shared" si="2"/>
        <v>26</v>
      </c>
    </row>
    <row r="388">
      <c r="A388" s="5">
        <v>44734.55482638889</v>
      </c>
      <c r="B388" s="7">
        <f t="shared" si="1"/>
        <v>44734</v>
      </c>
      <c r="C388" s="33" t="s">
        <v>3</v>
      </c>
      <c r="D388" s="4" t="s">
        <v>21</v>
      </c>
      <c r="E388" s="4" t="s">
        <v>21</v>
      </c>
      <c r="F388" s="4">
        <f t="shared" si="2"/>
        <v>26</v>
      </c>
    </row>
    <row r="389">
      <c r="A389" s="5">
        <v>44734.55517361111</v>
      </c>
      <c r="B389" s="7">
        <f t="shared" si="1"/>
        <v>44734</v>
      </c>
      <c r="C389" s="33" t="s">
        <v>3</v>
      </c>
      <c r="D389" s="4" t="s">
        <v>21</v>
      </c>
      <c r="E389" s="4" t="s">
        <v>21</v>
      </c>
      <c r="F389" s="4">
        <f t="shared" si="2"/>
        <v>26</v>
      </c>
    </row>
    <row r="390">
      <c r="A390" s="5">
        <v>44734.560752314814</v>
      </c>
      <c r="B390" s="7">
        <f t="shared" si="1"/>
        <v>44734</v>
      </c>
      <c r="C390" s="33" t="s">
        <v>3</v>
      </c>
      <c r="D390" s="4" t="s">
        <v>21</v>
      </c>
      <c r="E390" s="4" t="s">
        <v>21</v>
      </c>
      <c r="F390" s="4">
        <f t="shared" si="2"/>
        <v>26</v>
      </c>
    </row>
    <row r="391">
      <c r="A391" s="5">
        <v>44734.56159722222</v>
      </c>
      <c r="B391" s="7">
        <f t="shared" si="1"/>
        <v>44734</v>
      </c>
      <c r="C391" s="33" t="s">
        <v>3</v>
      </c>
      <c r="D391" s="4" t="s">
        <v>21</v>
      </c>
      <c r="E391" s="4" t="s">
        <v>21</v>
      </c>
      <c r="F391" s="4">
        <f t="shared" si="2"/>
        <v>26</v>
      </c>
    </row>
    <row r="392">
      <c r="A392" s="5">
        <v>44734.56539351852</v>
      </c>
      <c r="B392" s="7">
        <f t="shared" si="1"/>
        <v>44734</v>
      </c>
      <c r="C392" s="33" t="s">
        <v>3</v>
      </c>
      <c r="D392" s="4" t="s">
        <v>21</v>
      </c>
      <c r="E392" s="4" t="s">
        <v>21</v>
      </c>
      <c r="F392" s="4">
        <f t="shared" si="2"/>
        <v>26</v>
      </c>
    </row>
    <row r="393">
      <c r="A393" s="5">
        <v>44734.565625</v>
      </c>
      <c r="B393" s="7">
        <f t="shared" si="1"/>
        <v>44734</v>
      </c>
      <c r="C393" s="33" t="s">
        <v>3</v>
      </c>
      <c r="D393" s="4" t="s">
        <v>21</v>
      </c>
      <c r="E393" s="4" t="s">
        <v>21</v>
      </c>
      <c r="F393" s="4">
        <f t="shared" si="2"/>
        <v>26</v>
      </c>
    </row>
    <row r="394">
      <c r="A394" s="5">
        <v>44734.60519675926</v>
      </c>
      <c r="B394" s="7">
        <f t="shared" si="1"/>
        <v>44734</v>
      </c>
      <c r="C394" s="33" t="s">
        <v>3</v>
      </c>
      <c r="D394" s="4" t="s">
        <v>21</v>
      </c>
      <c r="E394" s="4" t="s">
        <v>21</v>
      </c>
      <c r="F394" s="4">
        <f t="shared" si="2"/>
        <v>26</v>
      </c>
    </row>
    <row r="395">
      <c r="A395" s="5">
        <v>44734.605405092596</v>
      </c>
      <c r="B395" s="7">
        <f t="shared" si="1"/>
        <v>44734</v>
      </c>
      <c r="C395" s="33" t="s">
        <v>3</v>
      </c>
      <c r="D395" s="4" t="s">
        <v>21</v>
      </c>
      <c r="E395" s="4" t="s">
        <v>21</v>
      </c>
      <c r="F395" s="4">
        <f t="shared" si="2"/>
        <v>26</v>
      </c>
    </row>
    <row r="396">
      <c r="A396" s="5">
        <v>44734.60600694444</v>
      </c>
      <c r="B396" s="7">
        <f t="shared" si="1"/>
        <v>44734</v>
      </c>
      <c r="C396" s="33" t="s">
        <v>3</v>
      </c>
      <c r="D396" s="4" t="s">
        <v>21</v>
      </c>
      <c r="E396" s="4" t="s">
        <v>21</v>
      </c>
      <c r="F396" s="4">
        <f t="shared" si="2"/>
        <v>26</v>
      </c>
    </row>
    <row r="397">
      <c r="A397" s="5">
        <v>44734.60790509259</v>
      </c>
      <c r="B397" s="7">
        <f t="shared" si="1"/>
        <v>44734</v>
      </c>
      <c r="C397" s="33" t="s">
        <v>3</v>
      </c>
      <c r="D397" s="4" t="s">
        <v>21</v>
      </c>
      <c r="E397" s="4" t="s">
        <v>21</v>
      </c>
      <c r="F397" s="4">
        <f t="shared" si="2"/>
        <v>26</v>
      </c>
    </row>
    <row r="398">
      <c r="A398" s="5">
        <v>44734.60888888889</v>
      </c>
      <c r="B398" s="7">
        <f t="shared" si="1"/>
        <v>44734</v>
      </c>
      <c r="C398" s="33" t="s">
        <v>3</v>
      </c>
      <c r="D398" s="4" t="s">
        <v>21</v>
      </c>
      <c r="E398" s="4" t="s">
        <v>21</v>
      </c>
      <c r="F398" s="4">
        <f t="shared" si="2"/>
        <v>26</v>
      </c>
    </row>
    <row r="399">
      <c r="A399" s="5">
        <v>44734.609444444446</v>
      </c>
      <c r="B399" s="7">
        <f t="shared" si="1"/>
        <v>44734</v>
      </c>
      <c r="C399" s="33" t="s">
        <v>3</v>
      </c>
      <c r="D399" s="4" t="s">
        <v>21</v>
      </c>
      <c r="E399" s="4" t="s">
        <v>21</v>
      </c>
      <c r="F399" s="4">
        <f t="shared" si="2"/>
        <v>26</v>
      </c>
    </row>
    <row r="400">
      <c r="A400" s="5">
        <v>44734.6099537037</v>
      </c>
      <c r="B400" s="7">
        <f t="shared" si="1"/>
        <v>44734</v>
      </c>
      <c r="C400" s="33" t="s">
        <v>3</v>
      </c>
      <c r="D400" s="4" t="s">
        <v>21</v>
      </c>
      <c r="E400" s="4" t="s">
        <v>21</v>
      </c>
      <c r="F400" s="4">
        <f t="shared" si="2"/>
        <v>26</v>
      </c>
    </row>
    <row r="401">
      <c r="A401" s="5">
        <v>44734.611608796295</v>
      </c>
      <c r="B401" s="7">
        <f t="shared" si="1"/>
        <v>44734</v>
      </c>
      <c r="C401" s="33" t="s">
        <v>3</v>
      </c>
      <c r="D401" s="4" t="s">
        <v>21</v>
      </c>
      <c r="E401" s="4" t="s">
        <v>21</v>
      </c>
      <c r="F401" s="4">
        <f t="shared" si="2"/>
        <v>26</v>
      </c>
    </row>
    <row r="402">
      <c r="A402" s="5">
        <v>44734.61185185185</v>
      </c>
      <c r="B402" s="7">
        <f t="shared" si="1"/>
        <v>44734</v>
      </c>
      <c r="C402" s="33" t="s">
        <v>3</v>
      </c>
      <c r="D402" s="4" t="s">
        <v>21</v>
      </c>
      <c r="E402" s="4" t="s">
        <v>21</v>
      </c>
      <c r="F402" s="4">
        <f t="shared" si="2"/>
        <v>26</v>
      </c>
    </row>
    <row r="403">
      <c r="A403" s="5">
        <v>44734.61280092593</v>
      </c>
      <c r="B403" s="7">
        <f t="shared" si="1"/>
        <v>44734</v>
      </c>
      <c r="C403" s="33" t="s">
        <v>3</v>
      </c>
      <c r="D403" s="4" t="s">
        <v>21</v>
      </c>
      <c r="E403" s="4" t="s">
        <v>21</v>
      </c>
      <c r="F403" s="4">
        <f t="shared" si="2"/>
        <v>26</v>
      </c>
    </row>
    <row r="404">
      <c r="A404" s="5">
        <v>44734.61329861111</v>
      </c>
      <c r="B404" s="7">
        <f t="shared" si="1"/>
        <v>44734</v>
      </c>
      <c r="C404" s="33" t="s">
        <v>3</v>
      </c>
      <c r="D404" s="4" t="s">
        <v>21</v>
      </c>
      <c r="E404" s="4" t="s">
        <v>21</v>
      </c>
      <c r="F404" s="4">
        <f t="shared" si="2"/>
        <v>26</v>
      </c>
    </row>
    <row r="405">
      <c r="A405" s="5">
        <v>44734.61572916667</v>
      </c>
      <c r="B405" s="7">
        <f t="shared" si="1"/>
        <v>44734</v>
      </c>
      <c r="C405" s="33" t="s">
        <v>3</v>
      </c>
      <c r="D405" s="4" t="s">
        <v>21</v>
      </c>
      <c r="E405" s="4" t="s">
        <v>21</v>
      </c>
      <c r="F405" s="4">
        <f t="shared" si="2"/>
        <v>26</v>
      </c>
    </row>
    <row r="406">
      <c r="A406" s="5">
        <v>44734.621145833335</v>
      </c>
      <c r="B406" s="7">
        <f t="shared" si="1"/>
        <v>44734</v>
      </c>
      <c r="C406" s="33" t="s">
        <v>3</v>
      </c>
      <c r="D406" s="4" t="s">
        <v>21</v>
      </c>
      <c r="E406" s="4" t="s">
        <v>21</v>
      </c>
      <c r="F406" s="4">
        <f t="shared" si="2"/>
        <v>26</v>
      </c>
    </row>
    <row r="407">
      <c r="A407" s="5">
        <v>44734.62149305556</v>
      </c>
      <c r="B407" s="7">
        <f t="shared" si="1"/>
        <v>44734</v>
      </c>
      <c r="C407" s="33" t="s">
        <v>3</v>
      </c>
      <c r="D407" s="4" t="s">
        <v>21</v>
      </c>
      <c r="E407" s="4" t="s">
        <v>21</v>
      </c>
      <c r="F407" s="4">
        <f t="shared" si="2"/>
        <v>26</v>
      </c>
    </row>
    <row r="408">
      <c r="A408" s="5">
        <v>44735.58390046296</v>
      </c>
      <c r="B408" s="7">
        <f t="shared" si="1"/>
        <v>44735</v>
      </c>
      <c r="C408" s="33" t="s">
        <v>3</v>
      </c>
      <c r="D408" s="4" t="s">
        <v>21</v>
      </c>
      <c r="E408" s="4" t="s">
        <v>21</v>
      </c>
      <c r="F408" s="4">
        <f t="shared" si="2"/>
        <v>26</v>
      </c>
    </row>
    <row r="409">
      <c r="A409" s="5">
        <v>44459.363912037035</v>
      </c>
      <c r="B409" s="7">
        <f t="shared" si="1"/>
        <v>44459</v>
      </c>
      <c r="C409" s="33" t="s">
        <v>3</v>
      </c>
      <c r="D409" s="4" t="s">
        <v>21</v>
      </c>
      <c r="E409" s="4" t="s">
        <v>21</v>
      </c>
      <c r="F409" s="4">
        <f t="shared" si="2"/>
        <v>39</v>
      </c>
    </row>
    <row r="410">
      <c r="A410" s="5">
        <v>44508.536574074074</v>
      </c>
      <c r="B410" s="7">
        <f t="shared" si="1"/>
        <v>44508</v>
      </c>
      <c r="C410" s="33" t="s">
        <v>3</v>
      </c>
      <c r="D410" s="4" t="s">
        <v>21</v>
      </c>
      <c r="E410" s="4" t="s">
        <v>21</v>
      </c>
      <c r="F410" s="4">
        <f t="shared" si="2"/>
        <v>46</v>
      </c>
    </row>
    <row r="411">
      <c r="A411" s="5">
        <v>44511.593090277776</v>
      </c>
      <c r="B411" s="7">
        <f t="shared" si="1"/>
        <v>44511</v>
      </c>
      <c r="C411" s="33" t="s">
        <v>3</v>
      </c>
      <c r="D411" s="4" t="s">
        <v>21</v>
      </c>
      <c r="E411" s="4" t="s">
        <v>21</v>
      </c>
      <c r="F411" s="4">
        <f t="shared" si="2"/>
        <v>46</v>
      </c>
    </row>
    <row r="412">
      <c r="A412" s="5">
        <v>44518.44364583334</v>
      </c>
      <c r="B412" s="7">
        <f t="shared" si="1"/>
        <v>44518</v>
      </c>
      <c r="C412" s="33" t="s">
        <v>3</v>
      </c>
      <c r="D412" s="4" t="s">
        <v>21</v>
      </c>
      <c r="E412" s="4" t="s">
        <v>21</v>
      </c>
      <c r="F412" s="4">
        <f t="shared" si="2"/>
        <v>47</v>
      </c>
    </row>
    <row r="413">
      <c r="A413" s="5">
        <v>44531.790925925925</v>
      </c>
      <c r="B413" s="7">
        <f t="shared" si="1"/>
        <v>44531</v>
      </c>
      <c r="C413" s="33" t="s">
        <v>3</v>
      </c>
      <c r="D413" s="4" t="s">
        <v>21</v>
      </c>
      <c r="E413" s="4" t="s">
        <v>21</v>
      </c>
      <c r="F413" s="4">
        <f t="shared" si="2"/>
        <v>49</v>
      </c>
    </row>
    <row r="414">
      <c r="A414" s="5">
        <v>44539.55465277778</v>
      </c>
      <c r="B414" s="7">
        <f t="shared" si="1"/>
        <v>44539</v>
      </c>
      <c r="C414" s="33" t="s">
        <v>3</v>
      </c>
      <c r="D414" s="4" t="s">
        <v>21</v>
      </c>
      <c r="E414" s="4" t="s">
        <v>21</v>
      </c>
      <c r="F414" s="4">
        <f t="shared" si="2"/>
        <v>50</v>
      </c>
    </row>
    <row r="415">
      <c r="A415" s="5">
        <v>44565.333402777775</v>
      </c>
      <c r="B415" s="7">
        <f t="shared" si="1"/>
        <v>44565</v>
      </c>
      <c r="C415" s="33" t="s">
        <v>3</v>
      </c>
      <c r="D415" s="4" t="s">
        <v>23</v>
      </c>
      <c r="E415" s="4" t="s">
        <v>21</v>
      </c>
      <c r="F415" s="4">
        <f t="shared" si="2"/>
        <v>2</v>
      </c>
    </row>
    <row r="416">
      <c r="A416" s="5">
        <v>44588.37267361111</v>
      </c>
      <c r="B416" s="7">
        <f t="shared" si="1"/>
        <v>44588</v>
      </c>
      <c r="C416" s="33" t="s">
        <v>3</v>
      </c>
      <c r="D416" s="4" t="s">
        <v>21</v>
      </c>
      <c r="E416" s="4" t="s">
        <v>21</v>
      </c>
      <c r="F416" s="4">
        <f t="shared" si="2"/>
        <v>5</v>
      </c>
    </row>
    <row r="417">
      <c r="A417" s="5">
        <v>44588.376493055555</v>
      </c>
      <c r="B417" s="7">
        <f t="shared" si="1"/>
        <v>44588</v>
      </c>
      <c r="C417" s="33" t="s">
        <v>3</v>
      </c>
      <c r="D417" s="4" t="s">
        <v>21</v>
      </c>
      <c r="E417" s="4" t="s">
        <v>21</v>
      </c>
      <c r="F417" s="4">
        <f t="shared" si="2"/>
        <v>5</v>
      </c>
    </row>
    <row r="418">
      <c r="A418" s="5">
        <v>44603.95438657407</v>
      </c>
      <c r="B418" s="7">
        <f t="shared" si="1"/>
        <v>44603</v>
      </c>
      <c r="C418" s="33" t="s">
        <v>3</v>
      </c>
      <c r="D418" s="4" t="s">
        <v>21</v>
      </c>
      <c r="E418" s="4" t="s">
        <v>21</v>
      </c>
      <c r="F418" s="4">
        <f t="shared" si="2"/>
        <v>7</v>
      </c>
    </row>
    <row r="419">
      <c r="A419" s="5">
        <v>44629.45259259259</v>
      </c>
      <c r="B419" s="7">
        <f t="shared" si="1"/>
        <v>44629</v>
      </c>
      <c r="C419" s="33" t="s">
        <v>3</v>
      </c>
      <c r="D419" s="4" t="s">
        <v>21</v>
      </c>
      <c r="E419" s="4" t="s">
        <v>21</v>
      </c>
      <c r="F419" s="4">
        <f t="shared" si="2"/>
        <v>11</v>
      </c>
    </row>
    <row r="420">
      <c r="A420" s="5">
        <v>44637.616423611114</v>
      </c>
      <c r="B420" s="7">
        <f t="shared" si="1"/>
        <v>44637</v>
      </c>
      <c r="C420" s="33" t="s">
        <v>3</v>
      </c>
      <c r="D420" s="4" t="s">
        <v>21</v>
      </c>
      <c r="E420" s="4" t="s">
        <v>21</v>
      </c>
      <c r="F420" s="4">
        <f t="shared" si="2"/>
        <v>12</v>
      </c>
    </row>
    <row r="421">
      <c r="A421" s="5">
        <v>44657.48096064815</v>
      </c>
      <c r="B421" s="7">
        <f t="shared" si="1"/>
        <v>44657</v>
      </c>
      <c r="C421" s="33" t="s">
        <v>3</v>
      </c>
      <c r="D421" s="4" t="s">
        <v>21</v>
      </c>
      <c r="E421" s="4" t="s">
        <v>21</v>
      </c>
      <c r="F421" s="4">
        <f t="shared" si="2"/>
        <v>15</v>
      </c>
    </row>
    <row r="422">
      <c r="A422" s="5">
        <v>44657.52193287037</v>
      </c>
      <c r="B422" s="7">
        <f t="shared" si="1"/>
        <v>44657</v>
      </c>
      <c r="C422" s="33" t="s">
        <v>3</v>
      </c>
      <c r="D422" s="4" t="s">
        <v>21</v>
      </c>
      <c r="E422" s="4" t="s">
        <v>21</v>
      </c>
      <c r="F422" s="4">
        <f t="shared" si="2"/>
        <v>15</v>
      </c>
    </row>
    <row r="423">
      <c r="A423" s="5">
        <v>44658.63380787037</v>
      </c>
      <c r="B423" s="7">
        <f t="shared" si="1"/>
        <v>44658</v>
      </c>
      <c r="C423" s="33" t="s">
        <v>3</v>
      </c>
      <c r="D423" s="4" t="s">
        <v>21</v>
      </c>
      <c r="E423" s="4" t="s">
        <v>21</v>
      </c>
      <c r="F423" s="4">
        <f t="shared" si="2"/>
        <v>15</v>
      </c>
    </row>
    <row r="424">
      <c r="A424" s="5">
        <v>44670.50261574074</v>
      </c>
      <c r="B424" s="7">
        <f t="shared" si="1"/>
        <v>44670</v>
      </c>
      <c r="C424" s="33" t="s">
        <v>3</v>
      </c>
      <c r="D424" s="4" t="s">
        <v>21</v>
      </c>
      <c r="E424" s="4" t="s">
        <v>21</v>
      </c>
      <c r="F424" s="4">
        <f t="shared" si="2"/>
        <v>17</v>
      </c>
    </row>
    <row r="425">
      <c r="A425" s="5">
        <v>44687.36900462963</v>
      </c>
      <c r="B425" s="7">
        <f t="shared" si="1"/>
        <v>44687</v>
      </c>
      <c r="C425" s="33" t="s">
        <v>3</v>
      </c>
      <c r="D425" s="4" t="s">
        <v>21</v>
      </c>
      <c r="E425" s="4" t="s">
        <v>21</v>
      </c>
      <c r="F425" s="4">
        <f t="shared" si="2"/>
        <v>19</v>
      </c>
    </row>
    <row r="426">
      <c r="A426" s="5">
        <v>44692.38214120371</v>
      </c>
      <c r="B426" s="7">
        <f t="shared" si="1"/>
        <v>44692</v>
      </c>
      <c r="C426" s="33" t="s">
        <v>3</v>
      </c>
      <c r="D426" s="4" t="s">
        <v>21</v>
      </c>
      <c r="E426" s="4" t="s">
        <v>21</v>
      </c>
      <c r="F426" s="4">
        <f t="shared" si="2"/>
        <v>20</v>
      </c>
    </row>
    <row r="427">
      <c r="A427" s="5">
        <v>44701.42533564815</v>
      </c>
      <c r="B427" s="7">
        <f t="shared" si="1"/>
        <v>44701</v>
      </c>
      <c r="C427" s="33" t="s">
        <v>3</v>
      </c>
      <c r="D427" s="4" t="s">
        <v>21</v>
      </c>
      <c r="E427" s="4" t="s">
        <v>21</v>
      </c>
      <c r="F427" s="4">
        <f t="shared" si="2"/>
        <v>21</v>
      </c>
    </row>
    <row r="428">
      <c r="A428" s="5">
        <v>44725.22988425926</v>
      </c>
      <c r="B428" s="7">
        <f t="shared" si="1"/>
        <v>44725</v>
      </c>
      <c r="C428" s="33" t="s">
        <v>3</v>
      </c>
      <c r="D428" s="4" t="s">
        <v>21</v>
      </c>
      <c r="E428" s="4" t="s">
        <v>21</v>
      </c>
      <c r="F428" s="4">
        <f t="shared" si="2"/>
        <v>25</v>
      </c>
    </row>
    <row r="429">
      <c r="A429" s="5">
        <v>44637.66903935185</v>
      </c>
      <c r="B429" s="7">
        <f t="shared" si="1"/>
        <v>44637</v>
      </c>
      <c r="C429" s="33" t="s">
        <v>3</v>
      </c>
      <c r="D429" s="4" t="s">
        <v>21</v>
      </c>
      <c r="E429" s="4" t="s">
        <v>21</v>
      </c>
      <c r="F429" s="4">
        <f t="shared" si="2"/>
        <v>12</v>
      </c>
    </row>
    <row r="430">
      <c r="A430" s="5">
        <v>44519.64394675926</v>
      </c>
      <c r="B430" s="7">
        <f t="shared" si="1"/>
        <v>44519</v>
      </c>
      <c r="C430" s="33" t="s">
        <v>3</v>
      </c>
      <c r="D430" s="4" t="s">
        <v>21</v>
      </c>
      <c r="E430" s="4" t="s">
        <v>21</v>
      </c>
      <c r="F430" s="4">
        <f t="shared" si="2"/>
        <v>47</v>
      </c>
    </row>
    <row r="431">
      <c r="A431" s="5">
        <v>44663.6397337963</v>
      </c>
      <c r="B431" s="7">
        <f t="shared" si="1"/>
        <v>44663</v>
      </c>
      <c r="C431" s="33" t="s">
        <v>3</v>
      </c>
      <c r="D431" s="4" t="s">
        <v>21</v>
      </c>
      <c r="E431" s="4" t="s">
        <v>21</v>
      </c>
      <c r="F431" s="4">
        <f t="shared" si="2"/>
        <v>16</v>
      </c>
    </row>
    <row r="432">
      <c r="A432" s="5">
        <v>44663.692291666666</v>
      </c>
      <c r="B432" s="7">
        <f t="shared" si="1"/>
        <v>44663</v>
      </c>
      <c r="C432" s="33" t="s">
        <v>3</v>
      </c>
      <c r="D432" s="4" t="s">
        <v>21</v>
      </c>
      <c r="E432" s="4" t="s">
        <v>21</v>
      </c>
      <c r="F432" s="4">
        <f t="shared" si="2"/>
        <v>16</v>
      </c>
    </row>
    <row r="433">
      <c r="A433" s="5">
        <v>44663.70042824074</v>
      </c>
      <c r="B433" s="7">
        <f t="shared" si="1"/>
        <v>44663</v>
      </c>
      <c r="C433" s="33" t="s">
        <v>3</v>
      </c>
      <c r="D433" s="4" t="s">
        <v>21</v>
      </c>
      <c r="E433" s="4" t="s">
        <v>21</v>
      </c>
      <c r="F433" s="4">
        <f t="shared" si="2"/>
        <v>16</v>
      </c>
    </row>
    <row r="434">
      <c r="A434" s="5">
        <v>44698.54381944444</v>
      </c>
      <c r="B434" s="7">
        <f t="shared" si="1"/>
        <v>44698</v>
      </c>
      <c r="C434" s="33" t="s">
        <v>3</v>
      </c>
      <c r="D434" s="4" t="s">
        <v>21</v>
      </c>
      <c r="E434" s="4" t="s">
        <v>21</v>
      </c>
      <c r="F434" s="4">
        <f t="shared" si="2"/>
        <v>21</v>
      </c>
    </row>
    <row r="435">
      <c r="A435" s="5">
        <v>44698.5652662037</v>
      </c>
      <c r="B435" s="7">
        <f t="shared" si="1"/>
        <v>44698</v>
      </c>
      <c r="C435" s="33" t="s">
        <v>3</v>
      </c>
      <c r="D435" s="4" t="s">
        <v>21</v>
      </c>
      <c r="E435" s="4" t="s">
        <v>21</v>
      </c>
      <c r="F435" s="4">
        <f t="shared" si="2"/>
        <v>21</v>
      </c>
    </row>
    <row r="436">
      <c r="A436" s="5">
        <v>44704.62946759259</v>
      </c>
      <c r="B436" s="7">
        <f t="shared" si="1"/>
        <v>44704</v>
      </c>
      <c r="C436" s="33" t="s">
        <v>3</v>
      </c>
      <c r="D436" s="4" t="s">
        <v>21</v>
      </c>
      <c r="E436" s="4" t="s">
        <v>21</v>
      </c>
      <c r="F436" s="4">
        <f t="shared" si="2"/>
        <v>22</v>
      </c>
    </row>
    <row r="437">
      <c r="A437" s="5">
        <v>44719.623148148145</v>
      </c>
      <c r="B437" s="7">
        <f t="shared" si="1"/>
        <v>44719</v>
      </c>
      <c r="C437" s="33" t="s">
        <v>3</v>
      </c>
      <c r="D437" s="4" t="s">
        <v>21</v>
      </c>
      <c r="E437" s="4" t="s">
        <v>21</v>
      </c>
      <c r="F437" s="4">
        <f t="shared" si="2"/>
        <v>24</v>
      </c>
    </row>
    <row r="438">
      <c r="A438" s="5">
        <v>44394.63528935185</v>
      </c>
      <c r="B438" s="7">
        <f t="shared" si="1"/>
        <v>44394</v>
      </c>
      <c r="C438" s="33" t="s">
        <v>3</v>
      </c>
      <c r="D438" s="4" t="s">
        <v>21</v>
      </c>
      <c r="E438" s="4" t="s">
        <v>21</v>
      </c>
      <c r="F438" s="4">
        <f t="shared" si="2"/>
        <v>29</v>
      </c>
    </row>
    <row r="439">
      <c r="A439" s="5">
        <v>44441.52185185185</v>
      </c>
      <c r="B439" s="7">
        <f t="shared" si="1"/>
        <v>44441</v>
      </c>
      <c r="C439" s="33" t="s">
        <v>3</v>
      </c>
      <c r="D439" s="4" t="s">
        <v>21</v>
      </c>
      <c r="E439" s="4" t="s">
        <v>21</v>
      </c>
      <c r="F439" s="4">
        <f t="shared" si="2"/>
        <v>36</v>
      </c>
    </row>
    <row r="440">
      <c r="A440" s="5">
        <v>44523.48353009259</v>
      </c>
      <c r="B440" s="7">
        <f t="shared" si="1"/>
        <v>44523</v>
      </c>
      <c r="C440" s="33" t="s">
        <v>3</v>
      </c>
      <c r="D440" s="4" t="s">
        <v>21</v>
      </c>
      <c r="E440" s="4" t="s">
        <v>21</v>
      </c>
      <c r="F440" s="4">
        <f t="shared" si="2"/>
        <v>48</v>
      </c>
    </row>
    <row r="441">
      <c r="A441" s="5">
        <v>44663.35592592593</v>
      </c>
      <c r="B441" s="7">
        <f t="shared" si="1"/>
        <v>44663</v>
      </c>
      <c r="C441" s="33" t="s">
        <v>3</v>
      </c>
      <c r="D441" s="4" t="s">
        <v>21</v>
      </c>
      <c r="E441" s="4" t="s">
        <v>21</v>
      </c>
      <c r="F441" s="4">
        <f t="shared" si="2"/>
        <v>16</v>
      </c>
    </row>
    <row r="442">
      <c r="A442" s="5">
        <v>44543.89144675926</v>
      </c>
      <c r="B442" s="7">
        <f t="shared" si="1"/>
        <v>44543</v>
      </c>
      <c r="C442" s="33" t="s">
        <v>3</v>
      </c>
      <c r="D442" s="4" t="s">
        <v>21</v>
      </c>
      <c r="E442" s="4" t="s">
        <v>21</v>
      </c>
      <c r="F442" s="4">
        <f t="shared" si="2"/>
        <v>51</v>
      </c>
    </row>
    <row r="443">
      <c r="A443" s="5">
        <v>44467.447847222225</v>
      </c>
      <c r="B443" s="7">
        <f t="shared" si="1"/>
        <v>44467</v>
      </c>
      <c r="C443" s="33" t="s">
        <v>3</v>
      </c>
      <c r="D443" s="4" t="s">
        <v>21</v>
      </c>
      <c r="E443" s="4" t="s">
        <v>21</v>
      </c>
      <c r="F443" s="4">
        <f t="shared" si="2"/>
        <v>40</v>
      </c>
    </row>
    <row r="444">
      <c r="A444" s="5">
        <v>44525.42592592593</v>
      </c>
      <c r="B444" s="7">
        <f t="shared" si="1"/>
        <v>44525</v>
      </c>
      <c r="C444" s="33" t="s">
        <v>3</v>
      </c>
      <c r="D444" s="4" t="s">
        <v>21</v>
      </c>
      <c r="E444" s="4" t="s">
        <v>21</v>
      </c>
      <c r="F444" s="4">
        <f t="shared" si="2"/>
        <v>48</v>
      </c>
    </row>
    <row r="445">
      <c r="A445" s="5">
        <v>44480.05019675926</v>
      </c>
      <c r="B445" s="7">
        <f t="shared" si="1"/>
        <v>44480</v>
      </c>
      <c r="C445" s="33" t="s">
        <v>3</v>
      </c>
      <c r="D445" s="4" t="s">
        <v>21</v>
      </c>
      <c r="E445" s="4" t="s">
        <v>21</v>
      </c>
      <c r="F445" s="4">
        <f t="shared" si="2"/>
        <v>42</v>
      </c>
    </row>
    <row r="446">
      <c r="A446" s="5">
        <v>44264.47335648148</v>
      </c>
      <c r="B446" s="7">
        <f t="shared" si="1"/>
        <v>44264</v>
      </c>
      <c r="C446" s="33" t="s">
        <v>15</v>
      </c>
      <c r="D446" s="4" t="s">
        <v>21</v>
      </c>
      <c r="E446" s="4" t="s">
        <v>21</v>
      </c>
      <c r="F446" s="4">
        <f t="shared" si="2"/>
        <v>11</v>
      </c>
    </row>
    <row r="447">
      <c r="A447" s="5">
        <v>44274.13695601852</v>
      </c>
      <c r="B447" s="7">
        <f t="shared" si="1"/>
        <v>44274</v>
      </c>
      <c r="C447" s="33" t="s">
        <v>15</v>
      </c>
      <c r="D447" s="4" t="s">
        <v>21</v>
      </c>
      <c r="E447" s="4" t="s">
        <v>21</v>
      </c>
      <c r="F447" s="4">
        <f t="shared" si="2"/>
        <v>12</v>
      </c>
    </row>
    <row r="448">
      <c r="A448" s="5">
        <v>44231.4184375</v>
      </c>
      <c r="B448" s="7">
        <f t="shared" si="1"/>
        <v>44231</v>
      </c>
      <c r="C448" s="33" t="s">
        <v>15</v>
      </c>
      <c r="D448" s="4" t="s">
        <v>21</v>
      </c>
      <c r="E448" s="4" t="s">
        <v>21</v>
      </c>
      <c r="F448" s="4">
        <f t="shared" si="2"/>
        <v>6</v>
      </c>
    </row>
    <row r="449">
      <c r="A449" s="5">
        <v>44116.53461805556</v>
      </c>
      <c r="B449" s="7">
        <f t="shared" si="1"/>
        <v>44116</v>
      </c>
      <c r="C449" s="33" t="s">
        <v>15</v>
      </c>
      <c r="D449" s="4" t="s">
        <v>21</v>
      </c>
      <c r="E449" s="4" t="s">
        <v>21</v>
      </c>
      <c r="F449" s="4">
        <f t="shared" si="2"/>
        <v>42</v>
      </c>
    </row>
    <row r="450">
      <c r="A450" s="5">
        <v>44266.563206018516</v>
      </c>
      <c r="B450" s="7">
        <f t="shared" si="1"/>
        <v>44266</v>
      </c>
      <c r="C450" s="33" t="s">
        <v>15</v>
      </c>
      <c r="D450" s="4" t="s">
        <v>21</v>
      </c>
      <c r="E450" s="4" t="s">
        <v>21</v>
      </c>
      <c r="F450" s="4">
        <f t="shared" si="2"/>
        <v>11</v>
      </c>
    </row>
    <row r="451">
      <c r="A451" s="5">
        <v>44103.60344907407</v>
      </c>
      <c r="B451" s="7">
        <f t="shared" si="1"/>
        <v>44103</v>
      </c>
      <c r="C451" s="33" t="s">
        <v>15</v>
      </c>
      <c r="D451" s="4" t="s">
        <v>21</v>
      </c>
      <c r="E451" s="4" t="s">
        <v>21</v>
      </c>
      <c r="F451" s="4">
        <f t="shared" si="2"/>
        <v>40</v>
      </c>
    </row>
    <row r="452">
      <c r="A452" s="5">
        <v>44293.86105324074</v>
      </c>
      <c r="B452" s="7">
        <f t="shared" si="1"/>
        <v>44293</v>
      </c>
      <c r="C452" s="33" t="s">
        <v>15</v>
      </c>
      <c r="D452" s="4" t="s">
        <v>21</v>
      </c>
      <c r="E452" s="4" t="s">
        <v>21</v>
      </c>
      <c r="F452" s="4">
        <f t="shared" si="2"/>
        <v>15</v>
      </c>
    </row>
    <row r="453">
      <c r="A453" s="5">
        <v>44209.56334490741</v>
      </c>
      <c r="B453" s="7">
        <f t="shared" si="1"/>
        <v>44209</v>
      </c>
      <c r="C453" s="33" t="s">
        <v>15</v>
      </c>
      <c r="D453" s="4" t="s">
        <v>21</v>
      </c>
      <c r="E453" s="4" t="s">
        <v>21</v>
      </c>
      <c r="F453" s="4">
        <f t="shared" si="2"/>
        <v>3</v>
      </c>
    </row>
    <row r="454">
      <c r="A454" s="5">
        <v>44105.46145833333</v>
      </c>
      <c r="B454" s="7">
        <f t="shared" si="1"/>
        <v>44105</v>
      </c>
      <c r="C454" s="33" t="s">
        <v>15</v>
      </c>
      <c r="D454" s="4" t="s">
        <v>21</v>
      </c>
      <c r="E454" s="4" t="s">
        <v>21</v>
      </c>
      <c r="F454" s="4">
        <f t="shared" si="2"/>
        <v>40</v>
      </c>
    </row>
    <row r="455">
      <c r="A455" s="5">
        <v>44138.70230324074</v>
      </c>
      <c r="B455" s="7">
        <f t="shared" si="1"/>
        <v>44138</v>
      </c>
      <c r="C455" s="33" t="s">
        <v>15</v>
      </c>
      <c r="D455" s="4" t="s">
        <v>21</v>
      </c>
      <c r="E455" s="4" t="s">
        <v>21</v>
      </c>
      <c r="F455" s="4">
        <f t="shared" si="2"/>
        <v>45</v>
      </c>
    </row>
    <row r="456">
      <c r="A456" s="5">
        <v>44190.1544212963</v>
      </c>
      <c r="B456" s="7">
        <f t="shared" si="1"/>
        <v>44190</v>
      </c>
      <c r="C456" s="33" t="s">
        <v>15</v>
      </c>
      <c r="D456" s="4" t="s">
        <v>23</v>
      </c>
      <c r="E456" s="4" t="s">
        <v>21</v>
      </c>
      <c r="F456" s="4">
        <f t="shared" si="2"/>
        <v>52</v>
      </c>
    </row>
    <row r="457">
      <c r="A457" s="5">
        <v>44244.310381944444</v>
      </c>
      <c r="B457" s="7">
        <f t="shared" si="1"/>
        <v>44244</v>
      </c>
      <c r="C457" s="33" t="s">
        <v>15</v>
      </c>
      <c r="D457" s="4" t="s">
        <v>21</v>
      </c>
      <c r="E457" s="4" t="s">
        <v>21</v>
      </c>
      <c r="F457" s="4">
        <f t="shared" si="2"/>
        <v>8</v>
      </c>
    </row>
    <row r="458">
      <c r="A458" s="5">
        <v>44271.384722222225</v>
      </c>
      <c r="B458" s="7">
        <f t="shared" si="1"/>
        <v>44271</v>
      </c>
      <c r="C458" s="33" t="s">
        <v>15</v>
      </c>
      <c r="D458" s="4" t="s">
        <v>21</v>
      </c>
      <c r="E458" s="4" t="s">
        <v>21</v>
      </c>
      <c r="F458" s="4">
        <f t="shared" si="2"/>
        <v>12</v>
      </c>
    </row>
    <row r="459">
      <c r="A459" s="5">
        <v>44284.38381944445</v>
      </c>
      <c r="B459" s="7">
        <f t="shared" si="1"/>
        <v>44284</v>
      </c>
      <c r="C459" s="33" t="s">
        <v>15</v>
      </c>
      <c r="D459" s="4" t="s">
        <v>21</v>
      </c>
      <c r="E459" s="4" t="s">
        <v>21</v>
      </c>
      <c r="F459" s="4">
        <f t="shared" si="2"/>
        <v>14</v>
      </c>
    </row>
    <row r="460">
      <c r="A460" s="5">
        <v>44306.75568287037</v>
      </c>
      <c r="B460" s="7">
        <f t="shared" si="1"/>
        <v>44306</v>
      </c>
      <c r="C460" s="33" t="s">
        <v>15</v>
      </c>
      <c r="D460" s="4" t="s">
        <v>21</v>
      </c>
      <c r="E460" s="4" t="s">
        <v>21</v>
      </c>
      <c r="F460" s="4">
        <f t="shared" si="2"/>
        <v>17</v>
      </c>
    </row>
    <row r="461">
      <c r="A461" s="5">
        <v>44326.418217592596</v>
      </c>
      <c r="B461" s="7">
        <f t="shared" si="1"/>
        <v>44326</v>
      </c>
      <c r="C461" s="33" t="s">
        <v>15</v>
      </c>
      <c r="D461" s="4" t="s">
        <v>21</v>
      </c>
      <c r="E461" s="4" t="s">
        <v>21</v>
      </c>
      <c r="F461" s="4">
        <f t="shared" si="2"/>
        <v>20</v>
      </c>
    </row>
    <row r="462">
      <c r="A462" s="5">
        <v>44372.385243055556</v>
      </c>
      <c r="B462" s="7">
        <f t="shared" si="1"/>
        <v>44372</v>
      </c>
      <c r="C462" s="33" t="s">
        <v>15</v>
      </c>
      <c r="D462" s="4" t="s">
        <v>21</v>
      </c>
      <c r="E462" s="4" t="s">
        <v>21</v>
      </c>
      <c r="F462" s="4">
        <f t="shared" si="2"/>
        <v>26</v>
      </c>
    </row>
    <row r="463">
      <c r="A463" s="5">
        <v>44174.82440972222</v>
      </c>
      <c r="B463" s="7">
        <f t="shared" si="1"/>
        <v>44174</v>
      </c>
      <c r="C463" s="33" t="s">
        <v>15</v>
      </c>
      <c r="D463" s="4" t="s">
        <v>21</v>
      </c>
      <c r="E463" s="4" t="s">
        <v>21</v>
      </c>
      <c r="F463" s="4">
        <f t="shared" si="2"/>
        <v>50</v>
      </c>
    </row>
    <row r="464">
      <c r="A464" s="5">
        <v>44251.647997685184</v>
      </c>
      <c r="B464" s="7">
        <f t="shared" si="1"/>
        <v>44251</v>
      </c>
      <c r="C464" s="33" t="s">
        <v>15</v>
      </c>
      <c r="D464" s="4" t="s">
        <v>21</v>
      </c>
      <c r="E464" s="4" t="s">
        <v>21</v>
      </c>
      <c r="F464" s="4">
        <f t="shared" si="2"/>
        <v>9</v>
      </c>
    </row>
    <row r="465">
      <c r="A465" s="5">
        <v>44110.93696759259</v>
      </c>
      <c r="B465" s="7">
        <f t="shared" si="1"/>
        <v>44110</v>
      </c>
      <c r="C465" s="33" t="s">
        <v>15</v>
      </c>
      <c r="D465" s="4" t="s">
        <v>21</v>
      </c>
      <c r="E465" s="4" t="s">
        <v>21</v>
      </c>
      <c r="F465" s="4">
        <f t="shared" si="2"/>
        <v>41</v>
      </c>
    </row>
    <row r="466">
      <c r="A466" s="5">
        <v>44114.625972222224</v>
      </c>
      <c r="B466" s="7">
        <f t="shared" si="1"/>
        <v>44114</v>
      </c>
      <c r="C466" s="33" t="s">
        <v>15</v>
      </c>
      <c r="D466" s="4" t="s">
        <v>21</v>
      </c>
      <c r="E466" s="4" t="s">
        <v>21</v>
      </c>
      <c r="F466" s="4">
        <f t="shared" si="2"/>
        <v>41</v>
      </c>
    </row>
    <row r="467">
      <c r="A467" s="5">
        <v>44246.4037962963</v>
      </c>
      <c r="B467" s="7">
        <f t="shared" si="1"/>
        <v>44246</v>
      </c>
      <c r="C467" s="33" t="s">
        <v>15</v>
      </c>
      <c r="D467" s="4" t="s">
        <v>21</v>
      </c>
      <c r="E467" s="4" t="s">
        <v>21</v>
      </c>
      <c r="F467" s="4">
        <f t="shared" si="2"/>
        <v>8</v>
      </c>
    </row>
    <row r="468">
      <c r="A468" s="5">
        <v>44250.417546296296</v>
      </c>
      <c r="B468" s="7">
        <f t="shared" si="1"/>
        <v>44250</v>
      </c>
      <c r="C468" s="33" t="s">
        <v>15</v>
      </c>
      <c r="D468" s="4" t="s">
        <v>21</v>
      </c>
      <c r="E468" s="4" t="s">
        <v>21</v>
      </c>
      <c r="F468" s="4">
        <f t="shared" si="2"/>
        <v>9</v>
      </c>
    </row>
    <row r="469">
      <c r="A469" s="5">
        <v>44250.875601851854</v>
      </c>
      <c r="B469" s="7">
        <f t="shared" si="1"/>
        <v>44250</v>
      </c>
      <c r="C469" s="33" t="s">
        <v>15</v>
      </c>
      <c r="D469" s="4" t="s">
        <v>21</v>
      </c>
      <c r="E469" s="4" t="s">
        <v>21</v>
      </c>
      <c r="F469" s="4">
        <f t="shared" si="2"/>
        <v>9</v>
      </c>
    </row>
    <row r="470">
      <c r="A470" s="5">
        <v>44259.4590625</v>
      </c>
      <c r="B470" s="7">
        <f t="shared" si="1"/>
        <v>44259</v>
      </c>
      <c r="C470" s="33" t="s">
        <v>15</v>
      </c>
      <c r="D470" s="4" t="s">
        <v>21</v>
      </c>
      <c r="E470" s="4" t="s">
        <v>21</v>
      </c>
      <c r="F470" s="4">
        <f t="shared" si="2"/>
        <v>10</v>
      </c>
    </row>
    <row r="471">
      <c r="A471" s="5">
        <v>44265.38964120371</v>
      </c>
      <c r="B471" s="7">
        <f t="shared" si="1"/>
        <v>44265</v>
      </c>
      <c r="C471" s="33" t="s">
        <v>15</v>
      </c>
      <c r="D471" s="4" t="s">
        <v>21</v>
      </c>
      <c r="E471" s="4" t="s">
        <v>21</v>
      </c>
      <c r="F471" s="4">
        <f t="shared" si="2"/>
        <v>11</v>
      </c>
    </row>
    <row r="472">
      <c r="A472" s="5">
        <v>44277.731944444444</v>
      </c>
      <c r="B472" s="7">
        <f t="shared" si="1"/>
        <v>44277</v>
      </c>
      <c r="C472" s="33" t="s">
        <v>15</v>
      </c>
      <c r="D472" s="4" t="s">
        <v>21</v>
      </c>
      <c r="E472" s="4" t="s">
        <v>21</v>
      </c>
      <c r="F472" s="4">
        <f t="shared" si="2"/>
        <v>13</v>
      </c>
    </row>
    <row r="473">
      <c r="A473" s="5">
        <v>44296.34116898148</v>
      </c>
      <c r="B473" s="7">
        <f t="shared" si="1"/>
        <v>44296</v>
      </c>
      <c r="C473" s="33" t="s">
        <v>15</v>
      </c>
      <c r="D473" s="4" t="s">
        <v>21</v>
      </c>
      <c r="E473" s="4" t="s">
        <v>21</v>
      </c>
      <c r="F473" s="4">
        <f t="shared" si="2"/>
        <v>15</v>
      </c>
    </row>
    <row r="474">
      <c r="A474" s="5">
        <v>44299.3212037037</v>
      </c>
      <c r="B474" s="7">
        <f t="shared" si="1"/>
        <v>44299</v>
      </c>
      <c r="C474" s="33" t="s">
        <v>15</v>
      </c>
      <c r="D474" s="4" t="s">
        <v>21</v>
      </c>
      <c r="E474" s="4" t="s">
        <v>21</v>
      </c>
      <c r="F474" s="4">
        <f t="shared" si="2"/>
        <v>16</v>
      </c>
    </row>
    <row r="475">
      <c r="A475" s="5">
        <v>44146.27128472222</v>
      </c>
      <c r="B475" s="7">
        <f t="shared" si="1"/>
        <v>44146</v>
      </c>
      <c r="C475" s="33" t="s">
        <v>15</v>
      </c>
      <c r="D475" s="4" t="s">
        <v>21</v>
      </c>
      <c r="E475" s="4" t="s">
        <v>21</v>
      </c>
      <c r="F475" s="4">
        <f t="shared" si="2"/>
        <v>46</v>
      </c>
    </row>
    <row r="476">
      <c r="A476" s="5">
        <v>44139.35466435185</v>
      </c>
      <c r="B476" s="7">
        <f t="shared" si="1"/>
        <v>44139</v>
      </c>
      <c r="C476" s="33" t="s">
        <v>15</v>
      </c>
      <c r="D476" s="4" t="s">
        <v>21</v>
      </c>
      <c r="E476" s="4" t="s">
        <v>21</v>
      </c>
      <c r="F476" s="4">
        <f t="shared" si="2"/>
        <v>45</v>
      </c>
    </row>
    <row r="477">
      <c r="A477" s="5">
        <v>44265.30743055556</v>
      </c>
      <c r="B477" s="7">
        <f t="shared" si="1"/>
        <v>44265</v>
      </c>
      <c r="C477" s="33" t="s">
        <v>15</v>
      </c>
      <c r="D477" s="4" t="s">
        <v>21</v>
      </c>
      <c r="E477" s="4" t="s">
        <v>21</v>
      </c>
      <c r="F477" s="4">
        <f t="shared" si="2"/>
        <v>11</v>
      </c>
    </row>
    <row r="478">
      <c r="A478" s="5">
        <v>44257.202048611114</v>
      </c>
      <c r="B478" s="7">
        <f t="shared" si="1"/>
        <v>44257</v>
      </c>
      <c r="C478" s="33" t="s">
        <v>15</v>
      </c>
      <c r="D478" s="4" t="s">
        <v>21</v>
      </c>
      <c r="E478" s="4" t="s">
        <v>21</v>
      </c>
      <c r="F478" s="4">
        <f t="shared" si="2"/>
        <v>10</v>
      </c>
    </row>
    <row r="479">
      <c r="A479" s="5">
        <v>44274.42085648148</v>
      </c>
      <c r="B479" s="7">
        <f t="shared" si="1"/>
        <v>44274</v>
      </c>
      <c r="C479" s="33" t="s">
        <v>15</v>
      </c>
      <c r="D479" s="4" t="s">
        <v>21</v>
      </c>
      <c r="E479" s="4" t="s">
        <v>21</v>
      </c>
      <c r="F479" s="4">
        <f t="shared" si="2"/>
        <v>12</v>
      </c>
    </row>
    <row r="480">
      <c r="A480" s="5">
        <v>44132.95584490741</v>
      </c>
      <c r="B480" s="7">
        <f t="shared" si="1"/>
        <v>44132</v>
      </c>
      <c r="C480" s="33" t="s">
        <v>15</v>
      </c>
      <c r="D480" s="4" t="s">
        <v>21</v>
      </c>
      <c r="E480" s="4" t="s">
        <v>21</v>
      </c>
      <c r="F480" s="4">
        <f t="shared" si="2"/>
        <v>44</v>
      </c>
    </row>
    <row r="481">
      <c r="A481" s="5">
        <v>44299.77793981481</v>
      </c>
      <c r="B481" s="7">
        <f t="shared" si="1"/>
        <v>44299</v>
      </c>
      <c r="C481" s="33" t="s">
        <v>15</v>
      </c>
      <c r="D481" s="4" t="s">
        <v>21</v>
      </c>
      <c r="E481" s="4" t="s">
        <v>21</v>
      </c>
      <c r="F481" s="4">
        <f t="shared" si="2"/>
        <v>16</v>
      </c>
    </row>
    <row r="482">
      <c r="A482" s="5">
        <v>44217.459965277776</v>
      </c>
      <c r="B482" s="7">
        <f t="shared" si="1"/>
        <v>44217</v>
      </c>
      <c r="C482" s="33" t="s">
        <v>15</v>
      </c>
      <c r="D482" s="4" t="s">
        <v>21</v>
      </c>
      <c r="E482" s="4" t="s">
        <v>21</v>
      </c>
      <c r="F482" s="4">
        <f t="shared" si="2"/>
        <v>4</v>
      </c>
    </row>
    <row r="483">
      <c r="A483" s="5">
        <v>44169.33383101852</v>
      </c>
      <c r="B483" s="7">
        <f t="shared" si="1"/>
        <v>44169</v>
      </c>
      <c r="C483" s="33" t="s">
        <v>15</v>
      </c>
      <c r="D483" s="4" t="s">
        <v>21</v>
      </c>
      <c r="E483" s="4" t="s">
        <v>21</v>
      </c>
      <c r="F483" s="4">
        <f t="shared" si="2"/>
        <v>49</v>
      </c>
    </row>
    <row r="484">
      <c r="A484" s="5">
        <v>44274.3621875</v>
      </c>
      <c r="B484" s="7">
        <f t="shared" si="1"/>
        <v>44274</v>
      </c>
      <c r="C484" s="33" t="s">
        <v>15</v>
      </c>
      <c r="D484" s="4" t="s">
        <v>21</v>
      </c>
      <c r="E484" s="4" t="s">
        <v>21</v>
      </c>
      <c r="F484" s="4">
        <f t="shared" si="2"/>
        <v>12</v>
      </c>
    </row>
    <row r="485">
      <c r="A485" s="5">
        <v>44165.634884259256</v>
      </c>
      <c r="B485" s="7">
        <f t="shared" si="1"/>
        <v>44165</v>
      </c>
      <c r="C485" s="33" t="s">
        <v>15</v>
      </c>
      <c r="D485" s="4" t="s">
        <v>21</v>
      </c>
      <c r="E485" s="4" t="s">
        <v>21</v>
      </c>
      <c r="F485" s="4">
        <f t="shared" si="2"/>
        <v>49</v>
      </c>
    </row>
    <row r="486">
      <c r="A486" s="5">
        <v>44111.57340277778</v>
      </c>
      <c r="B486" s="7">
        <f t="shared" si="1"/>
        <v>44111</v>
      </c>
      <c r="C486" s="33" t="s">
        <v>15</v>
      </c>
      <c r="D486" s="4" t="s">
        <v>21</v>
      </c>
      <c r="E486" s="4" t="s">
        <v>21</v>
      </c>
      <c r="F486" s="4">
        <f t="shared" si="2"/>
        <v>41</v>
      </c>
    </row>
    <row r="487">
      <c r="A487" s="5">
        <v>44091.116006944445</v>
      </c>
      <c r="B487" s="7">
        <f t="shared" si="1"/>
        <v>44091</v>
      </c>
      <c r="C487" s="33" t="s">
        <v>15</v>
      </c>
      <c r="D487" s="4" t="s">
        <v>21</v>
      </c>
      <c r="E487" s="4" t="s">
        <v>21</v>
      </c>
      <c r="F487" s="4">
        <f t="shared" si="2"/>
        <v>38</v>
      </c>
    </row>
    <row r="488">
      <c r="A488" s="5">
        <v>44111.388865740744</v>
      </c>
      <c r="B488" s="7">
        <f t="shared" si="1"/>
        <v>44111</v>
      </c>
      <c r="C488" s="33" t="s">
        <v>15</v>
      </c>
      <c r="D488" s="4" t="s">
        <v>21</v>
      </c>
      <c r="E488" s="4" t="s">
        <v>21</v>
      </c>
      <c r="F488" s="4">
        <f t="shared" si="2"/>
        <v>41</v>
      </c>
    </row>
    <row r="489">
      <c r="A489" s="5">
        <v>44111.599594907406</v>
      </c>
      <c r="B489" s="7">
        <f t="shared" si="1"/>
        <v>44111</v>
      </c>
      <c r="C489" s="33" t="s">
        <v>15</v>
      </c>
      <c r="D489" s="4" t="s">
        <v>21</v>
      </c>
      <c r="E489" s="4" t="s">
        <v>21</v>
      </c>
      <c r="F489" s="4">
        <f t="shared" si="2"/>
        <v>41</v>
      </c>
    </row>
    <row r="490">
      <c r="A490" s="5">
        <v>44116.565474537034</v>
      </c>
      <c r="B490" s="7">
        <f t="shared" si="1"/>
        <v>44116</v>
      </c>
      <c r="C490" s="33" t="s">
        <v>15</v>
      </c>
      <c r="D490" s="4" t="s">
        <v>21</v>
      </c>
      <c r="E490" s="4" t="s">
        <v>21</v>
      </c>
      <c r="F490" s="4">
        <f t="shared" si="2"/>
        <v>42</v>
      </c>
    </row>
    <row r="491">
      <c r="A491" s="5">
        <v>44218.50744212963</v>
      </c>
      <c r="B491" s="7">
        <f t="shared" si="1"/>
        <v>44218</v>
      </c>
      <c r="C491" s="33" t="s">
        <v>15</v>
      </c>
      <c r="D491" s="4" t="s">
        <v>21</v>
      </c>
      <c r="E491" s="4" t="s">
        <v>21</v>
      </c>
      <c r="F491" s="4">
        <f t="shared" si="2"/>
        <v>4</v>
      </c>
    </row>
    <row r="492">
      <c r="A492" s="5">
        <v>44235.3090625</v>
      </c>
      <c r="B492" s="7">
        <f t="shared" si="1"/>
        <v>44235</v>
      </c>
      <c r="C492" s="33" t="s">
        <v>15</v>
      </c>
      <c r="D492" s="4" t="s">
        <v>21</v>
      </c>
      <c r="E492" s="4" t="s">
        <v>21</v>
      </c>
      <c r="F492" s="4">
        <f t="shared" si="2"/>
        <v>7</v>
      </c>
    </row>
    <row r="493">
      <c r="A493" s="5">
        <v>44326.56361111111</v>
      </c>
      <c r="B493" s="7">
        <f t="shared" si="1"/>
        <v>44326</v>
      </c>
      <c r="C493" s="33" t="s">
        <v>15</v>
      </c>
      <c r="D493" s="4" t="s">
        <v>21</v>
      </c>
      <c r="E493" s="4" t="s">
        <v>21</v>
      </c>
      <c r="F493" s="4">
        <f t="shared" si="2"/>
        <v>20</v>
      </c>
    </row>
    <row r="494">
      <c r="A494" s="5">
        <v>44138.33864583333</v>
      </c>
      <c r="B494" s="7">
        <f t="shared" si="1"/>
        <v>44138</v>
      </c>
      <c r="C494" s="33" t="s">
        <v>15</v>
      </c>
      <c r="D494" s="4" t="s">
        <v>21</v>
      </c>
      <c r="E494" s="4" t="s">
        <v>21</v>
      </c>
      <c r="F494" s="4">
        <f t="shared" si="2"/>
        <v>45</v>
      </c>
    </row>
    <row r="495">
      <c r="A495" s="5">
        <v>44182.58997685185</v>
      </c>
      <c r="B495" s="7">
        <f t="shared" si="1"/>
        <v>44182</v>
      </c>
      <c r="C495" s="33" t="s">
        <v>15</v>
      </c>
      <c r="D495" s="4" t="s">
        <v>21</v>
      </c>
      <c r="E495" s="4" t="s">
        <v>21</v>
      </c>
      <c r="F495" s="4">
        <f t="shared" si="2"/>
        <v>51</v>
      </c>
    </row>
    <row r="496">
      <c r="A496" s="5">
        <v>44225.84519675926</v>
      </c>
      <c r="B496" s="7">
        <f t="shared" si="1"/>
        <v>44225</v>
      </c>
      <c r="C496" s="33" t="s">
        <v>15</v>
      </c>
      <c r="D496" s="4" t="s">
        <v>21</v>
      </c>
      <c r="E496" s="4" t="s">
        <v>21</v>
      </c>
      <c r="F496" s="4">
        <f t="shared" si="2"/>
        <v>5</v>
      </c>
    </row>
    <row r="497">
      <c r="A497" s="5">
        <v>44249.5287962963</v>
      </c>
      <c r="B497" s="7">
        <f t="shared" si="1"/>
        <v>44249</v>
      </c>
      <c r="C497" s="33" t="s">
        <v>15</v>
      </c>
      <c r="D497" s="4" t="s">
        <v>21</v>
      </c>
      <c r="E497" s="4" t="s">
        <v>21</v>
      </c>
      <c r="F497" s="4">
        <f t="shared" si="2"/>
        <v>9</v>
      </c>
    </row>
    <row r="498">
      <c r="A498" s="5">
        <v>44114.4225</v>
      </c>
      <c r="B498" s="7">
        <f t="shared" si="1"/>
        <v>44114</v>
      </c>
      <c r="C498" s="33" t="s">
        <v>15</v>
      </c>
      <c r="D498" s="4" t="s">
        <v>21</v>
      </c>
      <c r="E498" s="4" t="s">
        <v>21</v>
      </c>
      <c r="F498" s="4">
        <f t="shared" si="2"/>
        <v>41</v>
      </c>
    </row>
    <row r="499">
      <c r="A499" s="5">
        <v>44210.11976851852</v>
      </c>
      <c r="B499" s="7">
        <f t="shared" si="1"/>
        <v>44210</v>
      </c>
      <c r="C499" s="33" t="s">
        <v>15</v>
      </c>
      <c r="D499" s="4" t="s">
        <v>21</v>
      </c>
      <c r="E499" s="4" t="s">
        <v>21</v>
      </c>
      <c r="F499" s="4">
        <f t="shared" si="2"/>
        <v>3</v>
      </c>
    </row>
    <row r="500">
      <c r="A500" s="5">
        <v>44351.777719907404</v>
      </c>
      <c r="B500" s="7">
        <f t="shared" si="1"/>
        <v>44351</v>
      </c>
      <c r="C500" s="33" t="s">
        <v>15</v>
      </c>
      <c r="D500" s="4" t="s">
        <v>21</v>
      </c>
      <c r="E500" s="4" t="s">
        <v>21</v>
      </c>
      <c r="F500" s="4">
        <f t="shared" si="2"/>
        <v>23</v>
      </c>
    </row>
    <row r="501">
      <c r="A501" s="5">
        <v>44091.28204861111</v>
      </c>
      <c r="B501" s="7">
        <f t="shared" si="1"/>
        <v>44091</v>
      </c>
      <c r="C501" s="33" t="s">
        <v>15</v>
      </c>
      <c r="D501" s="4" t="s">
        <v>21</v>
      </c>
      <c r="E501" s="4" t="s">
        <v>21</v>
      </c>
      <c r="F501" s="4">
        <f t="shared" si="2"/>
        <v>38</v>
      </c>
    </row>
    <row r="502">
      <c r="A502" s="5">
        <v>44266.62099537037</v>
      </c>
      <c r="B502" s="7">
        <f t="shared" si="1"/>
        <v>44266</v>
      </c>
      <c r="C502" s="33" t="s">
        <v>15</v>
      </c>
      <c r="D502" s="4" t="s">
        <v>21</v>
      </c>
      <c r="E502" s="4" t="s">
        <v>21</v>
      </c>
      <c r="F502" s="4">
        <f t="shared" si="2"/>
        <v>11</v>
      </c>
    </row>
    <row r="503">
      <c r="A503" s="5">
        <v>44266.624398148146</v>
      </c>
      <c r="B503" s="7">
        <f t="shared" si="1"/>
        <v>44266</v>
      </c>
      <c r="C503" s="33" t="s">
        <v>15</v>
      </c>
      <c r="D503" s="4" t="s">
        <v>21</v>
      </c>
      <c r="E503" s="4" t="s">
        <v>21</v>
      </c>
      <c r="F503" s="4">
        <f t="shared" si="2"/>
        <v>11</v>
      </c>
    </row>
    <row r="504">
      <c r="A504" s="5">
        <v>44267.72922453703</v>
      </c>
      <c r="B504" s="7">
        <f t="shared" si="1"/>
        <v>44267</v>
      </c>
      <c r="C504" s="33" t="s">
        <v>15</v>
      </c>
      <c r="D504" s="4" t="s">
        <v>21</v>
      </c>
      <c r="E504" s="4" t="s">
        <v>21</v>
      </c>
      <c r="F504" s="4">
        <f t="shared" si="2"/>
        <v>11</v>
      </c>
    </row>
    <row r="505">
      <c r="A505" s="5">
        <v>44370.32833333333</v>
      </c>
      <c r="B505" s="7">
        <f t="shared" si="1"/>
        <v>44370</v>
      </c>
      <c r="C505" s="33" t="s">
        <v>15</v>
      </c>
      <c r="D505" s="4" t="s">
        <v>21</v>
      </c>
      <c r="E505" s="4" t="s">
        <v>21</v>
      </c>
      <c r="F505" s="4">
        <f t="shared" si="2"/>
        <v>26</v>
      </c>
    </row>
    <row r="506">
      <c r="A506" s="5">
        <v>44161.43759259259</v>
      </c>
      <c r="B506" s="7">
        <f t="shared" si="1"/>
        <v>44161</v>
      </c>
      <c r="C506" s="33" t="s">
        <v>15</v>
      </c>
      <c r="D506" s="4" t="s">
        <v>21</v>
      </c>
      <c r="E506" s="4" t="s">
        <v>21</v>
      </c>
      <c r="F506" s="4">
        <f t="shared" si="2"/>
        <v>48</v>
      </c>
    </row>
    <row r="507">
      <c r="A507" s="5">
        <v>44216.66730324074</v>
      </c>
      <c r="B507" s="7">
        <f t="shared" si="1"/>
        <v>44216</v>
      </c>
      <c r="C507" s="33" t="s">
        <v>15</v>
      </c>
      <c r="D507" s="4" t="s">
        <v>21</v>
      </c>
      <c r="E507" s="4" t="s">
        <v>21</v>
      </c>
      <c r="F507" s="4">
        <f t="shared" si="2"/>
        <v>4</v>
      </c>
    </row>
    <row r="508">
      <c r="A508" s="5">
        <v>44139.054131944446</v>
      </c>
      <c r="B508" s="7">
        <f t="shared" si="1"/>
        <v>44139</v>
      </c>
      <c r="C508" s="33" t="s">
        <v>15</v>
      </c>
      <c r="D508" s="4" t="s">
        <v>21</v>
      </c>
      <c r="E508" s="4" t="s">
        <v>21</v>
      </c>
      <c r="F508" s="4">
        <f t="shared" si="2"/>
        <v>45</v>
      </c>
    </row>
    <row r="509">
      <c r="A509" s="5">
        <v>44095.478993055556</v>
      </c>
      <c r="B509" s="7">
        <f t="shared" si="1"/>
        <v>44095</v>
      </c>
      <c r="C509" s="33" t="s">
        <v>15</v>
      </c>
      <c r="D509" s="4" t="s">
        <v>21</v>
      </c>
      <c r="E509" s="4" t="s">
        <v>21</v>
      </c>
      <c r="F509" s="4">
        <f t="shared" si="2"/>
        <v>39</v>
      </c>
    </row>
    <row r="510">
      <c r="A510" s="5">
        <v>44357.455625</v>
      </c>
      <c r="B510" s="7">
        <f t="shared" si="1"/>
        <v>44357</v>
      </c>
      <c r="C510" s="33" t="s">
        <v>15</v>
      </c>
      <c r="D510" s="4" t="s">
        <v>21</v>
      </c>
      <c r="E510" s="4" t="s">
        <v>21</v>
      </c>
      <c r="F510" s="4">
        <f t="shared" si="2"/>
        <v>24</v>
      </c>
    </row>
    <row r="511">
      <c r="A511" s="5">
        <v>44097.40744212963</v>
      </c>
      <c r="B511" s="7">
        <f t="shared" si="1"/>
        <v>44097</v>
      </c>
      <c r="C511" s="33" t="s">
        <v>15</v>
      </c>
      <c r="D511" s="4" t="s">
        <v>21</v>
      </c>
      <c r="E511" s="4" t="s">
        <v>21</v>
      </c>
      <c r="F511" s="4">
        <f t="shared" si="2"/>
        <v>39</v>
      </c>
    </row>
    <row r="512">
      <c r="A512" s="5">
        <v>44117.29204861111</v>
      </c>
      <c r="B512" s="7">
        <f t="shared" si="1"/>
        <v>44117</v>
      </c>
      <c r="C512" s="33" t="s">
        <v>15</v>
      </c>
      <c r="D512" s="4" t="s">
        <v>21</v>
      </c>
      <c r="E512" s="4" t="s">
        <v>21</v>
      </c>
      <c r="F512" s="4">
        <f t="shared" si="2"/>
        <v>42</v>
      </c>
    </row>
    <row r="513">
      <c r="A513" s="5">
        <v>44148.632199074076</v>
      </c>
      <c r="B513" s="7">
        <f t="shared" si="1"/>
        <v>44148</v>
      </c>
      <c r="C513" s="33" t="s">
        <v>15</v>
      </c>
      <c r="D513" s="4" t="s">
        <v>21</v>
      </c>
      <c r="E513" s="4" t="s">
        <v>21</v>
      </c>
      <c r="F513" s="4">
        <f t="shared" si="2"/>
        <v>46</v>
      </c>
    </row>
    <row r="514">
      <c r="A514" s="5">
        <v>44250.3644212963</v>
      </c>
      <c r="B514" s="7">
        <f t="shared" si="1"/>
        <v>44250</v>
      </c>
      <c r="C514" s="33" t="s">
        <v>15</v>
      </c>
      <c r="D514" s="4" t="s">
        <v>21</v>
      </c>
      <c r="E514" s="4" t="s">
        <v>21</v>
      </c>
      <c r="F514" s="4">
        <f t="shared" si="2"/>
        <v>9</v>
      </c>
    </row>
    <row r="515">
      <c r="A515" s="5">
        <v>44270.84074074074</v>
      </c>
      <c r="B515" s="7">
        <f t="shared" si="1"/>
        <v>44270</v>
      </c>
      <c r="C515" s="33" t="s">
        <v>15</v>
      </c>
      <c r="D515" s="4" t="s">
        <v>21</v>
      </c>
      <c r="E515" s="4" t="s">
        <v>21</v>
      </c>
      <c r="F515" s="4">
        <f t="shared" si="2"/>
        <v>12</v>
      </c>
    </row>
    <row r="516">
      <c r="A516" s="5">
        <v>44291.54157407407</v>
      </c>
      <c r="B516" s="7">
        <f t="shared" si="1"/>
        <v>44291</v>
      </c>
      <c r="C516" s="33" t="s">
        <v>15</v>
      </c>
      <c r="D516" s="4" t="s">
        <v>21</v>
      </c>
      <c r="E516" s="4" t="s">
        <v>21</v>
      </c>
      <c r="F516" s="4">
        <f t="shared" si="2"/>
        <v>15</v>
      </c>
    </row>
    <row r="517">
      <c r="A517" s="5">
        <v>44041.42046296296</v>
      </c>
      <c r="B517" s="7">
        <f t="shared" si="1"/>
        <v>44041</v>
      </c>
      <c r="C517" s="33" t="s">
        <v>15</v>
      </c>
      <c r="D517" s="4" t="s">
        <v>21</v>
      </c>
      <c r="E517" s="4" t="s">
        <v>21</v>
      </c>
      <c r="F517" s="4">
        <f t="shared" si="2"/>
        <v>31</v>
      </c>
    </row>
    <row r="518">
      <c r="A518" s="5">
        <v>44207.421319444446</v>
      </c>
      <c r="B518" s="7">
        <f t="shared" si="1"/>
        <v>44207</v>
      </c>
      <c r="C518" s="33" t="s">
        <v>15</v>
      </c>
      <c r="D518" s="4" t="s">
        <v>21</v>
      </c>
      <c r="E518" s="4" t="s">
        <v>21</v>
      </c>
      <c r="F518" s="4">
        <f t="shared" si="2"/>
        <v>3</v>
      </c>
    </row>
    <row r="519">
      <c r="A519" s="5">
        <v>44311.35799768518</v>
      </c>
      <c r="B519" s="7">
        <f t="shared" si="1"/>
        <v>44311</v>
      </c>
      <c r="C519" s="33" t="s">
        <v>15</v>
      </c>
      <c r="D519" s="4" t="s">
        <v>21</v>
      </c>
      <c r="E519" s="4" t="s">
        <v>21</v>
      </c>
      <c r="F519" s="4">
        <f t="shared" si="2"/>
        <v>18</v>
      </c>
    </row>
    <row r="520">
      <c r="A520" s="5">
        <v>44321.66111111111</v>
      </c>
      <c r="B520" s="7">
        <f t="shared" si="1"/>
        <v>44321</v>
      </c>
      <c r="C520" s="33" t="s">
        <v>15</v>
      </c>
      <c r="D520" s="4" t="s">
        <v>21</v>
      </c>
      <c r="E520" s="4" t="s">
        <v>21</v>
      </c>
      <c r="F520" s="4">
        <f t="shared" si="2"/>
        <v>19</v>
      </c>
    </row>
    <row r="521">
      <c r="A521" s="5">
        <v>44266.60988425926</v>
      </c>
      <c r="B521" s="7">
        <f t="shared" si="1"/>
        <v>44266</v>
      </c>
      <c r="C521" s="33" t="s">
        <v>15</v>
      </c>
      <c r="D521" s="4" t="s">
        <v>21</v>
      </c>
      <c r="E521" s="4" t="s">
        <v>21</v>
      </c>
      <c r="F521" s="4">
        <f t="shared" si="2"/>
        <v>11</v>
      </c>
    </row>
    <row r="522">
      <c r="A522" s="5">
        <v>44349.22001157407</v>
      </c>
      <c r="B522" s="7">
        <f t="shared" si="1"/>
        <v>44349</v>
      </c>
      <c r="C522" s="33" t="s">
        <v>15</v>
      </c>
      <c r="D522" s="4" t="s">
        <v>21</v>
      </c>
      <c r="E522" s="4" t="s">
        <v>21</v>
      </c>
      <c r="F522" s="4">
        <f t="shared" si="2"/>
        <v>23</v>
      </c>
    </row>
    <row r="523">
      <c r="A523" s="5">
        <v>44252.60061342592</v>
      </c>
      <c r="B523" s="7">
        <f t="shared" si="1"/>
        <v>44252</v>
      </c>
      <c r="C523" s="33" t="s">
        <v>15</v>
      </c>
      <c r="D523" s="4" t="s">
        <v>21</v>
      </c>
      <c r="E523" s="4" t="s">
        <v>21</v>
      </c>
      <c r="F523" s="4">
        <f t="shared" si="2"/>
        <v>9</v>
      </c>
    </row>
    <row r="524">
      <c r="A524" s="5">
        <v>44119.29180555556</v>
      </c>
      <c r="B524" s="7">
        <f t="shared" si="1"/>
        <v>44119</v>
      </c>
      <c r="C524" s="33" t="s">
        <v>15</v>
      </c>
      <c r="D524" s="4" t="s">
        <v>21</v>
      </c>
      <c r="E524" s="4" t="s">
        <v>21</v>
      </c>
      <c r="F524" s="4">
        <f t="shared" si="2"/>
        <v>42</v>
      </c>
    </row>
    <row r="525">
      <c r="A525" s="5">
        <v>44145.34516203704</v>
      </c>
      <c r="B525" s="7">
        <f t="shared" si="1"/>
        <v>44145</v>
      </c>
      <c r="C525" s="33" t="s">
        <v>15</v>
      </c>
      <c r="D525" s="4" t="s">
        <v>21</v>
      </c>
      <c r="E525" s="4" t="s">
        <v>21</v>
      </c>
      <c r="F525" s="4">
        <f t="shared" si="2"/>
        <v>46</v>
      </c>
    </row>
    <row r="526">
      <c r="A526" s="5">
        <v>44217.58023148148</v>
      </c>
      <c r="B526" s="7">
        <f t="shared" si="1"/>
        <v>44217</v>
      </c>
      <c r="C526" s="33" t="s">
        <v>15</v>
      </c>
      <c r="D526" s="4" t="s">
        <v>21</v>
      </c>
      <c r="E526" s="4" t="s">
        <v>21</v>
      </c>
      <c r="F526" s="4">
        <f t="shared" si="2"/>
        <v>4</v>
      </c>
    </row>
    <row r="527">
      <c r="A527" s="5">
        <v>44218.64571759259</v>
      </c>
      <c r="B527" s="7">
        <f t="shared" si="1"/>
        <v>44218</v>
      </c>
      <c r="C527" s="33" t="s">
        <v>15</v>
      </c>
      <c r="D527" s="4" t="s">
        <v>21</v>
      </c>
      <c r="E527" s="4" t="s">
        <v>21</v>
      </c>
      <c r="F527" s="4">
        <f t="shared" si="2"/>
        <v>4</v>
      </c>
    </row>
    <row r="528">
      <c r="A528" s="5">
        <v>44218.68987268519</v>
      </c>
      <c r="B528" s="7">
        <f t="shared" si="1"/>
        <v>44218</v>
      </c>
      <c r="C528" s="33" t="s">
        <v>15</v>
      </c>
      <c r="D528" s="4" t="s">
        <v>21</v>
      </c>
      <c r="E528" s="4" t="s">
        <v>21</v>
      </c>
      <c r="F528" s="4">
        <f t="shared" si="2"/>
        <v>4</v>
      </c>
    </row>
    <row r="529">
      <c r="A529" s="5">
        <v>44228.22969907407</v>
      </c>
      <c r="B529" s="7">
        <f t="shared" si="1"/>
        <v>44228</v>
      </c>
      <c r="C529" s="33" t="s">
        <v>15</v>
      </c>
      <c r="D529" s="4" t="s">
        <v>21</v>
      </c>
      <c r="E529" s="4" t="s">
        <v>21</v>
      </c>
      <c r="F529" s="4">
        <f t="shared" si="2"/>
        <v>6</v>
      </c>
    </row>
    <row r="530">
      <c r="A530" s="5">
        <v>44326.382268518515</v>
      </c>
      <c r="B530" s="7">
        <f t="shared" si="1"/>
        <v>44326</v>
      </c>
      <c r="C530" s="33" t="s">
        <v>15</v>
      </c>
      <c r="D530" s="4" t="s">
        <v>21</v>
      </c>
      <c r="E530" s="4" t="s">
        <v>21</v>
      </c>
      <c r="F530" s="4">
        <f t="shared" si="2"/>
        <v>20</v>
      </c>
    </row>
    <row r="531">
      <c r="A531" s="5">
        <v>44274.6709837963</v>
      </c>
      <c r="B531" s="7">
        <f t="shared" si="1"/>
        <v>44274</v>
      </c>
      <c r="C531" s="33" t="s">
        <v>15</v>
      </c>
      <c r="D531" s="4" t="s">
        <v>21</v>
      </c>
      <c r="E531" s="4" t="s">
        <v>21</v>
      </c>
      <c r="F531" s="4">
        <f t="shared" si="2"/>
        <v>12</v>
      </c>
    </row>
    <row r="532">
      <c r="A532" s="5">
        <v>44183.596863425926</v>
      </c>
      <c r="B532" s="7">
        <f t="shared" si="1"/>
        <v>44183</v>
      </c>
      <c r="C532" s="33" t="s">
        <v>15</v>
      </c>
      <c r="D532" s="4" t="s">
        <v>21</v>
      </c>
      <c r="E532" s="4" t="s">
        <v>21</v>
      </c>
      <c r="F532" s="4">
        <f t="shared" si="2"/>
        <v>51</v>
      </c>
    </row>
    <row r="533">
      <c r="A533" s="5">
        <v>44319.63400462963</v>
      </c>
      <c r="B533" s="7">
        <f t="shared" si="1"/>
        <v>44319</v>
      </c>
      <c r="C533" s="33" t="s">
        <v>15</v>
      </c>
      <c r="D533" s="4" t="s">
        <v>21</v>
      </c>
      <c r="E533" s="4" t="s">
        <v>21</v>
      </c>
      <c r="F533" s="4">
        <f t="shared" si="2"/>
        <v>19</v>
      </c>
    </row>
    <row r="534">
      <c r="A534" s="5">
        <v>44019.58431712963</v>
      </c>
      <c r="B534" s="7">
        <f t="shared" si="1"/>
        <v>44019</v>
      </c>
      <c r="C534" s="33" t="s">
        <v>15</v>
      </c>
      <c r="D534" s="4" t="s">
        <v>21</v>
      </c>
      <c r="E534" s="4" t="s">
        <v>21</v>
      </c>
      <c r="F534" s="4">
        <f t="shared" si="2"/>
        <v>28</v>
      </c>
    </row>
    <row r="535">
      <c r="A535" s="5">
        <v>44022.591215277775</v>
      </c>
      <c r="B535" s="7">
        <f t="shared" si="1"/>
        <v>44022</v>
      </c>
      <c r="C535" s="33" t="s">
        <v>15</v>
      </c>
      <c r="D535" s="4" t="s">
        <v>21</v>
      </c>
      <c r="E535" s="4" t="s">
        <v>21</v>
      </c>
      <c r="F535" s="4">
        <f t="shared" si="2"/>
        <v>28</v>
      </c>
    </row>
    <row r="536">
      <c r="A536" s="5">
        <v>44077.82496527778</v>
      </c>
      <c r="B536" s="7">
        <f t="shared" si="1"/>
        <v>44077</v>
      </c>
      <c r="C536" s="33" t="s">
        <v>15</v>
      </c>
      <c r="D536" s="4" t="s">
        <v>21</v>
      </c>
      <c r="E536" s="4" t="s">
        <v>21</v>
      </c>
      <c r="F536" s="4">
        <f t="shared" si="2"/>
        <v>36</v>
      </c>
    </row>
    <row r="537">
      <c r="A537" s="5">
        <v>44172.388344907406</v>
      </c>
      <c r="B537" s="7">
        <f t="shared" si="1"/>
        <v>44172</v>
      </c>
      <c r="C537" s="33" t="s">
        <v>15</v>
      </c>
      <c r="D537" s="4" t="s">
        <v>21</v>
      </c>
      <c r="E537" s="4" t="s">
        <v>21</v>
      </c>
      <c r="F537" s="4">
        <f t="shared" si="2"/>
        <v>50</v>
      </c>
    </row>
    <row r="538">
      <c r="A538" s="5">
        <v>44186.63748842593</v>
      </c>
      <c r="B538" s="7">
        <f t="shared" si="1"/>
        <v>44186</v>
      </c>
      <c r="C538" s="33" t="s">
        <v>15</v>
      </c>
      <c r="D538" s="4" t="s">
        <v>21</v>
      </c>
      <c r="E538" s="4" t="s">
        <v>21</v>
      </c>
      <c r="F538" s="4">
        <f t="shared" si="2"/>
        <v>52</v>
      </c>
    </row>
    <row r="539">
      <c r="A539" s="5">
        <v>44209.60493055556</v>
      </c>
      <c r="B539" s="7">
        <f t="shared" si="1"/>
        <v>44209</v>
      </c>
      <c r="C539" s="33" t="s">
        <v>15</v>
      </c>
      <c r="D539" s="4" t="s">
        <v>21</v>
      </c>
      <c r="E539" s="4" t="s">
        <v>21</v>
      </c>
      <c r="F539" s="4">
        <f t="shared" si="2"/>
        <v>3</v>
      </c>
    </row>
    <row r="540">
      <c r="A540" s="5">
        <v>44228.63253472222</v>
      </c>
      <c r="B540" s="7">
        <f t="shared" si="1"/>
        <v>44228</v>
      </c>
      <c r="C540" s="33" t="s">
        <v>15</v>
      </c>
      <c r="D540" s="4" t="s">
        <v>21</v>
      </c>
      <c r="E540" s="4" t="s">
        <v>21</v>
      </c>
      <c r="F540" s="4">
        <f t="shared" si="2"/>
        <v>6</v>
      </c>
    </row>
    <row r="541">
      <c r="A541" s="5">
        <v>44232.01054398148</v>
      </c>
      <c r="B541" s="7">
        <f t="shared" si="1"/>
        <v>44232</v>
      </c>
      <c r="C541" s="33" t="s">
        <v>15</v>
      </c>
      <c r="D541" s="4" t="s">
        <v>21</v>
      </c>
      <c r="E541" s="4" t="s">
        <v>21</v>
      </c>
      <c r="F541" s="4">
        <f t="shared" si="2"/>
        <v>6</v>
      </c>
    </row>
    <row r="542">
      <c r="A542" s="5">
        <v>44235.68824074074</v>
      </c>
      <c r="B542" s="7">
        <f t="shared" si="1"/>
        <v>44235</v>
      </c>
      <c r="C542" s="33" t="s">
        <v>15</v>
      </c>
      <c r="D542" s="4" t="s">
        <v>21</v>
      </c>
      <c r="E542" s="4" t="s">
        <v>21</v>
      </c>
      <c r="F542" s="4">
        <f t="shared" si="2"/>
        <v>7</v>
      </c>
    </row>
    <row r="543">
      <c r="A543" s="5">
        <v>44237.79211805556</v>
      </c>
      <c r="B543" s="7">
        <f t="shared" si="1"/>
        <v>44237</v>
      </c>
      <c r="C543" s="33" t="s">
        <v>15</v>
      </c>
      <c r="D543" s="4" t="s">
        <v>21</v>
      </c>
      <c r="E543" s="4" t="s">
        <v>21</v>
      </c>
      <c r="F543" s="4">
        <f t="shared" si="2"/>
        <v>7</v>
      </c>
    </row>
    <row r="544">
      <c r="A544" s="5">
        <v>44245.81701388889</v>
      </c>
      <c r="B544" s="7">
        <f t="shared" si="1"/>
        <v>44245</v>
      </c>
      <c r="C544" s="33" t="s">
        <v>15</v>
      </c>
      <c r="D544" s="4" t="s">
        <v>21</v>
      </c>
      <c r="E544" s="4" t="s">
        <v>21</v>
      </c>
      <c r="F544" s="4">
        <f t="shared" si="2"/>
        <v>8</v>
      </c>
    </row>
    <row r="545">
      <c r="A545" s="5">
        <v>44249.696284722224</v>
      </c>
      <c r="B545" s="7">
        <f t="shared" si="1"/>
        <v>44249</v>
      </c>
      <c r="C545" s="33" t="s">
        <v>15</v>
      </c>
      <c r="D545" s="4" t="s">
        <v>21</v>
      </c>
      <c r="E545" s="4" t="s">
        <v>21</v>
      </c>
      <c r="F545" s="4">
        <f t="shared" si="2"/>
        <v>9</v>
      </c>
    </row>
    <row r="546">
      <c r="A546" s="5">
        <v>44258.93809027778</v>
      </c>
      <c r="B546" s="7">
        <f t="shared" si="1"/>
        <v>44258</v>
      </c>
      <c r="C546" s="33" t="s">
        <v>15</v>
      </c>
      <c r="D546" s="4" t="s">
        <v>21</v>
      </c>
      <c r="E546" s="4" t="s">
        <v>21</v>
      </c>
      <c r="F546" s="4">
        <f t="shared" si="2"/>
        <v>10</v>
      </c>
    </row>
    <row r="547">
      <c r="A547" s="5">
        <v>44280.18104166666</v>
      </c>
      <c r="B547" s="7">
        <f t="shared" si="1"/>
        <v>44280</v>
      </c>
      <c r="C547" s="33" t="s">
        <v>15</v>
      </c>
      <c r="D547" s="4" t="s">
        <v>21</v>
      </c>
      <c r="E547" s="4" t="s">
        <v>21</v>
      </c>
      <c r="F547" s="4">
        <f t="shared" si="2"/>
        <v>13</v>
      </c>
    </row>
    <row r="548">
      <c r="A548" s="5">
        <v>44302.84722222222</v>
      </c>
      <c r="B548" s="7">
        <f t="shared" si="1"/>
        <v>44302</v>
      </c>
      <c r="C548" s="33" t="s">
        <v>15</v>
      </c>
      <c r="D548" s="4" t="s">
        <v>21</v>
      </c>
      <c r="E548" s="4" t="s">
        <v>21</v>
      </c>
      <c r="F548" s="4">
        <f t="shared" si="2"/>
        <v>16</v>
      </c>
    </row>
    <row r="549">
      <c r="A549" s="5">
        <v>44306.621342592596</v>
      </c>
      <c r="B549" s="7">
        <f t="shared" si="1"/>
        <v>44306</v>
      </c>
      <c r="C549" s="33" t="s">
        <v>15</v>
      </c>
      <c r="D549" s="4" t="s">
        <v>21</v>
      </c>
      <c r="E549" s="4" t="s">
        <v>21</v>
      </c>
      <c r="F549" s="4">
        <f t="shared" si="2"/>
        <v>17</v>
      </c>
    </row>
    <row r="550">
      <c r="A550" s="5">
        <v>44313.703194444446</v>
      </c>
      <c r="B550" s="7">
        <f t="shared" si="1"/>
        <v>44313</v>
      </c>
      <c r="C550" s="33" t="s">
        <v>15</v>
      </c>
      <c r="D550" s="4" t="s">
        <v>21</v>
      </c>
      <c r="E550" s="4" t="s">
        <v>21</v>
      </c>
      <c r="F550" s="4">
        <f t="shared" si="2"/>
        <v>18</v>
      </c>
    </row>
    <row r="551">
      <c r="A551" s="5">
        <v>44323.335023148145</v>
      </c>
      <c r="B551" s="7">
        <f t="shared" si="1"/>
        <v>44323</v>
      </c>
      <c r="C551" s="33" t="s">
        <v>15</v>
      </c>
      <c r="D551" s="4" t="s">
        <v>21</v>
      </c>
      <c r="E551" s="4" t="s">
        <v>21</v>
      </c>
      <c r="F551" s="4">
        <f t="shared" si="2"/>
        <v>19</v>
      </c>
    </row>
    <row r="552">
      <c r="A552" s="5">
        <v>44348.232777777775</v>
      </c>
      <c r="B552" s="7">
        <f t="shared" si="1"/>
        <v>44348</v>
      </c>
      <c r="C552" s="33" t="s">
        <v>15</v>
      </c>
      <c r="D552" s="4" t="s">
        <v>21</v>
      </c>
      <c r="E552" s="4" t="s">
        <v>21</v>
      </c>
      <c r="F552" s="4">
        <f t="shared" si="2"/>
        <v>23</v>
      </c>
    </row>
    <row r="553">
      <c r="A553" s="5">
        <v>44239.36243055556</v>
      </c>
      <c r="B553" s="7">
        <f t="shared" si="1"/>
        <v>44239</v>
      </c>
      <c r="C553" s="33" t="s">
        <v>15</v>
      </c>
      <c r="D553" s="4" t="s">
        <v>21</v>
      </c>
      <c r="E553" s="4" t="s">
        <v>23</v>
      </c>
      <c r="F553" s="4">
        <f t="shared" si="2"/>
        <v>7</v>
      </c>
    </row>
    <row r="554">
      <c r="A554" s="5">
        <v>44237.79960648148</v>
      </c>
      <c r="B554" s="7">
        <f t="shared" si="1"/>
        <v>44237</v>
      </c>
      <c r="C554" s="33" t="s">
        <v>15</v>
      </c>
      <c r="D554" s="4" t="s">
        <v>21</v>
      </c>
      <c r="E554" s="4" t="s">
        <v>21</v>
      </c>
      <c r="F554" s="4">
        <f t="shared" si="2"/>
        <v>7</v>
      </c>
    </row>
    <row r="555">
      <c r="A555" s="5">
        <v>44307.36275462963</v>
      </c>
      <c r="B555" s="7">
        <f t="shared" si="1"/>
        <v>44307</v>
      </c>
      <c r="C555" s="33" t="s">
        <v>15</v>
      </c>
      <c r="D555" s="4" t="s">
        <v>21</v>
      </c>
      <c r="E555" s="4" t="s">
        <v>21</v>
      </c>
      <c r="F555" s="4">
        <f t="shared" si="2"/>
        <v>17</v>
      </c>
    </row>
    <row r="556">
      <c r="A556" s="5">
        <v>44162.96894675926</v>
      </c>
      <c r="B556" s="7">
        <f t="shared" si="1"/>
        <v>44162</v>
      </c>
      <c r="C556" s="33" t="s">
        <v>15</v>
      </c>
      <c r="D556" s="4" t="s">
        <v>21</v>
      </c>
      <c r="E556" s="4" t="s">
        <v>21</v>
      </c>
      <c r="F556" s="4">
        <f t="shared" si="2"/>
        <v>48</v>
      </c>
    </row>
    <row r="557">
      <c r="A557" s="5">
        <v>44313.522731481484</v>
      </c>
      <c r="B557" s="7">
        <f t="shared" si="1"/>
        <v>44313</v>
      </c>
      <c r="C557" s="33" t="s">
        <v>15</v>
      </c>
      <c r="D557" s="4" t="s">
        <v>21</v>
      </c>
      <c r="E557" s="4" t="s">
        <v>21</v>
      </c>
      <c r="F557" s="4">
        <f t="shared" si="2"/>
        <v>18</v>
      </c>
    </row>
    <row r="558">
      <c r="A558" s="5">
        <v>44244.68802083333</v>
      </c>
      <c r="B558" s="7">
        <f t="shared" si="1"/>
        <v>44244</v>
      </c>
      <c r="C558" s="33" t="s">
        <v>15</v>
      </c>
      <c r="D558" s="4" t="s">
        <v>21</v>
      </c>
      <c r="E558" s="4" t="s">
        <v>21</v>
      </c>
      <c r="F558" s="4">
        <f t="shared" si="2"/>
        <v>8</v>
      </c>
    </row>
    <row r="559">
      <c r="A559" s="5">
        <v>44356.24256944445</v>
      </c>
      <c r="B559" s="7">
        <f t="shared" si="1"/>
        <v>44356</v>
      </c>
      <c r="C559" s="33" t="s">
        <v>15</v>
      </c>
      <c r="D559" s="4" t="s">
        <v>21</v>
      </c>
      <c r="E559" s="4" t="s">
        <v>21</v>
      </c>
      <c r="F559" s="4">
        <f t="shared" si="2"/>
        <v>24</v>
      </c>
    </row>
    <row r="560">
      <c r="A560" s="5">
        <v>44222.03113425926</v>
      </c>
      <c r="B560" s="7">
        <f t="shared" si="1"/>
        <v>44222</v>
      </c>
      <c r="C560" s="33" t="s">
        <v>15</v>
      </c>
      <c r="D560" s="4" t="s">
        <v>21</v>
      </c>
      <c r="E560" s="4" t="s">
        <v>21</v>
      </c>
      <c r="F560" s="4">
        <f t="shared" si="2"/>
        <v>5</v>
      </c>
    </row>
    <row r="561">
      <c r="A561" s="5">
        <v>44201.948333333334</v>
      </c>
      <c r="B561" s="7">
        <f t="shared" si="1"/>
        <v>44201</v>
      </c>
      <c r="C561" s="33" t="s">
        <v>15</v>
      </c>
      <c r="D561" s="4" t="s">
        <v>23</v>
      </c>
      <c r="E561" s="4" t="s">
        <v>21</v>
      </c>
      <c r="F561" s="4">
        <f t="shared" si="2"/>
        <v>2</v>
      </c>
    </row>
    <row r="562">
      <c r="A562" s="5">
        <v>44109.3134375</v>
      </c>
      <c r="B562" s="7">
        <f t="shared" si="1"/>
        <v>44109</v>
      </c>
      <c r="C562" s="33" t="s">
        <v>15</v>
      </c>
      <c r="D562" s="4" t="s">
        <v>21</v>
      </c>
      <c r="E562" s="4" t="s">
        <v>21</v>
      </c>
      <c r="F562" s="4">
        <f t="shared" si="2"/>
        <v>41</v>
      </c>
    </row>
    <row r="563">
      <c r="A563" s="5">
        <v>44109.31363425926</v>
      </c>
      <c r="B563" s="7">
        <f t="shared" si="1"/>
        <v>44109</v>
      </c>
      <c r="C563" s="33" t="s">
        <v>15</v>
      </c>
      <c r="D563" s="4" t="s">
        <v>21</v>
      </c>
      <c r="E563" s="4" t="s">
        <v>21</v>
      </c>
      <c r="F563" s="4">
        <f t="shared" si="2"/>
        <v>41</v>
      </c>
    </row>
    <row r="564">
      <c r="A564" s="5">
        <v>44109.31384259259</v>
      </c>
      <c r="B564" s="7">
        <f t="shared" si="1"/>
        <v>44109</v>
      </c>
      <c r="C564" s="33" t="s">
        <v>15</v>
      </c>
      <c r="D564" s="4" t="s">
        <v>21</v>
      </c>
      <c r="E564" s="4" t="s">
        <v>21</v>
      </c>
      <c r="F564" s="4">
        <f t="shared" si="2"/>
        <v>41</v>
      </c>
    </row>
    <row r="565">
      <c r="A565" s="5">
        <v>44109.314050925925</v>
      </c>
      <c r="B565" s="7">
        <f t="shared" si="1"/>
        <v>44109</v>
      </c>
      <c r="C565" s="33" t="s">
        <v>15</v>
      </c>
      <c r="D565" s="4" t="s">
        <v>21</v>
      </c>
      <c r="E565" s="4" t="s">
        <v>21</v>
      </c>
      <c r="F565" s="4">
        <f t="shared" si="2"/>
        <v>41</v>
      </c>
    </row>
    <row r="566">
      <c r="A566" s="5">
        <v>44109.382523148146</v>
      </c>
      <c r="B566" s="7">
        <f t="shared" si="1"/>
        <v>44109</v>
      </c>
      <c r="C566" s="33" t="s">
        <v>15</v>
      </c>
      <c r="D566" s="4" t="s">
        <v>21</v>
      </c>
      <c r="E566" s="4" t="s">
        <v>21</v>
      </c>
      <c r="F566" s="4">
        <f t="shared" si="2"/>
        <v>41</v>
      </c>
    </row>
    <row r="567">
      <c r="A567" s="5">
        <v>44265.67037037037</v>
      </c>
      <c r="B567" s="7">
        <f t="shared" si="1"/>
        <v>44265</v>
      </c>
      <c r="C567" s="33" t="s">
        <v>15</v>
      </c>
      <c r="D567" s="4" t="s">
        <v>21</v>
      </c>
      <c r="E567" s="4" t="s">
        <v>21</v>
      </c>
      <c r="F567" s="4">
        <f t="shared" si="2"/>
        <v>11</v>
      </c>
    </row>
    <row r="568">
      <c r="A568" s="5">
        <v>44265.67055555555</v>
      </c>
      <c r="B568" s="7">
        <f t="shared" si="1"/>
        <v>44265</v>
      </c>
      <c r="C568" s="33" t="s">
        <v>15</v>
      </c>
      <c r="D568" s="4" t="s">
        <v>21</v>
      </c>
      <c r="E568" s="4" t="s">
        <v>21</v>
      </c>
      <c r="F568" s="4">
        <f t="shared" si="2"/>
        <v>11</v>
      </c>
    </row>
    <row r="569">
      <c r="A569" s="5">
        <v>44265.67077546296</v>
      </c>
      <c r="B569" s="7">
        <f t="shared" si="1"/>
        <v>44265</v>
      </c>
      <c r="C569" s="33" t="s">
        <v>15</v>
      </c>
      <c r="D569" s="4" t="s">
        <v>21</v>
      </c>
      <c r="E569" s="4" t="s">
        <v>21</v>
      </c>
      <c r="F569" s="4">
        <f t="shared" si="2"/>
        <v>11</v>
      </c>
    </row>
    <row r="570">
      <c r="A570" s="5">
        <v>44265.6709837963</v>
      </c>
      <c r="B570" s="7">
        <f t="shared" si="1"/>
        <v>44265</v>
      </c>
      <c r="C570" s="33" t="s">
        <v>15</v>
      </c>
      <c r="D570" s="4" t="s">
        <v>21</v>
      </c>
      <c r="E570" s="4" t="s">
        <v>21</v>
      </c>
      <c r="F570" s="4">
        <f t="shared" si="2"/>
        <v>11</v>
      </c>
    </row>
    <row r="571">
      <c r="A571" s="5">
        <v>44265.67119212963</v>
      </c>
      <c r="B571" s="7">
        <f t="shared" si="1"/>
        <v>44265</v>
      </c>
      <c r="C571" s="33" t="s">
        <v>15</v>
      </c>
      <c r="D571" s="4" t="s">
        <v>21</v>
      </c>
      <c r="E571" s="4" t="s">
        <v>21</v>
      </c>
      <c r="F571" s="4">
        <f t="shared" si="2"/>
        <v>11</v>
      </c>
    </row>
    <row r="572">
      <c r="A572" s="5">
        <v>44265.67144675926</v>
      </c>
      <c r="B572" s="7">
        <f t="shared" si="1"/>
        <v>44265</v>
      </c>
      <c r="C572" s="33" t="s">
        <v>15</v>
      </c>
      <c r="D572" s="4" t="s">
        <v>21</v>
      </c>
      <c r="E572" s="4" t="s">
        <v>21</v>
      </c>
      <c r="F572" s="4">
        <f t="shared" si="2"/>
        <v>11</v>
      </c>
    </row>
    <row r="573">
      <c r="A573" s="5">
        <v>44265.67167824074</v>
      </c>
      <c r="B573" s="7">
        <f t="shared" si="1"/>
        <v>44265</v>
      </c>
      <c r="C573" s="33" t="s">
        <v>15</v>
      </c>
      <c r="D573" s="4" t="s">
        <v>21</v>
      </c>
      <c r="E573" s="4" t="s">
        <v>21</v>
      </c>
      <c r="F573" s="4">
        <f t="shared" si="2"/>
        <v>11</v>
      </c>
    </row>
    <row r="574">
      <c r="A574" s="5">
        <v>44265.671875</v>
      </c>
      <c r="B574" s="7">
        <f t="shared" si="1"/>
        <v>44265</v>
      </c>
      <c r="C574" s="33" t="s">
        <v>15</v>
      </c>
      <c r="D574" s="4" t="s">
        <v>21</v>
      </c>
      <c r="E574" s="4" t="s">
        <v>21</v>
      </c>
      <c r="F574" s="4">
        <f t="shared" si="2"/>
        <v>11</v>
      </c>
    </row>
    <row r="575">
      <c r="A575" s="5">
        <v>44265.67207175926</v>
      </c>
      <c r="B575" s="7">
        <f t="shared" si="1"/>
        <v>44265</v>
      </c>
      <c r="C575" s="33" t="s">
        <v>15</v>
      </c>
      <c r="D575" s="4" t="s">
        <v>21</v>
      </c>
      <c r="E575" s="4" t="s">
        <v>21</v>
      </c>
      <c r="F575" s="4">
        <f t="shared" si="2"/>
        <v>11</v>
      </c>
    </row>
    <row r="576">
      <c r="A576" s="5">
        <v>44265.67225694445</v>
      </c>
      <c r="B576" s="7">
        <f t="shared" si="1"/>
        <v>44265</v>
      </c>
      <c r="C576" s="33" t="s">
        <v>15</v>
      </c>
      <c r="D576" s="4" t="s">
        <v>21</v>
      </c>
      <c r="E576" s="4" t="s">
        <v>21</v>
      </c>
      <c r="F576" s="4">
        <f t="shared" si="2"/>
        <v>11</v>
      </c>
    </row>
    <row r="577">
      <c r="A577" s="5">
        <v>44265.67244212963</v>
      </c>
      <c r="B577" s="7">
        <f t="shared" si="1"/>
        <v>44265</v>
      </c>
      <c r="C577" s="33" t="s">
        <v>15</v>
      </c>
      <c r="D577" s="4" t="s">
        <v>21</v>
      </c>
      <c r="E577" s="4" t="s">
        <v>21</v>
      </c>
      <c r="F577" s="4">
        <f t="shared" si="2"/>
        <v>11</v>
      </c>
    </row>
    <row r="578">
      <c r="A578" s="5">
        <v>44265.672638888886</v>
      </c>
      <c r="B578" s="7">
        <f t="shared" si="1"/>
        <v>44265</v>
      </c>
      <c r="C578" s="33" t="s">
        <v>15</v>
      </c>
      <c r="D578" s="4" t="s">
        <v>21</v>
      </c>
      <c r="E578" s="4" t="s">
        <v>21</v>
      </c>
      <c r="F578" s="4">
        <f t="shared" si="2"/>
        <v>11</v>
      </c>
    </row>
    <row r="579">
      <c r="A579" s="5">
        <v>44265.67283564815</v>
      </c>
      <c r="B579" s="7">
        <f t="shared" si="1"/>
        <v>44265</v>
      </c>
      <c r="C579" s="33" t="s">
        <v>15</v>
      </c>
      <c r="D579" s="4" t="s">
        <v>21</v>
      </c>
      <c r="E579" s="4" t="s">
        <v>21</v>
      </c>
      <c r="F579" s="4">
        <f t="shared" si="2"/>
        <v>11</v>
      </c>
    </row>
    <row r="580">
      <c r="A580" s="5">
        <v>44265.67302083333</v>
      </c>
      <c r="B580" s="7">
        <f t="shared" si="1"/>
        <v>44265</v>
      </c>
      <c r="C580" s="33" t="s">
        <v>15</v>
      </c>
      <c r="D580" s="4" t="s">
        <v>21</v>
      </c>
      <c r="E580" s="4" t="s">
        <v>21</v>
      </c>
      <c r="F580" s="4">
        <f t="shared" si="2"/>
        <v>11</v>
      </c>
    </row>
    <row r="581">
      <c r="A581" s="5">
        <v>44265.67322916666</v>
      </c>
      <c r="B581" s="7">
        <f t="shared" si="1"/>
        <v>44265</v>
      </c>
      <c r="C581" s="33" t="s">
        <v>15</v>
      </c>
      <c r="D581" s="4" t="s">
        <v>21</v>
      </c>
      <c r="E581" s="4" t="s">
        <v>21</v>
      </c>
      <c r="F581" s="4">
        <f t="shared" si="2"/>
        <v>11</v>
      </c>
    </row>
    <row r="582">
      <c r="A582" s="5">
        <v>44265.67340277778</v>
      </c>
      <c r="B582" s="7">
        <f t="shared" si="1"/>
        <v>44265</v>
      </c>
      <c r="C582" s="33" t="s">
        <v>15</v>
      </c>
      <c r="D582" s="4" t="s">
        <v>21</v>
      </c>
      <c r="E582" s="4" t="s">
        <v>21</v>
      </c>
      <c r="F582" s="4">
        <f t="shared" si="2"/>
        <v>11</v>
      </c>
    </row>
    <row r="583">
      <c r="A583" s="5">
        <v>44265.67358796296</v>
      </c>
      <c r="B583" s="7">
        <f t="shared" si="1"/>
        <v>44265</v>
      </c>
      <c r="C583" s="33" t="s">
        <v>15</v>
      </c>
      <c r="D583" s="4" t="s">
        <v>21</v>
      </c>
      <c r="E583" s="4" t="s">
        <v>21</v>
      </c>
      <c r="F583" s="4">
        <f t="shared" si="2"/>
        <v>11</v>
      </c>
    </row>
    <row r="584">
      <c r="A584" s="5">
        <v>44266.433912037035</v>
      </c>
      <c r="B584" s="7">
        <f t="shared" si="1"/>
        <v>44266</v>
      </c>
      <c r="C584" s="33" t="s">
        <v>15</v>
      </c>
      <c r="D584" s="4" t="s">
        <v>21</v>
      </c>
      <c r="E584" s="4" t="s">
        <v>21</v>
      </c>
      <c r="F584" s="4">
        <f t="shared" si="2"/>
        <v>11</v>
      </c>
    </row>
    <row r="585">
      <c r="A585" s="5">
        <v>44270.692465277774</v>
      </c>
      <c r="B585" s="7">
        <f t="shared" si="1"/>
        <v>44270</v>
      </c>
      <c r="C585" s="33" t="s">
        <v>15</v>
      </c>
      <c r="D585" s="4" t="s">
        <v>21</v>
      </c>
      <c r="E585" s="4" t="s">
        <v>21</v>
      </c>
      <c r="F585" s="4">
        <f t="shared" si="2"/>
        <v>12</v>
      </c>
    </row>
    <row r="586">
      <c r="A586" s="5">
        <v>44270.69263888889</v>
      </c>
      <c r="B586" s="7">
        <f t="shared" si="1"/>
        <v>44270</v>
      </c>
      <c r="C586" s="33" t="s">
        <v>15</v>
      </c>
      <c r="D586" s="4" t="s">
        <v>21</v>
      </c>
      <c r="E586" s="4" t="s">
        <v>21</v>
      </c>
      <c r="F586" s="4">
        <f t="shared" si="2"/>
        <v>12</v>
      </c>
    </row>
    <row r="587">
      <c r="A587" s="5">
        <v>44270.6928125</v>
      </c>
      <c r="B587" s="7">
        <f t="shared" si="1"/>
        <v>44270</v>
      </c>
      <c r="C587" s="33" t="s">
        <v>15</v>
      </c>
      <c r="D587" s="4" t="s">
        <v>21</v>
      </c>
      <c r="E587" s="4" t="s">
        <v>21</v>
      </c>
      <c r="F587" s="4">
        <f t="shared" si="2"/>
        <v>12</v>
      </c>
    </row>
    <row r="588">
      <c r="A588" s="5">
        <v>44295.5919212963</v>
      </c>
      <c r="B588" s="7">
        <f t="shared" si="1"/>
        <v>44295</v>
      </c>
      <c r="C588" s="33" t="s">
        <v>15</v>
      </c>
      <c r="D588" s="4" t="s">
        <v>21</v>
      </c>
      <c r="E588" s="4" t="s">
        <v>21</v>
      </c>
      <c r="F588" s="4">
        <f t="shared" si="2"/>
        <v>15</v>
      </c>
    </row>
    <row r="589">
      <c r="A589" s="5">
        <v>44118.70537037037</v>
      </c>
      <c r="B589" s="7">
        <f t="shared" si="1"/>
        <v>44118</v>
      </c>
      <c r="C589" s="33" t="s">
        <v>15</v>
      </c>
      <c r="D589" s="4" t="s">
        <v>21</v>
      </c>
      <c r="E589" s="4" t="s">
        <v>21</v>
      </c>
      <c r="F589" s="4">
        <f t="shared" si="2"/>
        <v>42</v>
      </c>
    </row>
    <row r="590">
      <c r="A590" s="5">
        <v>44208.58243055556</v>
      </c>
      <c r="B590" s="7">
        <f t="shared" si="1"/>
        <v>44208</v>
      </c>
      <c r="C590" s="33" t="s">
        <v>15</v>
      </c>
      <c r="D590" s="4" t="s">
        <v>21</v>
      </c>
      <c r="E590" s="4" t="s">
        <v>21</v>
      </c>
      <c r="F590" s="4">
        <f t="shared" si="2"/>
        <v>3</v>
      </c>
    </row>
    <row r="591">
      <c r="A591" s="5">
        <v>44048.5184375</v>
      </c>
      <c r="B591" s="7">
        <f t="shared" si="1"/>
        <v>44048</v>
      </c>
      <c r="C591" s="33" t="s">
        <v>15</v>
      </c>
      <c r="D591" s="4" t="s">
        <v>21</v>
      </c>
      <c r="E591" s="4" t="s">
        <v>21</v>
      </c>
      <c r="F591" s="4">
        <f t="shared" si="2"/>
        <v>32</v>
      </c>
    </row>
    <row r="592">
      <c r="A592" s="5">
        <v>44092.291921296295</v>
      </c>
      <c r="B592" s="7">
        <f t="shared" si="1"/>
        <v>44092</v>
      </c>
      <c r="C592" s="33" t="s">
        <v>15</v>
      </c>
      <c r="D592" s="4" t="s">
        <v>21</v>
      </c>
      <c r="E592" s="4" t="s">
        <v>21</v>
      </c>
      <c r="F592" s="4">
        <f t="shared" si="2"/>
        <v>38</v>
      </c>
    </row>
    <row r="593">
      <c r="A593" s="5">
        <v>44095.38903935185</v>
      </c>
      <c r="B593" s="7">
        <f t="shared" si="1"/>
        <v>44095</v>
      </c>
      <c r="C593" s="33" t="s">
        <v>15</v>
      </c>
      <c r="D593" s="4" t="s">
        <v>21</v>
      </c>
      <c r="E593" s="4" t="s">
        <v>21</v>
      </c>
      <c r="F593" s="4">
        <f t="shared" si="2"/>
        <v>39</v>
      </c>
    </row>
    <row r="594">
      <c r="A594" s="5">
        <v>44098.513090277775</v>
      </c>
      <c r="B594" s="7">
        <f t="shared" si="1"/>
        <v>44098</v>
      </c>
      <c r="C594" s="33" t="s">
        <v>15</v>
      </c>
      <c r="D594" s="4" t="s">
        <v>21</v>
      </c>
      <c r="E594" s="4" t="s">
        <v>21</v>
      </c>
      <c r="F594" s="4">
        <f t="shared" si="2"/>
        <v>39</v>
      </c>
    </row>
    <row r="595">
      <c r="A595" s="5">
        <v>44098.513553240744</v>
      </c>
      <c r="B595" s="7">
        <f t="shared" si="1"/>
        <v>44098</v>
      </c>
      <c r="C595" s="33" t="s">
        <v>15</v>
      </c>
      <c r="D595" s="4" t="s">
        <v>21</v>
      </c>
      <c r="E595" s="4" t="s">
        <v>21</v>
      </c>
      <c r="F595" s="4">
        <f t="shared" si="2"/>
        <v>39</v>
      </c>
    </row>
    <row r="596">
      <c r="A596" s="5">
        <v>44104.523125</v>
      </c>
      <c r="B596" s="7">
        <f t="shared" si="1"/>
        <v>44104</v>
      </c>
      <c r="C596" s="33" t="s">
        <v>15</v>
      </c>
      <c r="D596" s="4" t="s">
        <v>21</v>
      </c>
      <c r="E596" s="4" t="s">
        <v>21</v>
      </c>
      <c r="F596" s="4">
        <f t="shared" si="2"/>
        <v>40</v>
      </c>
    </row>
    <row r="597">
      <c r="A597" s="5">
        <v>44130.66587962963</v>
      </c>
      <c r="B597" s="7">
        <f t="shared" si="1"/>
        <v>44130</v>
      </c>
      <c r="C597" s="33" t="s">
        <v>15</v>
      </c>
      <c r="D597" s="4" t="s">
        <v>21</v>
      </c>
      <c r="E597" s="4" t="s">
        <v>21</v>
      </c>
      <c r="F597" s="4">
        <f t="shared" si="2"/>
        <v>44</v>
      </c>
    </row>
    <row r="598">
      <c r="A598" s="5">
        <v>44165.382835648146</v>
      </c>
      <c r="B598" s="7">
        <f t="shared" si="1"/>
        <v>44165</v>
      </c>
      <c r="C598" s="33" t="s">
        <v>15</v>
      </c>
      <c r="D598" s="4" t="s">
        <v>21</v>
      </c>
      <c r="E598" s="4" t="s">
        <v>21</v>
      </c>
      <c r="F598" s="4">
        <f t="shared" si="2"/>
        <v>49</v>
      </c>
    </row>
    <row r="599">
      <c r="A599" s="5">
        <v>44166.646527777775</v>
      </c>
      <c r="B599" s="7">
        <f t="shared" si="1"/>
        <v>44166</v>
      </c>
      <c r="C599" s="33" t="s">
        <v>15</v>
      </c>
      <c r="D599" s="4" t="s">
        <v>21</v>
      </c>
      <c r="E599" s="4" t="s">
        <v>21</v>
      </c>
      <c r="F599" s="4">
        <f t="shared" si="2"/>
        <v>49</v>
      </c>
    </row>
    <row r="600">
      <c r="A600" s="5">
        <v>44168.661307870374</v>
      </c>
      <c r="B600" s="7">
        <f t="shared" si="1"/>
        <v>44168</v>
      </c>
      <c r="C600" s="33" t="s">
        <v>15</v>
      </c>
      <c r="D600" s="4" t="s">
        <v>21</v>
      </c>
      <c r="E600" s="4" t="s">
        <v>21</v>
      </c>
      <c r="F600" s="4">
        <f t="shared" si="2"/>
        <v>49</v>
      </c>
    </row>
    <row r="601">
      <c r="A601" s="5">
        <v>44182.588217592594</v>
      </c>
      <c r="B601" s="7">
        <f t="shared" si="1"/>
        <v>44182</v>
      </c>
      <c r="C601" s="33" t="s">
        <v>15</v>
      </c>
      <c r="D601" s="4" t="s">
        <v>21</v>
      </c>
      <c r="E601" s="4" t="s">
        <v>21</v>
      </c>
      <c r="F601" s="4">
        <f t="shared" si="2"/>
        <v>51</v>
      </c>
    </row>
    <row r="602">
      <c r="A602" s="5">
        <v>44229.67427083333</v>
      </c>
      <c r="B602" s="7">
        <f t="shared" si="1"/>
        <v>44229</v>
      </c>
      <c r="C602" s="33" t="s">
        <v>15</v>
      </c>
      <c r="D602" s="4" t="s">
        <v>21</v>
      </c>
      <c r="E602" s="4" t="s">
        <v>21</v>
      </c>
      <c r="F602" s="4">
        <f t="shared" si="2"/>
        <v>6</v>
      </c>
    </row>
    <row r="603">
      <c r="A603" s="5">
        <v>44256.600173611114</v>
      </c>
      <c r="B603" s="7">
        <f t="shared" si="1"/>
        <v>44256</v>
      </c>
      <c r="C603" s="33" t="s">
        <v>15</v>
      </c>
      <c r="D603" s="4" t="s">
        <v>21</v>
      </c>
      <c r="E603" s="4" t="s">
        <v>21</v>
      </c>
      <c r="F603" s="4">
        <f t="shared" si="2"/>
        <v>10</v>
      </c>
    </row>
    <row r="604">
      <c r="A604" s="5">
        <v>44265.99122685185</v>
      </c>
      <c r="B604" s="7">
        <f t="shared" si="1"/>
        <v>44265</v>
      </c>
      <c r="C604" s="33" t="s">
        <v>15</v>
      </c>
      <c r="D604" s="4" t="s">
        <v>21</v>
      </c>
      <c r="E604" s="4" t="s">
        <v>21</v>
      </c>
      <c r="F604" s="4">
        <f t="shared" si="2"/>
        <v>11</v>
      </c>
    </row>
    <row r="605">
      <c r="A605" s="5">
        <v>44266.73</v>
      </c>
      <c r="B605" s="7">
        <f t="shared" si="1"/>
        <v>44266</v>
      </c>
      <c r="C605" s="33" t="s">
        <v>15</v>
      </c>
      <c r="D605" s="4" t="s">
        <v>21</v>
      </c>
      <c r="E605" s="4" t="s">
        <v>21</v>
      </c>
      <c r="F605" s="4">
        <f t="shared" si="2"/>
        <v>11</v>
      </c>
    </row>
    <row r="606">
      <c r="A606" s="5">
        <v>44272.726793981485</v>
      </c>
      <c r="B606" s="7">
        <f t="shared" si="1"/>
        <v>44272</v>
      </c>
      <c r="C606" s="33" t="s">
        <v>15</v>
      </c>
      <c r="D606" s="4" t="s">
        <v>21</v>
      </c>
      <c r="E606" s="4" t="s">
        <v>21</v>
      </c>
      <c r="F606" s="4">
        <f t="shared" si="2"/>
        <v>12</v>
      </c>
    </row>
    <row r="607">
      <c r="A607" s="5">
        <v>44279.664189814815</v>
      </c>
      <c r="B607" s="7">
        <f t="shared" si="1"/>
        <v>44279</v>
      </c>
      <c r="C607" s="33" t="s">
        <v>15</v>
      </c>
      <c r="D607" s="4" t="s">
        <v>21</v>
      </c>
      <c r="E607" s="4" t="s">
        <v>21</v>
      </c>
      <c r="F607" s="4">
        <f t="shared" si="2"/>
        <v>13</v>
      </c>
    </row>
    <row r="608">
      <c r="A608" s="5">
        <v>44284.94509259259</v>
      </c>
      <c r="B608" s="7">
        <f t="shared" si="1"/>
        <v>44284</v>
      </c>
      <c r="C608" s="33" t="s">
        <v>15</v>
      </c>
      <c r="D608" s="4" t="s">
        <v>21</v>
      </c>
      <c r="E608" s="4" t="s">
        <v>21</v>
      </c>
      <c r="F608" s="4">
        <f t="shared" si="2"/>
        <v>14</v>
      </c>
    </row>
    <row r="609">
      <c r="A609" s="5">
        <v>44300.367106481484</v>
      </c>
      <c r="B609" s="7">
        <f t="shared" si="1"/>
        <v>44300</v>
      </c>
      <c r="C609" s="33" t="s">
        <v>15</v>
      </c>
      <c r="D609" s="4" t="s">
        <v>21</v>
      </c>
      <c r="E609" s="4" t="s">
        <v>21</v>
      </c>
      <c r="F609" s="4">
        <f t="shared" si="2"/>
        <v>16</v>
      </c>
    </row>
    <row r="610">
      <c r="A610" s="5">
        <v>44300.915983796294</v>
      </c>
      <c r="B610" s="7">
        <f t="shared" si="1"/>
        <v>44300</v>
      </c>
      <c r="C610" s="33" t="s">
        <v>15</v>
      </c>
      <c r="D610" s="4" t="s">
        <v>21</v>
      </c>
      <c r="E610" s="4" t="s">
        <v>21</v>
      </c>
      <c r="F610" s="4">
        <f t="shared" si="2"/>
        <v>16</v>
      </c>
    </row>
    <row r="611">
      <c r="A611" s="5">
        <v>44307.77244212963</v>
      </c>
      <c r="B611" s="7">
        <f t="shared" si="1"/>
        <v>44307</v>
      </c>
      <c r="C611" s="33" t="s">
        <v>15</v>
      </c>
      <c r="D611" s="4" t="s">
        <v>21</v>
      </c>
      <c r="E611" s="4" t="s">
        <v>21</v>
      </c>
      <c r="F611" s="4">
        <f t="shared" si="2"/>
        <v>17</v>
      </c>
    </row>
    <row r="612">
      <c r="A612" s="5">
        <v>44308.453194444446</v>
      </c>
      <c r="B612" s="7">
        <f t="shared" si="1"/>
        <v>44308</v>
      </c>
      <c r="C612" s="33" t="s">
        <v>15</v>
      </c>
      <c r="D612" s="4" t="s">
        <v>21</v>
      </c>
      <c r="E612" s="4" t="s">
        <v>21</v>
      </c>
      <c r="F612" s="4">
        <f t="shared" si="2"/>
        <v>17</v>
      </c>
    </row>
    <row r="613">
      <c r="A613" s="5">
        <v>44322.37021990741</v>
      </c>
      <c r="B613" s="7">
        <f t="shared" si="1"/>
        <v>44322</v>
      </c>
      <c r="C613" s="33" t="s">
        <v>15</v>
      </c>
      <c r="D613" s="4" t="s">
        <v>21</v>
      </c>
      <c r="E613" s="4" t="s">
        <v>21</v>
      </c>
      <c r="F613" s="4">
        <f t="shared" si="2"/>
        <v>19</v>
      </c>
    </row>
    <row r="614">
      <c r="A614" s="5">
        <v>44329.74420138889</v>
      </c>
      <c r="B614" s="7">
        <f t="shared" si="1"/>
        <v>44329</v>
      </c>
      <c r="C614" s="33" t="s">
        <v>15</v>
      </c>
      <c r="D614" s="4" t="s">
        <v>21</v>
      </c>
      <c r="E614" s="4" t="s">
        <v>21</v>
      </c>
      <c r="F614" s="4">
        <f t="shared" si="2"/>
        <v>20</v>
      </c>
    </row>
    <row r="615">
      <c r="A615" s="5">
        <v>44336.37774305556</v>
      </c>
      <c r="B615" s="7">
        <f t="shared" si="1"/>
        <v>44336</v>
      </c>
      <c r="C615" s="33" t="s">
        <v>15</v>
      </c>
      <c r="D615" s="4" t="s">
        <v>21</v>
      </c>
      <c r="E615" s="4" t="s">
        <v>21</v>
      </c>
      <c r="F615" s="4">
        <f t="shared" si="2"/>
        <v>21</v>
      </c>
    </row>
    <row r="616">
      <c r="A616" s="5">
        <v>44358.31570601852</v>
      </c>
      <c r="B616" s="7">
        <f t="shared" si="1"/>
        <v>44358</v>
      </c>
      <c r="C616" s="33" t="s">
        <v>15</v>
      </c>
      <c r="D616" s="4" t="s">
        <v>21</v>
      </c>
      <c r="E616" s="4" t="s">
        <v>21</v>
      </c>
      <c r="F616" s="4">
        <f t="shared" si="2"/>
        <v>24</v>
      </c>
    </row>
    <row r="617">
      <c r="A617" s="5">
        <v>44360.43585648148</v>
      </c>
      <c r="B617" s="7">
        <f t="shared" si="1"/>
        <v>44360</v>
      </c>
      <c r="C617" s="33" t="s">
        <v>15</v>
      </c>
      <c r="D617" s="4" t="s">
        <v>21</v>
      </c>
      <c r="E617" s="4" t="s">
        <v>21</v>
      </c>
      <c r="F617" s="4">
        <f t="shared" si="2"/>
        <v>25</v>
      </c>
    </row>
    <row r="618">
      <c r="A618" s="5">
        <v>44365.50640046296</v>
      </c>
      <c r="B618" s="7">
        <f t="shared" si="1"/>
        <v>44365</v>
      </c>
      <c r="C618" s="33" t="s">
        <v>15</v>
      </c>
      <c r="D618" s="4" t="s">
        <v>21</v>
      </c>
      <c r="E618" s="4" t="s">
        <v>21</v>
      </c>
      <c r="F618" s="4">
        <f t="shared" si="2"/>
        <v>25</v>
      </c>
    </row>
    <row r="619">
      <c r="A619" s="5">
        <v>44112.42196759259</v>
      </c>
      <c r="B619" s="7">
        <f t="shared" si="1"/>
        <v>44112</v>
      </c>
      <c r="C619" s="33" t="s">
        <v>15</v>
      </c>
      <c r="D619" s="4" t="s">
        <v>21</v>
      </c>
      <c r="E619" s="4" t="s">
        <v>21</v>
      </c>
      <c r="F619" s="4">
        <f t="shared" si="2"/>
        <v>41</v>
      </c>
    </row>
    <row r="620">
      <c r="A620" s="5">
        <v>44125.595347222225</v>
      </c>
      <c r="B620" s="7">
        <f t="shared" si="1"/>
        <v>44125</v>
      </c>
      <c r="C620" s="33" t="s">
        <v>15</v>
      </c>
      <c r="D620" s="4" t="s">
        <v>21</v>
      </c>
      <c r="E620" s="4" t="s">
        <v>21</v>
      </c>
      <c r="F620" s="4">
        <f t="shared" si="2"/>
        <v>43</v>
      </c>
    </row>
    <row r="621">
      <c r="A621" s="5">
        <v>44183.60140046296</v>
      </c>
      <c r="B621" s="7">
        <f t="shared" si="1"/>
        <v>44183</v>
      </c>
      <c r="C621" s="33" t="s">
        <v>15</v>
      </c>
      <c r="D621" s="4" t="s">
        <v>21</v>
      </c>
      <c r="E621" s="4" t="s">
        <v>21</v>
      </c>
      <c r="F621" s="4">
        <f t="shared" si="2"/>
        <v>51</v>
      </c>
    </row>
    <row r="622">
      <c r="A622" s="5">
        <v>44292.38822916667</v>
      </c>
      <c r="B622" s="7">
        <f t="shared" si="1"/>
        <v>44292</v>
      </c>
      <c r="C622" s="33" t="s">
        <v>15</v>
      </c>
      <c r="D622" s="4" t="s">
        <v>21</v>
      </c>
      <c r="E622" s="4" t="s">
        <v>21</v>
      </c>
      <c r="F622" s="4">
        <f t="shared" si="2"/>
        <v>15</v>
      </c>
    </row>
    <row r="623">
      <c r="A623" s="5">
        <v>44328.35962962963</v>
      </c>
      <c r="B623" s="7">
        <f t="shared" si="1"/>
        <v>44328</v>
      </c>
      <c r="C623" s="33" t="s">
        <v>15</v>
      </c>
      <c r="D623" s="4" t="s">
        <v>21</v>
      </c>
      <c r="E623" s="4" t="s">
        <v>21</v>
      </c>
      <c r="F623" s="4">
        <f t="shared" si="2"/>
        <v>20</v>
      </c>
    </row>
    <row r="624">
      <c r="A624" s="5">
        <v>44342.62946759259</v>
      </c>
      <c r="B624" s="7">
        <f t="shared" si="1"/>
        <v>44342</v>
      </c>
      <c r="C624" s="33" t="s">
        <v>15</v>
      </c>
      <c r="D624" s="4" t="s">
        <v>21</v>
      </c>
      <c r="E624" s="4" t="s">
        <v>21</v>
      </c>
      <c r="F624" s="4">
        <f t="shared" si="2"/>
        <v>22</v>
      </c>
    </row>
    <row r="625">
      <c r="A625" s="5">
        <v>44206.61849537037</v>
      </c>
      <c r="B625" s="7">
        <f t="shared" si="1"/>
        <v>44206</v>
      </c>
      <c r="C625" s="33" t="s">
        <v>15</v>
      </c>
      <c r="D625" s="4" t="s">
        <v>21</v>
      </c>
      <c r="E625" s="4" t="s">
        <v>21</v>
      </c>
      <c r="F625" s="4">
        <f t="shared" si="2"/>
        <v>3</v>
      </c>
    </row>
    <row r="626">
      <c r="A626" s="5">
        <v>44223.03364583333</v>
      </c>
      <c r="B626" s="7">
        <f t="shared" si="1"/>
        <v>44223</v>
      </c>
      <c r="C626" s="33" t="s">
        <v>15</v>
      </c>
      <c r="D626" s="4" t="s">
        <v>21</v>
      </c>
      <c r="E626" s="4" t="s">
        <v>21</v>
      </c>
      <c r="F626" s="4">
        <f t="shared" si="2"/>
        <v>5</v>
      </c>
    </row>
    <row r="627">
      <c r="A627" s="5">
        <v>44256.66693287037</v>
      </c>
      <c r="B627" s="7">
        <f t="shared" si="1"/>
        <v>44256</v>
      </c>
      <c r="C627" s="33" t="s">
        <v>15</v>
      </c>
      <c r="D627" s="4" t="s">
        <v>21</v>
      </c>
      <c r="E627" s="4" t="s">
        <v>21</v>
      </c>
      <c r="F627" s="4">
        <f t="shared" si="2"/>
        <v>10</v>
      </c>
    </row>
    <row r="628">
      <c r="A628" s="5">
        <v>44285.70238425926</v>
      </c>
      <c r="B628" s="7">
        <f t="shared" si="1"/>
        <v>44285</v>
      </c>
      <c r="C628" s="33" t="s">
        <v>15</v>
      </c>
      <c r="D628" s="4" t="s">
        <v>21</v>
      </c>
      <c r="E628" s="4" t="s">
        <v>21</v>
      </c>
      <c r="F628" s="4">
        <f t="shared" si="2"/>
        <v>14</v>
      </c>
    </row>
    <row r="629">
      <c r="A629" s="5">
        <v>44356.347974537035</v>
      </c>
      <c r="B629" s="7">
        <f t="shared" si="1"/>
        <v>44356</v>
      </c>
      <c r="C629" s="33" t="s">
        <v>15</v>
      </c>
      <c r="D629" s="4" t="s">
        <v>21</v>
      </c>
      <c r="E629" s="4" t="s">
        <v>21</v>
      </c>
      <c r="F629" s="4">
        <f t="shared" si="2"/>
        <v>24</v>
      </c>
    </row>
    <row r="630">
      <c r="A630" s="5">
        <v>44300.681655092594</v>
      </c>
      <c r="B630" s="7">
        <f t="shared" si="1"/>
        <v>44300</v>
      </c>
      <c r="C630" s="33" t="s">
        <v>15</v>
      </c>
      <c r="D630" s="4" t="s">
        <v>21</v>
      </c>
      <c r="E630" s="4" t="s">
        <v>21</v>
      </c>
      <c r="F630" s="4">
        <f t="shared" si="2"/>
        <v>16</v>
      </c>
    </row>
    <row r="631">
      <c r="A631" s="5">
        <v>44209.16872685185</v>
      </c>
      <c r="B631" s="7">
        <f t="shared" si="1"/>
        <v>44209</v>
      </c>
      <c r="C631" s="33" t="s">
        <v>15</v>
      </c>
      <c r="D631" s="4" t="s">
        <v>21</v>
      </c>
      <c r="E631" s="4" t="s">
        <v>21</v>
      </c>
      <c r="F631" s="4">
        <f t="shared" si="2"/>
        <v>3</v>
      </c>
    </row>
    <row r="632">
      <c r="A632" s="5">
        <v>44301.34349537037</v>
      </c>
      <c r="B632" s="7">
        <f t="shared" si="1"/>
        <v>44301</v>
      </c>
      <c r="C632" s="33" t="s">
        <v>15</v>
      </c>
      <c r="D632" s="4" t="s">
        <v>21</v>
      </c>
      <c r="E632" s="4" t="s">
        <v>21</v>
      </c>
      <c r="F632" s="4">
        <f t="shared" si="2"/>
        <v>16</v>
      </c>
    </row>
    <row r="633">
      <c r="A633" s="5">
        <v>44151.744780092595</v>
      </c>
      <c r="B633" s="7">
        <f t="shared" si="1"/>
        <v>44151</v>
      </c>
      <c r="C633" s="33" t="s">
        <v>15</v>
      </c>
      <c r="D633" s="4" t="s">
        <v>21</v>
      </c>
      <c r="E633" s="4" t="s">
        <v>21</v>
      </c>
      <c r="F633" s="4">
        <f t="shared" si="2"/>
        <v>47</v>
      </c>
    </row>
    <row r="634">
      <c r="A634" s="5">
        <v>44090.37596064815</v>
      </c>
      <c r="B634" s="7">
        <f t="shared" si="1"/>
        <v>44090</v>
      </c>
      <c r="C634" s="33" t="s">
        <v>15</v>
      </c>
      <c r="D634" s="4" t="s">
        <v>21</v>
      </c>
      <c r="E634" s="4" t="s">
        <v>21</v>
      </c>
      <c r="F634" s="4">
        <f t="shared" si="2"/>
        <v>38</v>
      </c>
    </row>
    <row r="635">
      <c r="A635" s="5">
        <v>44186.49549768519</v>
      </c>
      <c r="B635" s="7">
        <f t="shared" si="1"/>
        <v>44186</v>
      </c>
      <c r="C635" s="33" t="s">
        <v>15</v>
      </c>
      <c r="D635" s="4" t="s">
        <v>21</v>
      </c>
      <c r="E635" s="4" t="s">
        <v>21</v>
      </c>
      <c r="F635" s="4">
        <f t="shared" si="2"/>
        <v>52</v>
      </c>
    </row>
    <row r="636">
      <c r="A636" s="5">
        <v>44053.41888888889</v>
      </c>
      <c r="B636" s="7">
        <f t="shared" si="1"/>
        <v>44053</v>
      </c>
      <c r="C636" s="33" t="s">
        <v>15</v>
      </c>
      <c r="D636" s="4" t="s">
        <v>21</v>
      </c>
      <c r="E636" s="4" t="s">
        <v>21</v>
      </c>
      <c r="F636" s="4">
        <f t="shared" si="2"/>
        <v>33</v>
      </c>
    </row>
    <row r="637">
      <c r="A637" s="5">
        <v>44098.51400462963</v>
      </c>
      <c r="B637" s="7">
        <f t="shared" si="1"/>
        <v>44098</v>
      </c>
      <c r="C637" s="33" t="s">
        <v>15</v>
      </c>
      <c r="D637" s="4" t="s">
        <v>21</v>
      </c>
      <c r="E637" s="4" t="s">
        <v>21</v>
      </c>
      <c r="F637" s="4">
        <f t="shared" si="2"/>
        <v>39</v>
      </c>
    </row>
    <row r="638">
      <c r="A638" s="5">
        <v>44098.514872685184</v>
      </c>
      <c r="B638" s="7">
        <f t="shared" si="1"/>
        <v>44098</v>
      </c>
      <c r="C638" s="33" t="s">
        <v>15</v>
      </c>
      <c r="D638" s="4" t="s">
        <v>21</v>
      </c>
      <c r="E638" s="4" t="s">
        <v>21</v>
      </c>
      <c r="F638" s="4">
        <f t="shared" si="2"/>
        <v>39</v>
      </c>
    </row>
    <row r="639">
      <c r="A639" s="5">
        <v>44161.410208333335</v>
      </c>
      <c r="B639" s="7">
        <f t="shared" si="1"/>
        <v>44161</v>
      </c>
      <c r="C639" s="33" t="s">
        <v>15</v>
      </c>
      <c r="D639" s="4" t="s">
        <v>21</v>
      </c>
      <c r="E639" s="4" t="s">
        <v>21</v>
      </c>
      <c r="F639" s="4">
        <f t="shared" si="2"/>
        <v>48</v>
      </c>
    </row>
    <row r="640">
      <c r="A640" s="5">
        <v>44175.50780092592</v>
      </c>
      <c r="B640" s="7">
        <f t="shared" si="1"/>
        <v>44175</v>
      </c>
      <c r="C640" s="33" t="s">
        <v>15</v>
      </c>
      <c r="D640" s="4" t="s">
        <v>21</v>
      </c>
      <c r="E640" s="4" t="s">
        <v>21</v>
      </c>
      <c r="F640" s="4">
        <f t="shared" si="2"/>
        <v>50</v>
      </c>
    </row>
    <row r="641">
      <c r="A641" s="5">
        <v>44175.51467592592</v>
      </c>
      <c r="B641" s="7">
        <f t="shared" si="1"/>
        <v>44175</v>
      </c>
      <c r="C641" s="33" t="s">
        <v>15</v>
      </c>
      <c r="D641" s="4" t="s">
        <v>21</v>
      </c>
      <c r="E641" s="4" t="s">
        <v>21</v>
      </c>
      <c r="F641" s="4">
        <f t="shared" si="2"/>
        <v>50</v>
      </c>
    </row>
    <row r="642">
      <c r="A642" s="5">
        <v>44175.59789351852</v>
      </c>
      <c r="B642" s="7">
        <f t="shared" si="1"/>
        <v>44175</v>
      </c>
      <c r="C642" s="33" t="s">
        <v>15</v>
      </c>
      <c r="D642" s="4" t="s">
        <v>21</v>
      </c>
      <c r="E642" s="4" t="s">
        <v>21</v>
      </c>
      <c r="F642" s="4">
        <f t="shared" si="2"/>
        <v>50</v>
      </c>
    </row>
    <row r="643">
      <c r="A643" s="5">
        <v>44176.362222222226</v>
      </c>
      <c r="B643" s="7">
        <f t="shared" si="1"/>
        <v>44176</v>
      </c>
      <c r="C643" s="33" t="s">
        <v>15</v>
      </c>
      <c r="D643" s="4" t="s">
        <v>21</v>
      </c>
      <c r="E643" s="4" t="s">
        <v>21</v>
      </c>
      <c r="F643" s="4">
        <f t="shared" si="2"/>
        <v>50</v>
      </c>
    </row>
    <row r="644">
      <c r="A644" s="5">
        <v>44176.55642361111</v>
      </c>
      <c r="B644" s="7">
        <f t="shared" si="1"/>
        <v>44176</v>
      </c>
      <c r="C644" s="33" t="s">
        <v>15</v>
      </c>
      <c r="D644" s="4" t="s">
        <v>21</v>
      </c>
      <c r="E644" s="4" t="s">
        <v>21</v>
      </c>
      <c r="F644" s="4">
        <f t="shared" si="2"/>
        <v>50</v>
      </c>
    </row>
    <row r="645">
      <c r="A645" s="5">
        <v>44181.0490625</v>
      </c>
      <c r="B645" s="7">
        <f t="shared" si="1"/>
        <v>44181</v>
      </c>
      <c r="C645" s="33" t="s">
        <v>15</v>
      </c>
      <c r="D645" s="4" t="s">
        <v>21</v>
      </c>
      <c r="E645" s="4" t="s">
        <v>21</v>
      </c>
      <c r="F645" s="4">
        <f t="shared" si="2"/>
        <v>51</v>
      </c>
    </row>
    <row r="646">
      <c r="A646" s="5">
        <v>44181.45211805555</v>
      </c>
      <c r="B646" s="7">
        <f t="shared" si="1"/>
        <v>44181</v>
      </c>
      <c r="C646" s="33" t="s">
        <v>15</v>
      </c>
      <c r="D646" s="4" t="s">
        <v>21</v>
      </c>
      <c r="E646" s="4" t="s">
        <v>21</v>
      </c>
      <c r="F646" s="4">
        <f t="shared" si="2"/>
        <v>51</v>
      </c>
    </row>
    <row r="647">
      <c r="A647" s="5">
        <v>44201.44552083333</v>
      </c>
      <c r="B647" s="7">
        <f t="shared" si="1"/>
        <v>44201</v>
      </c>
      <c r="C647" s="33" t="s">
        <v>15</v>
      </c>
      <c r="D647" s="4" t="s">
        <v>23</v>
      </c>
      <c r="E647" s="4" t="s">
        <v>21</v>
      </c>
      <c r="F647" s="4">
        <f t="shared" si="2"/>
        <v>2</v>
      </c>
    </row>
    <row r="648">
      <c r="A648" s="5">
        <v>44201.57019675926</v>
      </c>
      <c r="B648" s="7">
        <f t="shared" si="1"/>
        <v>44201</v>
      </c>
      <c r="C648" s="33" t="s">
        <v>15</v>
      </c>
      <c r="D648" s="4" t="s">
        <v>23</v>
      </c>
      <c r="E648" s="4" t="s">
        <v>21</v>
      </c>
      <c r="F648" s="4">
        <f t="shared" si="2"/>
        <v>2</v>
      </c>
    </row>
    <row r="649">
      <c r="A649" s="5">
        <v>44208.41768518519</v>
      </c>
      <c r="B649" s="7">
        <f t="shared" si="1"/>
        <v>44208</v>
      </c>
      <c r="C649" s="33" t="s">
        <v>15</v>
      </c>
      <c r="D649" s="4" t="s">
        <v>21</v>
      </c>
      <c r="E649" s="4" t="s">
        <v>21</v>
      </c>
      <c r="F649" s="4">
        <f t="shared" si="2"/>
        <v>3</v>
      </c>
    </row>
    <row r="650">
      <c r="A650" s="5">
        <v>44216.3269212963</v>
      </c>
      <c r="B650" s="7">
        <f t="shared" si="1"/>
        <v>44216</v>
      </c>
      <c r="C650" s="33" t="s">
        <v>15</v>
      </c>
      <c r="D650" s="4" t="s">
        <v>21</v>
      </c>
      <c r="E650" s="4" t="s">
        <v>21</v>
      </c>
      <c r="F650" s="4">
        <f t="shared" si="2"/>
        <v>4</v>
      </c>
    </row>
    <row r="651">
      <c r="A651" s="5">
        <v>44216.41079861111</v>
      </c>
      <c r="B651" s="7">
        <f t="shared" si="1"/>
        <v>44216</v>
      </c>
      <c r="C651" s="33" t="s">
        <v>15</v>
      </c>
      <c r="D651" s="4" t="s">
        <v>21</v>
      </c>
      <c r="E651" s="4" t="s">
        <v>21</v>
      </c>
      <c r="F651" s="4">
        <f t="shared" si="2"/>
        <v>4</v>
      </c>
    </row>
    <row r="652">
      <c r="A652" s="5">
        <v>44217.369259259256</v>
      </c>
      <c r="B652" s="7">
        <f t="shared" si="1"/>
        <v>44217</v>
      </c>
      <c r="C652" s="33" t="s">
        <v>15</v>
      </c>
      <c r="D652" s="4" t="s">
        <v>21</v>
      </c>
      <c r="E652" s="4" t="s">
        <v>21</v>
      </c>
      <c r="F652" s="4">
        <f t="shared" si="2"/>
        <v>4</v>
      </c>
    </row>
    <row r="653">
      <c r="A653" s="5">
        <v>44235.376076388886</v>
      </c>
      <c r="B653" s="7">
        <f t="shared" si="1"/>
        <v>44235</v>
      </c>
      <c r="C653" s="33" t="s">
        <v>15</v>
      </c>
      <c r="D653" s="4" t="s">
        <v>21</v>
      </c>
      <c r="E653" s="4" t="s">
        <v>21</v>
      </c>
      <c r="F653" s="4">
        <f t="shared" si="2"/>
        <v>7</v>
      </c>
    </row>
    <row r="654">
      <c r="A654" s="5">
        <v>44235.722858796296</v>
      </c>
      <c r="B654" s="7">
        <f t="shared" si="1"/>
        <v>44235</v>
      </c>
      <c r="C654" s="33" t="s">
        <v>15</v>
      </c>
      <c r="D654" s="4" t="s">
        <v>21</v>
      </c>
      <c r="E654" s="4" t="s">
        <v>21</v>
      </c>
      <c r="F654" s="4">
        <f t="shared" si="2"/>
        <v>7</v>
      </c>
    </row>
    <row r="655">
      <c r="A655" s="5">
        <v>44236.425578703704</v>
      </c>
      <c r="B655" s="7">
        <f t="shared" si="1"/>
        <v>44236</v>
      </c>
      <c r="C655" s="33" t="s">
        <v>15</v>
      </c>
      <c r="D655" s="4" t="s">
        <v>21</v>
      </c>
      <c r="E655" s="4" t="s">
        <v>21</v>
      </c>
      <c r="F655" s="4">
        <f t="shared" si="2"/>
        <v>7</v>
      </c>
    </row>
    <row r="656">
      <c r="A656" s="5">
        <v>44272.68341435185</v>
      </c>
      <c r="B656" s="7">
        <f t="shared" si="1"/>
        <v>44272</v>
      </c>
      <c r="C656" s="33" t="s">
        <v>15</v>
      </c>
      <c r="D656" s="4" t="s">
        <v>21</v>
      </c>
      <c r="E656" s="4" t="s">
        <v>21</v>
      </c>
      <c r="F656" s="4">
        <f t="shared" si="2"/>
        <v>12</v>
      </c>
    </row>
    <row r="657">
      <c r="A657" s="5">
        <v>44286.419537037036</v>
      </c>
      <c r="B657" s="7">
        <f t="shared" si="1"/>
        <v>44286</v>
      </c>
      <c r="C657" s="33" t="s">
        <v>15</v>
      </c>
      <c r="D657" s="4" t="s">
        <v>21</v>
      </c>
      <c r="E657" s="4" t="s">
        <v>21</v>
      </c>
      <c r="F657" s="4">
        <f t="shared" si="2"/>
        <v>14</v>
      </c>
    </row>
    <row r="658">
      <c r="A658" s="5">
        <v>44292.340995370374</v>
      </c>
      <c r="B658" s="7">
        <f t="shared" si="1"/>
        <v>44292</v>
      </c>
      <c r="C658" s="33" t="s">
        <v>15</v>
      </c>
      <c r="D658" s="4" t="s">
        <v>21</v>
      </c>
      <c r="E658" s="4" t="s">
        <v>21</v>
      </c>
      <c r="F658" s="4">
        <f t="shared" si="2"/>
        <v>15</v>
      </c>
    </row>
    <row r="659">
      <c r="A659" s="5">
        <v>44298.536412037036</v>
      </c>
      <c r="B659" s="7">
        <f t="shared" si="1"/>
        <v>44298</v>
      </c>
      <c r="C659" s="33" t="s">
        <v>15</v>
      </c>
      <c r="D659" s="4" t="s">
        <v>21</v>
      </c>
      <c r="E659" s="4" t="s">
        <v>21</v>
      </c>
      <c r="F659" s="4">
        <f t="shared" si="2"/>
        <v>16</v>
      </c>
    </row>
    <row r="660">
      <c r="A660" s="5">
        <v>44319.32760416667</v>
      </c>
      <c r="B660" s="7">
        <f t="shared" si="1"/>
        <v>44319</v>
      </c>
      <c r="C660" s="33" t="s">
        <v>15</v>
      </c>
      <c r="D660" s="4" t="s">
        <v>21</v>
      </c>
      <c r="E660" s="4" t="s">
        <v>21</v>
      </c>
      <c r="F660" s="4">
        <f t="shared" si="2"/>
        <v>19</v>
      </c>
    </row>
    <row r="661">
      <c r="A661" s="5">
        <v>44342.3203125</v>
      </c>
      <c r="B661" s="7">
        <f t="shared" si="1"/>
        <v>44342</v>
      </c>
      <c r="C661" s="33" t="s">
        <v>15</v>
      </c>
      <c r="D661" s="4" t="s">
        <v>21</v>
      </c>
      <c r="E661" s="4" t="s">
        <v>21</v>
      </c>
      <c r="F661" s="4">
        <f t="shared" si="2"/>
        <v>22</v>
      </c>
    </row>
    <row r="662">
      <c r="A662" s="5">
        <v>44368.438425925924</v>
      </c>
      <c r="B662" s="7">
        <f t="shared" si="1"/>
        <v>44368</v>
      </c>
      <c r="C662" s="33" t="s">
        <v>15</v>
      </c>
      <c r="D662" s="4" t="s">
        <v>21</v>
      </c>
      <c r="E662" s="4" t="s">
        <v>21</v>
      </c>
      <c r="F662" s="4">
        <f t="shared" si="2"/>
        <v>26</v>
      </c>
    </row>
    <row r="663">
      <c r="A663" s="5">
        <v>44166.62287037037</v>
      </c>
      <c r="B663" s="7">
        <f t="shared" si="1"/>
        <v>44166</v>
      </c>
      <c r="C663" s="33" t="s">
        <v>15</v>
      </c>
      <c r="D663" s="4" t="s">
        <v>21</v>
      </c>
      <c r="E663" s="4" t="s">
        <v>21</v>
      </c>
      <c r="F663" s="4">
        <f t="shared" si="2"/>
        <v>49</v>
      </c>
    </row>
    <row r="664">
      <c r="A664" s="5">
        <v>44196.428148148145</v>
      </c>
      <c r="B664" s="7">
        <f t="shared" si="1"/>
        <v>44196</v>
      </c>
      <c r="C664" s="33" t="s">
        <v>15</v>
      </c>
      <c r="D664" s="4" t="s">
        <v>23</v>
      </c>
      <c r="E664" s="4" t="s">
        <v>21</v>
      </c>
      <c r="F664" s="4">
        <f t="shared" si="2"/>
        <v>53</v>
      </c>
    </row>
    <row r="665">
      <c r="A665" s="5">
        <v>44092.86591435185</v>
      </c>
      <c r="B665" s="7">
        <f t="shared" si="1"/>
        <v>44092</v>
      </c>
      <c r="C665" s="33" t="s">
        <v>15</v>
      </c>
      <c r="D665" s="4" t="s">
        <v>21</v>
      </c>
      <c r="E665" s="4" t="s">
        <v>21</v>
      </c>
      <c r="F665" s="4">
        <f t="shared" si="2"/>
        <v>38</v>
      </c>
    </row>
    <row r="666">
      <c r="A666" s="5">
        <v>44284.554502314815</v>
      </c>
      <c r="B666" s="7">
        <f t="shared" si="1"/>
        <v>44284</v>
      </c>
      <c r="C666" s="33" t="s">
        <v>15</v>
      </c>
      <c r="D666" s="4" t="s">
        <v>21</v>
      </c>
      <c r="E666" s="4" t="s">
        <v>21</v>
      </c>
      <c r="F666" s="4">
        <f t="shared" si="2"/>
        <v>14</v>
      </c>
    </row>
    <row r="667">
      <c r="A667" s="5">
        <v>44300.3621412037</v>
      </c>
      <c r="B667" s="7">
        <f t="shared" si="1"/>
        <v>44300</v>
      </c>
      <c r="C667" s="33" t="s">
        <v>15</v>
      </c>
      <c r="D667" s="4" t="s">
        <v>21</v>
      </c>
      <c r="E667" s="4" t="s">
        <v>21</v>
      </c>
      <c r="F667" s="4">
        <f t="shared" si="2"/>
        <v>16</v>
      </c>
    </row>
    <row r="668">
      <c r="A668" s="5">
        <v>44258.3403125</v>
      </c>
      <c r="B668" s="7">
        <f t="shared" si="1"/>
        <v>44258</v>
      </c>
      <c r="C668" s="33" t="s">
        <v>15</v>
      </c>
      <c r="D668" s="4" t="s">
        <v>21</v>
      </c>
      <c r="E668" s="4" t="s">
        <v>21</v>
      </c>
      <c r="F668" s="4">
        <f t="shared" si="2"/>
        <v>10</v>
      </c>
    </row>
    <row r="669">
      <c r="A669" s="5">
        <v>44230.300833333335</v>
      </c>
      <c r="B669" s="7">
        <f t="shared" si="1"/>
        <v>44230</v>
      </c>
      <c r="C669" s="33" t="s">
        <v>15</v>
      </c>
      <c r="D669" s="4" t="s">
        <v>21</v>
      </c>
      <c r="E669" s="4" t="s">
        <v>21</v>
      </c>
      <c r="F669" s="4">
        <f t="shared" si="2"/>
        <v>6</v>
      </c>
    </row>
    <row r="670">
      <c r="A670" s="5">
        <v>44139.52730324074</v>
      </c>
      <c r="B670" s="7">
        <f t="shared" si="1"/>
        <v>44139</v>
      </c>
      <c r="C670" s="33" t="s">
        <v>15</v>
      </c>
      <c r="D670" s="4" t="s">
        <v>21</v>
      </c>
      <c r="E670" s="4" t="s">
        <v>21</v>
      </c>
      <c r="F670" s="4">
        <f t="shared" si="2"/>
        <v>45</v>
      </c>
    </row>
    <row r="671">
      <c r="A671" s="5">
        <v>44341.52291666667</v>
      </c>
      <c r="B671" s="7">
        <f t="shared" si="1"/>
        <v>44341</v>
      </c>
      <c r="C671" s="33" t="s">
        <v>15</v>
      </c>
      <c r="D671" s="4" t="s">
        <v>21</v>
      </c>
      <c r="E671" s="4" t="s">
        <v>21</v>
      </c>
      <c r="F671" s="4">
        <f t="shared" si="2"/>
        <v>22</v>
      </c>
    </row>
    <row r="672">
      <c r="A672" s="5">
        <v>44159.29814814815</v>
      </c>
      <c r="B672" s="7">
        <f t="shared" si="1"/>
        <v>44159</v>
      </c>
      <c r="C672" s="33" t="s">
        <v>15</v>
      </c>
      <c r="D672" s="4" t="s">
        <v>21</v>
      </c>
      <c r="E672" s="4" t="s">
        <v>21</v>
      </c>
      <c r="F672" s="4">
        <f t="shared" si="2"/>
        <v>48</v>
      </c>
    </row>
    <row r="673">
      <c r="A673" s="5">
        <v>44159.33068287037</v>
      </c>
      <c r="B673" s="7">
        <f t="shared" si="1"/>
        <v>44159</v>
      </c>
      <c r="C673" s="33" t="s">
        <v>15</v>
      </c>
      <c r="D673" s="4" t="s">
        <v>21</v>
      </c>
      <c r="E673" s="4" t="s">
        <v>21</v>
      </c>
      <c r="F673" s="4">
        <f t="shared" si="2"/>
        <v>48</v>
      </c>
    </row>
    <row r="674">
      <c r="A674" s="5">
        <v>44302.54371527778</v>
      </c>
      <c r="B674" s="7">
        <f t="shared" si="1"/>
        <v>44302</v>
      </c>
      <c r="C674" s="33" t="s">
        <v>15</v>
      </c>
      <c r="D674" s="4" t="s">
        <v>21</v>
      </c>
      <c r="E674" s="4" t="s">
        <v>21</v>
      </c>
      <c r="F674" s="4">
        <f t="shared" si="2"/>
        <v>16</v>
      </c>
    </row>
    <row r="675">
      <c r="A675" s="5">
        <v>44103.83461805555</v>
      </c>
      <c r="B675" s="7">
        <f t="shared" si="1"/>
        <v>44103</v>
      </c>
      <c r="C675" s="33" t="s">
        <v>15</v>
      </c>
      <c r="D675" s="4" t="s">
        <v>21</v>
      </c>
      <c r="E675" s="4" t="s">
        <v>21</v>
      </c>
      <c r="F675" s="4">
        <f t="shared" si="2"/>
        <v>40</v>
      </c>
    </row>
    <row r="676">
      <c r="A676" s="5">
        <v>44216.98537037037</v>
      </c>
      <c r="B676" s="7">
        <f t="shared" si="1"/>
        <v>44216</v>
      </c>
      <c r="C676" s="33" t="s">
        <v>15</v>
      </c>
      <c r="D676" s="4" t="s">
        <v>21</v>
      </c>
      <c r="E676" s="4" t="s">
        <v>21</v>
      </c>
      <c r="F676" s="4">
        <f t="shared" si="2"/>
        <v>4</v>
      </c>
    </row>
    <row r="677">
      <c r="A677" s="5">
        <v>44286.709710648145</v>
      </c>
      <c r="B677" s="7">
        <f t="shared" si="1"/>
        <v>44286</v>
      </c>
      <c r="C677" s="33" t="s">
        <v>15</v>
      </c>
      <c r="D677" s="4" t="s">
        <v>21</v>
      </c>
      <c r="E677" s="4" t="s">
        <v>21</v>
      </c>
      <c r="F677" s="4">
        <f t="shared" si="2"/>
        <v>14</v>
      </c>
    </row>
    <row r="678">
      <c r="A678" s="5">
        <v>44026.475694444445</v>
      </c>
      <c r="B678" s="7">
        <f t="shared" si="1"/>
        <v>44026</v>
      </c>
      <c r="C678" s="33" t="s">
        <v>15</v>
      </c>
      <c r="D678" s="4" t="s">
        <v>21</v>
      </c>
      <c r="E678" s="4" t="s">
        <v>21</v>
      </c>
      <c r="F678" s="4">
        <f t="shared" si="2"/>
        <v>29</v>
      </c>
    </row>
    <row r="679">
      <c r="A679" s="5">
        <v>44062.65702546296</v>
      </c>
      <c r="B679" s="7">
        <f t="shared" si="1"/>
        <v>44062</v>
      </c>
      <c r="C679" s="33" t="s">
        <v>15</v>
      </c>
      <c r="D679" s="4" t="s">
        <v>21</v>
      </c>
      <c r="E679" s="4" t="s">
        <v>21</v>
      </c>
      <c r="F679" s="4">
        <f t="shared" si="2"/>
        <v>34</v>
      </c>
    </row>
    <row r="680">
      <c r="A680" s="5">
        <v>44095.54443287037</v>
      </c>
      <c r="B680" s="7">
        <f t="shared" si="1"/>
        <v>44095</v>
      </c>
      <c r="C680" s="33" t="s">
        <v>15</v>
      </c>
      <c r="D680" s="4" t="s">
        <v>21</v>
      </c>
      <c r="E680" s="4" t="s">
        <v>21</v>
      </c>
      <c r="F680" s="4">
        <f t="shared" si="2"/>
        <v>39</v>
      </c>
    </row>
    <row r="681">
      <c r="A681" s="5">
        <v>44118.4718287037</v>
      </c>
      <c r="B681" s="7">
        <f t="shared" si="1"/>
        <v>44118</v>
      </c>
      <c r="C681" s="33" t="s">
        <v>15</v>
      </c>
      <c r="D681" s="4" t="s">
        <v>21</v>
      </c>
      <c r="E681" s="4" t="s">
        <v>21</v>
      </c>
      <c r="F681" s="4">
        <f t="shared" si="2"/>
        <v>42</v>
      </c>
    </row>
    <row r="682">
      <c r="A682" s="5">
        <v>44140.4284837963</v>
      </c>
      <c r="B682" s="7">
        <f t="shared" si="1"/>
        <v>44140</v>
      </c>
      <c r="C682" s="33" t="s">
        <v>15</v>
      </c>
      <c r="D682" s="4" t="s">
        <v>21</v>
      </c>
      <c r="E682" s="4" t="s">
        <v>21</v>
      </c>
      <c r="F682" s="4">
        <f t="shared" si="2"/>
        <v>45</v>
      </c>
    </row>
    <row r="683">
      <c r="A683" s="5">
        <v>44210.70087962963</v>
      </c>
      <c r="B683" s="7">
        <f t="shared" si="1"/>
        <v>44210</v>
      </c>
      <c r="C683" s="33" t="s">
        <v>15</v>
      </c>
      <c r="D683" s="4" t="s">
        <v>21</v>
      </c>
      <c r="E683" s="4" t="s">
        <v>21</v>
      </c>
      <c r="F683" s="4">
        <f t="shared" si="2"/>
        <v>3</v>
      </c>
    </row>
    <row r="684">
      <c r="A684" s="5">
        <v>44216.268159722225</v>
      </c>
      <c r="B684" s="7">
        <f t="shared" si="1"/>
        <v>44216</v>
      </c>
      <c r="C684" s="33" t="s">
        <v>15</v>
      </c>
      <c r="D684" s="4" t="s">
        <v>21</v>
      </c>
      <c r="E684" s="4" t="s">
        <v>21</v>
      </c>
      <c r="F684" s="4">
        <f t="shared" si="2"/>
        <v>4</v>
      </c>
    </row>
    <row r="685">
      <c r="A685" s="5">
        <v>44354.58965277778</v>
      </c>
      <c r="B685" s="7">
        <f t="shared" si="1"/>
        <v>44354</v>
      </c>
      <c r="C685" s="33" t="s">
        <v>15</v>
      </c>
      <c r="D685" s="4" t="s">
        <v>21</v>
      </c>
      <c r="E685" s="4" t="s">
        <v>21</v>
      </c>
      <c r="F685" s="4">
        <f t="shared" si="2"/>
        <v>24</v>
      </c>
    </row>
    <row r="686">
      <c r="A686" s="5">
        <v>44031.439780092594</v>
      </c>
      <c r="B686" s="7">
        <f t="shared" si="1"/>
        <v>44031</v>
      </c>
      <c r="C686" s="33" t="s">
        <v>15</v>
      </c>
      <c r="D686" s="4" t="s">
        <v>21</v>
      </c>
      <c r="E686" s="4" t="s">
        <v>21</v>
      </c>
      <c r="F686" s="4">
        <f t="shared" si="2"/>
        <v>30</v>
      </c>
    </row>
    <row r="687">
      <c r="A687" s="5">
        <v>44039.30299768518</v>
      </c>
      <c r="B687" s="7">
        <f t="shared" si="1"/>
        <v>44039</v>
      </c>
      <c r="C687" s="33" t="s">
        <v>15</v>
      </c>
      <c r="D687" s="4" t="s">
        <v>21</v>
      </c>
      <c r="E687" s="4" t="s">
        <v>21</v>
      </c>
      <c r="F687" s="4">
        <f t="shared" si="2"/>
        <v>31</v>
      </c>
    </row>
    <row r="688">
      <c r="A688" s="5">
        <v>44098.51600694445</v>
      </c>
      <c r="B688" s="7">
        <f t="shared" si="1"/>
        <v>44098</v>
      </c>
      <c r="C688" s="33" t="s">
        <v>15</v>
      </c>
      <c r="D688" s="4" t="s">
        <v>21</v>
      </c>
      <c r="E688" s="4" t="s">
        <v>21</v>
      </c>
      <c r="F688" s="4">
        <f t="shared" si="2"/>
        <v>39</v>
      </c>
    </row>
    <row r="689">
      <c r="A689" s="5">
        <v>44132.23876157407</v>
      </c>
      <c r="B689" s="7">
        <f t="shared" si="1"/>
        <v>44132</v>
      </c>
      <c r="C689" s="33" t="s">
        <v>15</v>
      </c>
      <c r="D689" s="4" t="s">
        <v>21</v>
      </c>
      <c r="E689" s="4" t="s">
        <v>21</v>
      </c>
      <c r="F689" s="4">
        <f t="shared" si="2"/>
        <v>44</v>
      </c>
    </row>
    <row r="690">
      <c r="A690" s="5">
        <v>44135.82554398148</v>
      </c>
      <c r="B690" s="7">
        <f t="shared" si="1"/>
        <v>44135</v>
      </c>
      <c r="C690" s="33" t="s">
        <v>15</v>
      </c>
      <c r="D690" s="4" t="s">
        <v>21</v>
      </c>
      <c r="E690" s="4" t="s">
        <v>21</v>
      </c>
      <c r="F690" s="4">
        <f t="shared" si="2"/>
        <v>44</v>
      </c>
    </row>
    <row r="691">
      <c r="A691" s="5">
        <v>44201.409108796295</v>
      </c>
      <c r="B691" s="7">
        <f t="shared" si="1"/>
        <v>44201</v>
      </c>
      <c r="C691" s="33" t="s">
        <v>15</v>
      </c>
      <c r="D691" s="4" t="s">
        <v>23</v>
      </c>
      <c r="E691" s="4" t="s">
        <v>21</v>
      </c>
      <c r="F691" s="4">
        <f t="shared" si="2"/>
        <v>2</v>
      </c>
    </row>
    <row r="692">
      <c r="A692" s="5">
        <v>44277.401354166665</v>
      </c>
      <c r="B692" s="7">
        <f t="shared" si="1"/>
        <v>44277</v>
      </c>
      <c r="C692" s="33" t="s">
        <v>15</v>
      </c>
      <c r="D692" s="4" t="s">
        <v>21</v>
      </c>
      <c r="E692" s="4" t="s">
        <v>21</v>
      </c>
      <c r="F692" s="4">
        <f t="shared" si="2"/>
        <v>13</v>
      </c>
    </row>
    <row r="693">
      <c r="A693" s="5">
        <v>44139.43809027778</v>
      </c>
      <c r="B693" s="7">
        <f t="shared" si="1"/>
        <v>44139</v>
      </c>
      <c r="C693" s="33" t="s">
        <v>15</v>
      </c>
      <c r="D693" s="4" t="s">
        <v>21</v>
      </c>
      <c r="E693" s="4" t="s">
        <v>21</v>
      </c>
      <c r="F693" s="4">
        <f t="shared" si="2"/>
        <v>45</v>
      </c>
    </row>
    <row r="694">
      <c r="A694" s="5">
        <v>44159.66392361111</v>
      </c>
      <c r="B694" s="7">
        <f t="shared" si="1"/>
        <v>44159</v>
      </c>
      <c r="C694" s="33" t="s">
        <v>15</v>
      </c>
      <c r="D694" s="4" t="s">
        <v>21</v>
      </c>
      <c r="E694" s="4" t="s">
        <v>21</v>
      </c>
      <c r="F694" s="4">
        <f t="shared" si="2"/>
        <v>48</v>
      </c>
    </row>
    <row r="695">
      <c r="A695" s="5">
        <v>44183.52065972222</v>
      </c>
      <c r="B695" s="7">
        <f t="shared" si="1"/>
        <v>44183</v>
      </c>
      <c r="C695" s="33" t="s">
        <v>15</v>
      </c>
      <c r="D695" s="4" t="s">
        <v>21</v>
      </c>
      <c r="E695" s="4" t="s">
        <v>21</v>
      </c>
      <c r="F695" s="4">
        <f t="shared" si="2"/>
        <v>51</v>
      </c>
    </row>
    <row r="696">
      <c r="A696" s="5">
        <v>44237.496342592596</v>
      </c>
      <c r="B696" s="7">
        <f t="shared" si="1"/>
        <v>44237</v>
      </c>
      <c r="C696" s="33" t="s">
        <v>15</v>
      </c>
      <c r="D696" s="4" t="s">
        <v>21</v>
      </c>
      <c r="E696" s="4" t="s">
        <v>21</v>
      </c>
      <c r="F696" s="4">
        <f t="shared" si="2"/>
        <v>7</v>
      </c>
    </row>
    <row r="697">
      <c r="A697" s="5">
        <v>44263.46337962963</v>
      </c>
      <c r="B697" s="7">
        <f t="shared" si="1"/>
        <v>44263</v>
      </c>
      <c r="C697" s="33" t="s">
        <v>15</v>
      </c>
      <c r="D697" s="4" t="s">
        <v>21</v>
      </c>
      <c r="E697" s="4" t="s">
        <v>21</v>
      </c>
      <c r="F697" s="4">
        <f t="shared" si="2"/>
        <v>11</v>
      </c>
    </row>
    <row r="698">
      <c r="A698" s="5">
        <v>44292.55671296296</v>
      </c>
      <c r="B698" s="7">
        <f t="shared" si="1"/>
        <v>44292</v>
      </c>
      <c r="C698" s="33" t="s">
        <v>15</v>
      </c>
      <c r="D698" s="4" t="s">
        <v>21</v>
      </c>
      <c r="E698" s="4" t="s">
        <v>21</v>
      </c>
      <c r="F698" s="4">
        <f t="shared" si="2"/>
        <v>15</v>
      </c>
    </row>
    <row r="699">
      <c r="A699" s="5">
        <v>44179.12359953704</v>
      </c>
      <c r="B699" s="7">
        <f t="shared" si="1"/>
        <v>44179</v>
      </c>
      <c r="C699" s="33" t="s">
        <v>15</v>
      </c>
      <c r="D699" s="4" t="s">
        <v>21</v>
      </c>
      <c r="E699" s="4" t="s">
        <v>21</v>
      </c>
      <c r="F699" s="4">
        <f t="shared" si="2"/>
        <v>51</v>
      </c>
    </row>
    <row r="700">
      <c r="A700" s="5">
        <v>44166.58415509259</v>
      </c>
      <c r="B700" s="7">
        <f t="shared" si="1"/>
        <v>44166</v>
      </c>
      <c r="C700" s="33" t="s">
        <v>15</v>
      </c>
      <c r="D700" s="4" t="s">
        <v>21</v>
      </c>
      <c r="E700" s="4" t="s">
        <v>21</v>
      </c>
      <c r="F700" s="4">
        <f t="shared" si="2"/>
        <v>49</v>
      </c>
    </row>
    <row r="701">
      <c r="A701" s="5">
        <v>44286.460011574076</v>
      </c>
      <c r="B701" s="7">
        <f t="shared" si="1"/>
        <v>44286</v>
      </c>
      <c r="C701" s="33" t="s">
        <v>15</v>
      </c>
      <c r="D701" s="4" t="s">
        <v>21</v>
      </c>
      <c r="E701" s="4" t="s">
        <v>21</v>
      </c>
      <c r="F701" s="4">
        <f t="shared" si="2"/>
        <v>14</v>
      </c>
    </row>
    <row r="702">
      <c r="A702" s="5">
        <v>44181.45930555555</v>
      </c>
      <c r="B702" s="7">
        <f t="shared" si="1"/>
        <v>44181</v>
      </c>
      <c r="C702" s="33" t="s">
        <v>15</v>
      </c>
      <c r="D702" s="4" t="s">
        <v>21</v>
      </c>
      <c r="E702" s="4" t="s">
        <v>21</v>
      </c>
      <c r="F702" s="4">
        <f t="shared" si="2"/>
        <v>51</v>
      </c>
    </row>
    <row r="703">
      <c r="A703" s="5">
        <v>44286.79108796296</v>
      </c>
      <c r="B703" s="7">
        <f t="shared" si="1"/>
        <v>44286</v>
      </c>
      <c r="C703" s="33" t="s">
        <v>15</v>
      </c>
      <c r="D703" s="4" t="s">
        <v>21</v>
      </c>
      <c r="E703" s="4" t="s">
        <v>21</v>
      </c>
      <c r="F703" s="4">
        <f t="shared" si="2"/>
        <v>14</v>
      </c>
    </row>
    <row r="704">
      <c r="A704" s="5">
        <v>44304.68133101852</v>
      </c>
      <c r="B704" s="7">
        <f t="shared" si="1"/>
        <v>44304</v>
      </c>
      <c r="C704" s="33" t="s">
        <v>15</v>
      </c>
      <c r="D704" s="4" t="s">
        <v>21</v>
      </c>
      <c r="E704" s="4" t="s">
        <v>21</v>
      </c>
      <c r="F704" s="4">
        <f t="shared" si="2"/>
        <v>17</v>
      </c>
    </row>
    <row r="705">
      <c r="A705" s="5">
        <v>44321.41769675926</v>
      </c>
      <c r="B705" s="7">
        <f t="shared" si="1"/>
        <v>44321</v>
      </c>
      <c r="C705" s="33" t="s">
        <v>15</v>
      </c>
      <c r="D705" s="4" t="s">
        <v>21</v>
      </c>
      <c r="E705" s="4" t="s">
        <v>21</v>
      </c>
      <c r="F705" s="4">
        <f t="shared" si="2"/>
        <v>19</v>
      </c>
    </row>
    <row r="706">
      <c r="A706" s="5">
        <v>44166.39677083334</v>
      </c>
      <c r="B706" s="7">
        <f t="shared" si="1"/>
        <v>44166</v>
      </c>
      <c r="C706" s="33" t="s">
        <v>15</v>
      </c>
      <c r="D706" s="4" t="s">
        <v>21</v>
      </c>
      <c r="E706" s="4" t="s">
        <v>21</v>
      </c>
      <c r="F706" s="4">
        <f t="shared" si="2"/>
        <v>49</v>
      </c>
    </row>
    <row r="707">
      <c r="A707" s="5">
        <v>44229.313159722224</v>
      </c>
      <c r="B707" s="7">
        <f t="shared" si="1"/>
        <v>44229</v>
      </c>
      <c r="C707" s="33" t="s">
        <v>15</v>
      </c>
      <c r="D707" s="4" t="s">
        <v>21</v>
      </c>
      <c r="E707" s="4" t="s">
        <v>21</v>
      </c>
      <c r="F707" s="4">
        <f t="shared" si="2"/>
        <v>6</v>
      </c>
    </row>
    <row r="708">
      <c r="A708" s="5">
        <v>44238.521678240744</v>
      </c>
      <c r="B708" s="7">
        <f t="shared" si="1"/>
        <v>44238</v>
      </c>
      <c r="C708" s="33" t="s">
        <v>15</v>
      </c>
      <c r="D708" s="4" t="s">
        <v>21</v>
      </c>
      <c r="E708" s="4" t="s">
        <v>23</v>
      </c>
      <c r="F708" s="4">
        <f t="shared" si="2"/>
        <v>7</v>
      </c>
    </row>
    <row r="709">
      <c r="A709" s="5">
        <v>44334.5796412037</v>
      </c>
      <c r="B709" s="7">
        <f t="shared" si="1"/>
        <v>44334</v>
      </c>
      <c r="C709" s="33" t="s">
        <v>15</v>
      </c>
      <c r="D709" s="4" t="s">
        <v>21</v>
      </c>
      <c r="E709" s="4" t="s">
        <v>21</v>
      </c>
      <c r="F709" s="4">
        <f t="shared" si="2"/>
        <v>21</v>
      </c>
    </row>
    <row r="710">
      <c r="A710" s="5">
        <v>44099.307291666664</v>
      </c>
      <c r="B710" s="7">
        <f t="shared" si="1"/>
        <v>44099</v>
      </c>
      <c r="C710" s="33" t="s">
        <v>15</v>
      </c>
      <c r="D710" s="4" t="s">
        <v>21</v>
      </c>
      <c r="E710" s="4" t="s">
        <v>21</v>
      </c>
      <c r="F710" s="4">
        <f t="shared" si="2"/>
        <v>39</v>
      </c>
    </row>
    <row r="711">
      <c r="A711" s="5">
        <v>44104.29959490741</v>
      </c>
      <c r="B711" s="7">
        <f t="shared" si="1"/>
        <v>44104</v>
      </c>
      <c r="C711" s="33" t="s">
        <v>15</v>
      </c>
      <c r="D711" s="4" t="s">
        <v>21</v>
      </c>
      <c r="E711" s="4" t="s">
        <v>21</v>
      </c>
      <c r="F711" s="4">
        <f t="shared" si="2"/>
        <v>40</v>
      </c>
    </row>
    <row r="712">
      <c r="A712" s="5">
        <v>44104.30668981482</v>
      </c>
      <c r="B712" s="7">
        <f t="shared" si="1"/>
        <v>44104</v>
      </c>
      <c r="C712" s="33" t="s">
        <v>15</v>
      </c>
      <c r="D712" s="4" t="s">
        <v>21</v>
      </c>
      <c r="E712" s="4" t="s">
        <v>21</v>
      </c>
      <c r="F712" s="4">
        <f t="shared" si="2"/>
        <v>40</v>
      </c>
    </row>
    <row r="713">
      <c r="A713" s="5">
        <v>44138.68136574074</v>
      </c>
      <c r="B713" s="7">
        <f t="shared" si="1"/>
        <v>44138</v>
      </c>
      <c r="C713" s="33" t="s">
        <v>15</v>
      </c>
      <c r="D713" s="4" t="s">
        <v>21</v>
      </c>
      <c r="E713" s="4" t="s">
        <v>21</v>
      </c>
      <c r="F713" s="4">
        <f t="shared" si="2"/>
        <v>45</v>
      </c>
    </row>
    <row r="714">
      <c r="A714" s="5">
        <v>44160.598703703705</v>
      </c>
      <c r="B714" s="7">
        <f t="shared" si="1"/>
        <v>44160</v>
      </c>
      <c r="C714" s="33" t="s">
        <v>15</v>
      </c>
      <c r="D714" s="4" t="s">
        <v>21</v>
      </c>
      <c r="E714" s="4" t="s">
        <v>21</v>
      </c>
      <c r="F714" s="4">
        <f t="shared" si="2"/>
        <v>48</v>
      </c>
    </row>
    <row r="715">
      <c r="A715" s="5">
        <v>44161.312951388885</v>
      </c>
      <c r="B715" s="7">
        <f t="shared" si="1"/>
        <v>44161</v>
      </c>
      <c r="C715" s="33" t="s">
        <v>15</v>
      </c>
      <c r="D715" s="4" t="s">
        <v>21</v>
      </c>
      <c r="E715" s="4" t="s">
        <v>21</v>
      </c>
      <c r="F715" s="4">
        <f t="shared" si="2"/>
        <v>48</v>
      </c>
    </row>
    <row r="716">
      <c r="A716" s="5">
        <v>44168.6465625</v>
      </c>
      <c r="B716" s="7">
        <f t="shared" si="1"/>
        <v>44168</v>
      </c>
      <c r="C716" s="33" t="s">
        <v>15</v>
      </c>
      <c r="D716" s="4" t="s">
        <v>21</v>
      </c>
      <c r="E716" s="4" t="s">
        <v>21</v>
      </c>
      <c r="F716" s="4">
        <f t="shared" si="2"/>
        <v>49</v>
      </c>
    </row>
    <row r="717">
      <c r="A717" s="5">
        <v>44169.53537037037</v>
      </c>
      <c r="B717" s="7">
        <f t="shared" si="1"/>
        <v>44169</v>
      </c>
      <c r="C717" s="33" t="s">
        <v>15</v>
      </c>
      <c r="D717" s="4" t="s">
        <v>21</v>
      </c>
      <c r="E717" s="4" t="s">
        <v>21</v>
      </c>
      <c r="F717" s="4">
        <f t="shared" si="2"/>
        <v>49</v>
      </c>
    </row>
    <row r="718">
      <c r="A718" s="5">
        <v>44169.60513888889</v>
      </c>
      <c r="B718" s="7">
        <f t="shared" si="1"/>
        <v>44169</v>
      </c>
      <c r="C718" s="33" t="s">
        <v>15</v>
      </c>
      <c r="D718" s="4" t="s">
        <v>21</v>
      </c>
      <c r="E718" s="4" t="s">
        <v>21</v>
      </c>
      <c r="F718" s="4">
        <f t="shared" si="2"/>
        <v>49</v>
      </c>
    </row>
    <row r="719">
      <c r="A719" s="5">
        <v>44181.60523148148</v>
      </c>
      <c r="B719" s="7">
        <f t="shared" si="1"/>
        <v>44181</v>
      </c>
      <c r="C719" s="33" t="s">
        <v>15</v>
      </c>
      <c r="D719" s="4" t="s">
        <v>21</v>
      </c>
      <c r="E719" s="4" t="s">
        <v>21</v>
      </c>
      <c r="F719" s="4">
        <f t="shared" si="2"/>
        <v>51</v>
      </c>
    </row>
    <row r="720">
      <c r="A720" s="5">
        <v>44214.70207175926</v>
      </c>
      <c r="B720" s="7">
        <f t="shared" si="1"/>
        <v>44214</v>
      </c>
      <c r="C720" s="33" t="s">
        <v>15</v>
      </c>
      <c r="D720" s="4" t="s">
        <v>21</v>
      </c>
      <c r="E720" s="4" t="s">
        <v>21</v>
      </c>
      <c r="F720" s="4">
        <f t="shared" si="2"/>
        <v>4</v>
      </c>
    </row>
    <row r="721">
      <c r="A721" s="5">
        <v>44214.70899305555</v>
      </c>
      <c r="B721" s="7">
        <f t="shared" si="1"/>
        <v>44214</v>
      </c>
      <c r="C721" s="33" t="s">
        <v>15</v>
      </c>
      <c r="D721" s="4" t="s">
        <v>21</v>
      </c>
      <c r="E721" s="4" t="s">
        <v>21</v>
      </c>
      <c r="F721" s="4">
        <f t="shared" si="2"/>
        <v>4</v>
      </c>
    </row>
    <row r="722">
      <c r="A722" s="5">
        <v>44214.716365740744</v>
      </c>
      <c r="B722" s="7">
        <f t="shared" si="1"/>
        <v>44214</v>
      </c>
      <c r="C722" s="33" t="s">
        <v>15</v>
      </c>
      <c r="D722" s="4" t="s">
        <v>21</v>
      </c>
      <c r="E722" s="4" t="s">
        <v>21</v>
      </c>
      <c r="F722" s="4">
        <f t="shared" si="2"/>
        <v>4</v>
      </c>
    </row>
    <row r="723">
      <c r="A723" s="5">
        <v>44238.591157407405</v>
      </c>
      <c r="B723" s="7">
        <f t="shared" si="1"/>
        <v>44238</v>
      </c>
      <c r="C723" s="33" t="s">
        <v>15</v>
      </c>
      <c r="D723" s="4" t="s">
        <v>21</v>
      </c>
      <c r="E723" s="4" t="s">
        <v>23</v>
      </c>
      <c r="F723" s="4">
        <f t="shared" si="2"/>
        <v>7</v>
      </c>
    </row>
    <row r="724">
      <c r="A724" s="5">
        <v>44328.59311342592</v>
      </c>
      <c r="B724" s="7">
        <f t="shared" si="1"/>
        <v>44328</v>
      </c>
      <c r="C724" s="33" t="s">
        <v>15</v>
      </c>
      <c r="D724" s="4" t="s">
        <v>21</v>
      </c>
      <c r="E724" s="4" t="s">
        <v>21</v>
      </c>
      <c r="F724" s="4">
        <f t="shared" si="2"/>
        <v>20</v>
      </c>
    </row>
    <row r="725">
      <c r="A725" s="5">
        <v>44342.495416666665</v>
      </c>
      <c r="B725" s="7">
        <f t="shared" si="1"/>
        <v>44342</v>
      </c>
      <c r="C725" s="33" t="s">
        <v>15</v>
      </c>
      <c r="D725" s="4" t="s">
        <v>21</v>
      </c>
      <c r="E725" s="4" t="s">
        <v>21</v>
      </c>
      <c r="F725" s="4">
        <f t="shared" si="2"/>
        <v>22</v>
      </c>
    </row>
    <row r="726">
      <c r="A726" s="5">
        <v>44176.462534722225</v>
      </c>
      <c r="B726" s="7">
        <f t="shared" si="1"/>
        <v>44176</v>
      </c>
      <c r="C726" s="33" t="s">
        <v>15</v>
      </c>
      <c r="D726" s="4" t="s">
        <v>21</v>
      </c>
      <c r="E726" s="4" t="s">
        <v>21</v>
      </c>
      <c r="F726" s="4">
        <f t="shared" si="2"/>
        <v>50</v>
      </c>
    </row>
    <row r="727">
      <c r="A727" s="5">
        <v>44211.4741087963</v>
      </c>
      <c r="B727" s="7">
        <f t="shared" si="1"/>
        <v>44211</v>
      </c>
      <c r="C727" s="33" t="s">
        <v>15</v>
      </c>
      <c r="D727" s="4" t="s">
        <v>21</v>
      </c>
      <c r="E727" s="4" t="s">
        <v>21</v>
      </c>
      <c r="F727" s="4">
        <f t="shared" si="2"/>
        <v>3</v>
      </c>
    </row>
    <row r="728">
      <c r="A728" s="5">
        <v>44155.34689814815</v>
      </c>
      <c r="B728" s="7">
        <f t="shared" si="1"/>
        <v>44155</v>
      </c>
      <c r="C728" s="33" t="s">
        <v>15</v>
      </c>
      <c r="D728" s="4" t="s">
        <v>21</v>
      </c>
      <c r="E728" s="4" t="s">
        <v>21</v>
      </c>
      <c r="F728" s="4">
        <f t="shared" si="2"/>
        <v>47</v>
      </c>
    </row>
    <row r="729">
      <c r="A729" s="5">
        <v>44211.618726851855</v>
      </c>
      <c r="B729" s="7">
        <f t="shared" si="1"/>
        <v>44211</v>
      </c>
      <c r="C729" s="33" t="s">
        <v>15</v>
      </c>
      <c r="D729" s="4" t="s">
        <v>21</v>
      </c>
      <c r="E729" s="4" t="s">
        <v>21</v>
      </c>
      <c r="F729" s="4">
        <f t="shared" si="2"/>
        <v>3</v>
      </c>
    </row>
    <row r="730">
      <c r="A730" s="5">
        <v>44218.666655092595</v>
      </c>
      <c r="B730" s="7">
        <f t="shared" si="1"/>
        <v>44218</v>
      </c>
      <c r="C730" s="33" t="s">
        <v>15</v>
      </c>
      <c r="D730" s="4" t="s">
        <v>21</v>
      </c>
      <c r="E730" s="4" t="s">
        <v>21</v>
      </c>
      <c r="F730" s="4">
        <f t="shared" si="2"/>
        <v>4</v>
      </c>
    </row>
    <row r="731">
      <c r="A731" s="5">
        <v>44130.60369212963</v>
      </c>
      <c r="B731" s="7">
        <f t="shared" si="1"/>
        <v>44130</v>
      </c>
      <c r="C731" s="33" t="s">
        <v>15</v>
      </c>
      <c r="D731" s="4" t="s">
        <v>21</v>
      </c>
      <c r="E731" s="4" t="s">
        <v>21</v>
      </c>
      <c r="F731" s="4">
        <f t="shared" si="2"/>
        <v>44</v>
      </c>
    </row>
    <row r="732">
      <c r="A732" s="5">
        <v>44267.56365740741</v>
      </c>
      <c r="B732" s="7">
        <f t="shared" si="1"/>
        <v>44267</v>
      </c>
      <c r="C732" s="33" t="s">
        <v>15</v>
      </c>
      <c r="D732" s="4" t="s">
        <v>21</v>
      </c>
      <c r="E732" s="4" t="s">
        <v>21</v>
      </c>
      <c r="F732" s="4">
        <f t="shared" si="2"/>
        <v>11</v>
      </c>
    </row>
    <row r="733">
      <c r="A733" s="5">
        <v>44029.386145833334</v>
      </c>
      <c r="B733" s="7">
        <f t="shared" si="1"/>
        <v>44029</v>
      </c>
      <c r="C733" s="33" t="s">
        <v>15</v>
      </c>
      <c r="D733" s="4" t="s">
        <v>21</v>
      </c>
      <c r="E733" s="4" t="s">
        <v>21</v>
      </c>
      <c r="F733" s="4">
        <f t="shared" si="2"/>
        <v>29</v>
      </c>
    </row>
    <row r="734">
      <c r="A734" s="5">
        <v>44265.88010416667</v>
      </c>
      <c r="B734" s="7">
        <f t="shared" si="1"/>
        <v>44265</v>
      </c>
      <c r="C734" s="33" t="s">
        <v>15</v>
      </c>
      <c r="D734" s="4" t="s">
        <v>21</v>
      </c>
      <c r="E734" s="4" t="s">
        <v>21</v>
      </c>
      <c r="F734" s="4">
        <f t="shared" si="2"/>
        <v>11</v>
      </c>
    </row>
    <row r="735">
      <c r="A735" s="5">
        <v>44298.32167824074</v>
      </c>
      <c r="B735" s="7">
        <f t="shared" si="1"/>
        <v>44298</v>
      </c>
      <c r="C735" s="33" t="s">
        <v>15</v>
      </c>
      <c r="D735" s="4" t="s">
        <v>21</v>
      </c>
      <c r="E735" s="4" t="s">
        <v>21</v>
      </c>
      <c r="F735" s="4">
        <f t="shared" si="2"/>
        <v>16</v>
      </c>
    </row>
    <row r="736">
      <c r="A736" s="5">
        <v>44302.45972222222</v>
      </c>
      <c r="B736" s="7">
        <f t="shared" si="1"/>
        <v>44302</v>
      </c>
      <c r="C736" s="33" t="s">
        <v>15</v>
      </c>
      <c r="D736" s="4" t="s">
        <v>21</v>
      </c>
      <c r="E736" s="4" t="s">
        <v>21</v>
      </c>
      <c r="F736" s="4">
        <f t="shared" si="2"/>
        <v>16</v>
      </c>
    </row>
    <row r="737">
      <c r="A737" s="5">
        <v>44316.95364583333</v>
      </c>
      <c r="B737" s="7">
        <f t="shared" si="1"/>
        <v>44316</v>
      </c>
      <c r="C737" s="33" t="s">
        <v>15</v>
      </c>
      <c r="D737" s="4" t="s">
        <v>21</v>
      </c>
      <c r="E737" s="4" t="s">
        <v>21</v>
      </c>
      <c r="F737" s="4">
        <f t="shared" si="2"/>
        <v>18</v>
      </c>
    </row>
    <row r="738">
      <c r="A738" s="5">
        <v>44077.76866898148</v>
      </c>
      <c r="B738" s="7">
        <f t="shared" si="1"/>
        <v>44077</v>
      </c>
      <c r="C738" s="33" t="s">
        <v>15</v>
      </c>
      <c r="D738" s="4" t="s">
        <v>21</v>
      </c>
      <c r="E738" s="4" t="s">
        <v>21</v>
      </c>
      <c r="F738" s="4">
        <f t="shared" si="2"/>
        <v>36</v>
      </c>
    </row>
    <row r="739">
      <c r="A739" s="5">
        <v>44139.389340277776</v>
      </c>
      <c r="B739" s="7">
        <f t="shared" si="1"/>
        <v>44139</v>
      </c>
      <c r="C739" s="33" t="s">
        <v>15</v>
      </c>
      <c r="D739" s="4" t="s">
        <v>21</v>
      </c>
      <c r="E739" s="4" t="s">
        <v>21</v>
      </c>
      <c r="F739" s="4">
        <f t="shared" si="2"/>
        <v>45</v>
      </c>
    </row>
    <row r="740">
      <c r="A740" s="5">
        <v>44139.391435185185</v>
      </c>
      <c r="B740" s="7">
        <f t="shared" si="1"/>
        <v>44139</v>
      </c>
      <c r="C740" s="33" t="s">
        <v>15</v>
      </c>
      <c r="D740" s="4" t="s">
        <v>21</v>
      </c>
      <c r="E740" s="4" t="s">
        <v>21</v>
      </c>
      <c r="F740" s="4">
        <f t="shared" si="2"/>
        <v>45</v>
      </c>
    </row>
    <row r="741">
      <c r="A741" s="5">
        <v>44361.319398148145</v>
      </c>
      <c r="B741" s="7">
        <f t="shared" si="1"/>
        <v>44361</v>
      </c>
      <c r="C741" s="33" t="s">
        <v>15</v>
      </c>
      <c r="D741" s="4" t="s">
        <v>21</v>
      </c>
      <c r="E741" s="4" t="s">
        <v>21</v>
      </c>
      <c r="F741" s="4">
        <f t="shared" si="2"/>
        <v>25</v>
      </c>
    </row>
    <row r="742">
      <c r="A742" s="5">
        <v>44130.66075231481</v>
      </c>
      <c r="B742" s="7">
        <f t="shared" si="1"/>
        <v>44130</v>
      </c>
      <c r="C742" s="33" t="s">
        <v>15</v>
      </c>
      <c r="D742" s="4" t="s">
        <v>21</v>
      </c>
      <c r="E742" s="4" t="s">
        <v>21</v>
      </c>
      <c r="F742" s="4">
        <f t="shared" si="2"/>
        <v>44</v>
      </c>
    </row>
    <row r="743">
      <c r="A743" s="5">
        <v>44257.73118055556</v>
      </c>
      <c r="B743" s="7">
        <f t="shared" si="1"/>
        <v>44257</v>
      </c>
      <c r="C743" s="33" t="s">
        <v>15</v>
      </c>
      <c r="D743" s="4" t="s">
        <v>21</v>
      </c>
      <c r="E743" s="4" t="s">
        <v>21</v>
      </c>
      <c r="F743" s="4">
        <f t="shared" si="2"/>
        <v>10</v>
      </c>
    </row>
    <row r="744">
      <c r="A744" s="5">
        <v>44299.49795138889</v>
      </c>
      <c r="B744" s="7">
        <f t="shared" si="1"/>
        <v>44299</v>
      </c>
      <c r="C744" s="33" t="s">
        <v>15</v>
      </c>
      <c r="D744" s="4" t="s">
        <v>21</v>
      </c>
      <c r="E744" s="4" t="s">
        <v>21</v>
      </c>
      <c r="F744" s="4">
        <f t="shared" si="2"/>
        <v>16</v>
      </c>
    </row>
    <row r="745">
      <c r="A745" s="5">
        <v>44202.32168981482</v>
      </c>
      <c r="B745" s="7">
        <f t="shared" si="1"/>
        <v>44202</v>
      </c>
      <c r="C745" s="33" t="s">
        <v>15</v>
      </c>
      <c r="D745" s="4" t="s">
        <v>21</v>
      </c>
      <c r="E745" s="4" t="s">
        <v>21</v>
      </c>
      <c r="F745" s="4">
        <f t="shared" si="2"/>
        <v>2</v>
      </c>
    </row>
    <row r="746">
      <c r="A746" s="5">
        <v>44259.48226851852</v>
      </c>
      <c r="B746" s="7">
        <f t="shared" si="1"/>
        <v>44259</v>
      </c>
      <c r="C746" s="33" t="s">
        <v>15</v>
      </c>
      <c r="D746" s="4" t="s">
        <v>21</v>
      </c>
      <c r="E746" s="4" t="s">
        <v>21</v>
      </c>
      <c r="F746" s="4">
        <f t="shared" si="2"/>
        <v>10</v>
      </c>
    </row>
    <row r="747">
      <c r="A747" s="5">
        <v>44216.37074074074</v>
      </c>
      <c r="B747" s="7">
        <f t="shared" si="1"/>
        <v>44216</v>
      </c>
      <c r="C747" s="33" t="s">
        <v>15</v>
      </c>
      <c r="D747" s="4" t="s">
        <v>21</v>
      </c>
      <c r="E747" s="4" t="s">
        <v>21</v>
      </c>
      <c r="F747" s="4">
        <f t="shared" si="2"/>
        <v>4</v>
      </c>
    </row>
    <row r="748">
      <c r="A748" s="5">
        <v>44211.53325231482</v>
      </c>
      <c r="B748" s="7">
        <f t="shared" si="1"/>
        <v>44211</v>
      </c>
      <c r="C748" s="33" t="s">
        <v>15</v>
      </c>
      <c r="D748" s="4" t="s">
        <v>21</v>
      </c>
      <c r="E748" s="4" t="s">
        <v>21</v>
      </c>
      <c r="F748" s="4">
        <f t="shared" si="2"/>
        <v>3</v>
      </c>
    </row>
    <row r="749">
      <c r="A749" s="5">
        <v>44211.546956018516</v>
      </c>
      <c r="B749" s="7">
        <f t="shared" si="1"/>
        <v>44211</v>
      </c>
      <c r="C749" s="33" t="s">
        <v>15</v>
      </c>
      <c r="D749" s="4" t="s">
        <v>21</v>
      </c>
      <c r="E749" s="4" t="s">
        <v>21</v>
      </c>
      <c r="F749" s="4">
        <f t="shared" si="2"/>
        <v>3</v>
      </c>
    </row>
    <row r="750">
      <c r="A750" s="5">
        <v>44159.61907407407</v>
      </c>
      <c r="B750" s="7">
        <f t="shared" si="1"/>
        <v>44159</v>
      </c>
      <c r="C750" s="33" t="s">
        <v>15</v>
      </c>
      <c r="D750" s="4" t="s">
        <v>21</v>
      </c>
      <c r="E750" s="4" t="s">
        <v>21</v>
      </c>
      <c r="F750" s="4">
        <f t="shared" si="2"/>
        <v>48</v>
      </c>
    </row>
    <row r="751">
      <c r="A751" s="5">
        <v>44264.01489583333</v>
      </c>
      <c r="B751" s="7">
        <f t="shared" si="1"/>
        <v>44264</v>
      </c>
      <c r="C751" s="33" t="s">
        <v>15</v>
      </c>
      <c r="D751" s="4" t="s">
        <v>21</v>
      </c>
      <c r="E751" s="4" t="s">
        <v>21</v>
      </c>
      <c r="F751" s="4">
        <f t="shared" si="2"/>
        <v>11</v>
      </c>
    </row>
    <row r="752">
      <c r="A752" s="5">
        <v>44323.73453703704</v>
      </c>
      <c r="B752" s="7">
        <f t="shared" si="1"/>
        <v>44323</v>
      </c>
      <c r="C752" s="33" t="s">
        <v>15</v>
      </c>
      <c r="D752" s="4" t="s">
        <v>21</v>
      </c>
      <c r="E752" s="4" t="s">
        <v>21</v>
      </c>
      <c r="F752" s="4">
        <f t="shared" si="2"/>
        <v>19</v>
      </c>
    </row>
    <row r="753">
      <c r="A753" s="5">
        <v>44240.42366898148</v>
      </c>
      <c r="B753" s="7">
        <f t="shared" si="1"/>
        <v>44240</v>
      </c>
      <c r="C753" s="33" t="s">
        <v>15</v>
      </c>
      <c r="D753" s="4" t="s">
        <v>21</v>
      </c>
      <c r="E753" s="4" t="s">
        <v>23</v>
      </c>
      <c r="F753" s="4">
        <f t="shared" si="2"/>
        <v>7</v>
      </c>
    </row>
    <row r="754">
      <c r="A754" s="5">
        <v>44187.31119212963</v>
      </c>
      <c r="B754" s="7">
        <f t="shared" si="1"/>
        <v>44187</v>
      </c>
      <c r="C754" s="33" t="s">
        <v>15</v>
      </c>
      <c r="D754" s="4" t="s">
        <v>21</v>
      </c>
      <c r="E754" s="4" t="s">
        <v>21</v>
      </c>
      <c r="F754" s="4">
        <f t="shared" si="2"/>
        <v>52</v>
      </c>
    </row>
    <row r="755">
      <c r="A755" s="5">
        <v>44075.45346064815</v>
      </c>
      <c r="B755" s="7">
        <f t="shared" si="1"/>
        <v>44075</v>
      </c>
      <c r="C755" s="33" t="s">
        <v>15</v>
      </c>
      <c r="D755" s="4" t="s">
        <v>21</v>
      </c>
      <c r="E755" s="4" t="s">
        <v>21</v>
      </c>
      <c r="F755" s="4">
        <f t="shared" si="2"/>
        <v>36</v>
      </c>
    </row>
    <row r="756">
      <c r="A756" s="5">
        <v>44329.33094907407</v>
      </c>
      <c r="B756" s="7">
        <f t="shared" si="1"/>
        <v>44329</v>
      </c>
      <c r="C756" s="33" t="s">
        <v>15</v>
      </c>
      <c r="D756" s="4" t="s">
        <v>21</v>
      </c>
      <c r="E756" s="4" t="s">
        <v>21</v>
      </c>
      <c r="F756" s="4">
        <f t="shared" si="2"/>
        <v>20</v>
      </c>
    </row>
    <row r="757">
      <c r="A757" s="5">
        <v>44343.61987268519</v>
      </c>
      <c r="B757" s="7">
        <f t="shared" si="1"/>
        <v>44343</v>
      </c>
      <c r="C757" s="33" t="s">
        <v>15</v>
      </c>
      <c r="D757" s="4" t="s">
        <v>21</v>
      </c>
      <c r="E757" s="4" t="s">
        <v>21</v>
      </c>
      <c r="F757" s="4">
        <f t="shared" si="2"/>
        <v>22</v>
      </c>
    </row>
    <row r="758">
      <c r="A758" s="5">
        <v>44056.766180555554</v>
      </c>
      <c r="B758" s="7">
        <f t="shared" si="1"/>
        <v>44056</v>
      </c>
      <c r="C758" s="33" t="s">
        <v>15</v>
      </c>
      <c r="D758" s="4" t="s">
        <v>21</v>
      </c>
      <c r="E758" s="4" t="s">
        <v>21</v>
      </c>
      <c r="F758" s="4">
        <f t="shared" si="2"/>
        <v>33</v>
      </c>
    </row>
    <row r="759">
      <c r="A759" s="5">
        <v>44068.39805555555</v>
      </c>
      <c r="B759" s="7">
        <f t="shared" si="1"/>
        <v>44068</v>
      </c>
      <c r="C759" s="33" t="s">
        <v>15</v>
      </c>
      <c r="D759" s="4" t="s">
        <v>21</v>
      </c>
      <c r="E759" s="4" t="s">
        <v>21</v>
      </c>
      <c r="F759" s="4">
        <f t="shared" si="2"/>
        <v>35</v>
      </c>
    </row>
    <row r="760">
      <c r="A760" s="5">
        <v>44217.38418981482</v>
      </c>
      <c r="B760" s="7">
        <f t="shared" si="1"/>
        <v>44217</v>
      </c>
      <c r="C760" s="33" t="s">
        <v>15</v>
      </c>
      <c r="D760" s="4" t="s">
        <v>21</v>
      </c>
      <c r="E760" s="4" t="s">
        <v>21</v>
      </c>
      <c r="F760" s="4">
        <f t="shared" si="2"/>
        <v>4</v>
      </c>
    </row>
    <row r="761">
      <c r="A761" s="5">
        <v>44217.384363425925</v>
      </c>
      <c r="B761" s="7">
        <f t="shared" si="1"/>
        <v>44217</v>
      </c>
      <c r="C761" s="33" t="s">
        <v>15</v>
      </c>
      <c r="D761" s="4" t="s">
        <v>21</v>
      </c>
      <c r="E761" s="4" t="s">
        <v>21</v>
      </c>
      <c r="F761" s="4">
        <f t="shared" si="2"/>
        <v>4</v>
      </c>
    </row>
    <row r="762">
      <c r="A762" s="5">
        <v>44217.38453703704</v>
      </c>
      <c r="B762" s="7">
        <f t="shared" si="1"/>
        <v>44217</v>
      </c>
      <c r="C762" s="33" t="s">
        <v>15</v>
      </c>
      <c r="D762" s="4" t="s">
        <v>21</v>
      </c>
      <c r="E762" s="4" t="s">
        <v>21</v>
      </c>
      <c r="F762" s="4">
        <f t="shared" si="2"/>
        <v>4</v>
      </c>
    </row>
    <row r="763">
      <c r="A763" s="5">
        <v>44217.384722222225</v>
      </c>
      <c r="B763" s="7">
        <f t="shared" si="1"/>
        <v>44217</v>
      </c>
      <c r="C763" s="33" t="s">
        <v>15</v>
      </c>
      <c r="D763" s="4" t="s">
        <v>21</v>
      </c>
      <c r="E763" s="4" t="s">
        <v>21</v>
      </c>
      <c r="F763" s="4">
        <f t="shared" si="2"/>
        <v>4</v>
      </c>
    </row>
    <row r="764">
      <c r="A764" s="5">
        <v>44217.38489583333</v>
      </c>
      <c r="B764" s="7">
        <f t="shared" si="1"/>
        <v>44217</v>
      </c>
      <c r="C764" s="33" t="s">
        <v>15</v>
      </c>
      <c r="D764" s="4" t="s">
        <v>21</v>
      </c>
      <c r="E764" s="4" t="s">
        <v>21</v>
      </c>
      <c r="F764" s="4">
        <f t="shared" si="2"/>
        <v>4</v>
      </c>
    </row>
    <row r="765">
      <c r="A765" s="5">
        <v>44217.38506944444</v>
      </c>
      <c r="B765" s="7">
        <f t="shared" si="1"/>
        <v>44217</v>
      </c>
      <c r="C765" s="33" t="s">
        <v>15</v>
      </c>
      <c r="D765" s="4" t="s">
        <v>21</v>
      </c>
      <c r="E765" s="4" t="s">
        <v>21</v>
      </c>
      <c r="F765" s="4">
        <f t="shared" si="2"/>
        <v>4</v>
      </c>
    </row>
    <row r="766">
      <c r="A766" s="5">
        <v>44217.385243055556</v>
      </c>
      <c r="B766" s="7">
        <f t="shared" si="1"/>
        <v>44217</v>
      </c>
      <c r="C766" s="33" t="s">
        <v>15</v>
      </c>
      <c r="D766" s="4" t="s">
        <v>21</v>
      </c>
      <c r="E766" s="4" t="s">
        <v>21</v>
      </c>
      <c r="F766" s="4">
        <f t="shared" si="2"/>
        <v>4</v>
      </c>
    </row>
    <row r="767">
      <c r="A767" s="5">
        <v>44217.38543981482</v>
      </c>
      <c r="B767" s="7">
        <f t="shared" si="1"/>
        <v>44217</v>
      </c>
      <c r="C767" s="33" t="s">
        <v>15</v>
      </c>
      <c r="D767" s="4" t="s">
        <v>21</v>
      </c>
      <c r="E767" s="4" t="s">
        <v>21</v>
      </c>
      <c r="F767" s="4">
        <f t="shared" si="2"/>
        <v>4</v>
      </c>
    </row>
    <row r="768">
      <c r="A768" s="5">
        <v>44217.38563657407</v>
      </c>
      <c r="B768" s="7">
        <f t="shared" si="1"/>
        <v>44217</v>
      </c>
      <c r="C768" s="33" t="s">
        <v>15</v>
      </c>
      <c r="D768" s="4" t="s">
        <v>21</v>
      </c>
      <c r="E768" s="4" t="s">
        <v>21</v>
      </c>
      <c r="F768" s="4">
        <f t="shared" si="2"/>
        <v>4</v>
      </c>
    </row>
    <row r="769">
      <c r="A769" s="5">
        <v>44217.38582175926</v>
      </c>
      <c r="B769" s="7">
        <f t="shared" si="1"/>
        <v>44217</v>
      </c>
      <c r="C769" s="33" t="s">
        <v>15</v>
      </c>
      <c r="D769" s="4" t="s">
        <v>21</v>
      </c>
      <c r="E769" s="4" t="s">
        <v>21</v>
      </c>
      <c r="F769" s="4">
        <f t="shared" si="2"/>
        <v>4</v>
      </c>
    </row>
    <row r="770">
      <c r="A770" s="5">
        <v>44152.70481481482</v>
      </c>
      <c r="B770" s="7">
        <f t="shared" si="1"/>
        <v>44152</v>
      </c>
      <c r="C770" s="33" t="s">
        <v>15</v>
      </c>
      <c r="D770" s="4" t="s">
        <v>21</v>
      </c>
      <c r="E770" s="4" t="s">
        <v>21</v>
      </c>
      <c r="F770" s="4">
        <f t="shared" si="2"/>
        <v>47</v>
      </c>
    </row>
    <row r="771">
      <c r="A771" s="5">
        <v>44046.33770833333</v>
      </c>
      <c r="B771" s="7">
        <f t="shared" si="1"/>
        <v>44046</v>
      </c>
      <c r="C771" s="33" t="s">
        <v>15</v>
      </c>
      <c r="D771" s="4" t="s">
        <v>21</v>
      </c>
      <c r="E771" s="4" t="s">
        <v>21</v>
      </c>
      <c r="F771" s="4">
        <f t="shared" si="2"/>
        <v>32</v>
      </c>
    </row>
    <row r="772">
      <c r="A772" s="5">
        <v>44067.34951388889</v>
      </c>
      <c r="B772" s="7">
        <f t="shared" si="1"/>
        <v>44067</v>
      </c>
      <c r="C772" s="33" t="s">
        <v>15</v>
      </c>
      <c r="D772" s="4" t="s">
        <v>21</v>
      </c>
      <c r="E772" s="4" t="s">
        <v>21</v>
      </c>
      <c r="F772" s="4">
        <f t="shared" si="2"/>
        <v>35</v>
      </c>
    </row>
    <row r="773">
      <c r="A773" s="5">
        <v>44067.73045138889</v>
      </c>
      <c r="B773" s="7">
        <f t="shared" si="1"/>
        <v>44067</v>
      </c>
      <c r="C773" s="33" t="s">
        <v>15</v>
      </c>
      <c r="D773" s="4" t="s">
        <v>21</v>
      </c>
      <c r="E773" s="4" t="s">
        <v>21</v>
      </c>
      <c r="F773" s="4">
        <f t="shared" si="2"/>
        <v>35</v>
      </c>
    </row>
    <row r="774">
      <c r="A774" s="5">
        <v>44117.43519675926</v>
      </c>
      <c r="B774" s="7">
        <f t="shared" si="1"/>
        <v>44117</v>
      </c>
      <c r="C774" s="33" t="s">
        <v>15</v>
      </c>
      <c r="D774" s="4" t="s">
        <v>21</v>
      </c>
      <c r="E774" s="4" t="s">
        <v>21</v>
      </c>
      <c r="F774" s="4">
        <f t="shared" si="2"/>
        <v>42</v>
      </c>
    </row>
    <row r="775">
      <c r="A775" s="5">
        <v>44147.15611111111</v>
      </c>
      <c r="B775" s="7">
        <f t="shared" si="1"/>
        <v>44147</v>
      </c>
      <c r="C775" s="33" t="s">
        <v>15</v>
      </c>
      <c r="D775" s="4" t="s">
        <v>21</v>
      </c>
      <c r="E775" s="4" t="s">
        <v>21</v>
      </c>
      <c r="F775" s="4">
        <f t="shared" si="2"/>
        <v>46</v>
      </c>
    </row>
    <row r="776">
      <c r="A776" s="5">
        <v>44165.41055555556</v>
      </c>
      <c r="B776" s="7">
        <f t="shared" si="1"/>
        <v>44165</v>
      </c>
      <c r="C776" s="33" t="s">
        <v>15</v>
      </c>
      <c r="D776" s="4" t="s">
        <v>21</v>
      </c>
      <c r="E776" s="4" t="s">
        <v>21</v>
      </c>
      <c r="F776" s="4">
        <f t="shared" si="2"/>
        <v>49</v>
      </c>
    </row>
    <row r="777">
      <c r="A777" s="5">
        <v>44165.56306712963</v>
      </c>
      <c r="B777" s="7">
        <f t="shared" si="1"/>
        <v>44165</v>
      </c>
      <c r="C777" s="33" t="s">
        <v>15</v>
      </c>
      <c r="D777" s="4" t="s">
        <v>21</v>
      </c>
      <c r="E777" s="4" t="s">
        <v>21</v>
      </c>
      <c r="F777" s="4">
        <f t="shared" si="2"/>
        <v>49</v>
      </c>
    </row>
    <row r="778">
      <c r="A778" s="5">
        <v>44181.185891203706</v>
      </c>
      <c r="B778" s="7">
        <f t="shared" si="1"/>
        <v>44181</v>
      </c>
      <c r="C778" s="33" t="s">
        <v>15</v>
      </c>
      <c r="D778" s="4" t="s">
        <v>21</v>
      </c>
      <c r="E778" s="4" t="s">
        <v>21</v>
      </c>
      <c r="F778" s="4">
        <f t="shared" si="2"/>
        <v>51</v>
      </c>
    </row>
    <row r="779">
      <c r="A779" s="5">
        <v>44181.401712962965</v>
      </c>
      <c r="B779" s="7">
        <f t="shared" si="1"/>
        <v>44181</v>
      </c>
      <c r="C779" s="33" t="s">
        <v>15</v>
      </c>
      <c r="D779" s="4" t="s">
        <v>21</v>
      </c>
      <c r="E779" s="4" t="s">
        <v>21</v>
      </c>
      <c r="F779" s="4">
        <f t="shared" si="2"/>
        <v>51</v>
      </c>
    </row>
    <row r="780">
      <c r="A780" s="5">
        <v>44182.16643518519</v>
      </c>
      <c r="B780" s="7">
        <f t="shared" si="1"/>
        <v>44182</v>
      </c>
      <c r="C780" s="33" t="s">
        <v>15</v>
      </c>
      <c r="D780" s="4" t="s">
        <v>21</v>
      </c>
      <c r="E780" s="4" t="s">
        <v>21</v>
      </c>
      <c r="F780" s="4">
        <f t="shared" si="2"/>
        <v>51</v>
      </c>
    </row>
    <row r="781">
      <c r="A781" s="5">
        <v>44194.17041666667</v>
      </c>
      <c r="B781" s="7">
        <f t="shared" si="1"/>
        <v>44194</v>
      </c>
      <c r="C781" s="33" t="s">
        <v>15</v>
      </c>
      <c r="D781" s="4" t="s">
        <v>23</v>
      </c>
      <c r="E781" s="4" t="s">
        <v>21</v>
      </c>
      <c r="F781" s="4">
        <f t="shared" si="2"/>
        <v>53</v>
      </c>
    </row>
    <row r="782">
      <c r="A782" s="5">
        <v>44258.753217592595</v>
      </c>
      <c r="B782" s="7">
        <f t="shared" si="1"/>
        <v>44258</v>
      </c>
      <c r="C782" s="33" t="s">
        <v>15</v>
      </c>
      <c r="D782" s="4" t="s">
        <v>21</v>
      </c>
      <c r="E782" s="4" t="s">
        <v>21</v>
      </c>
      <c r="F782" s="4">
        <f t="shared" si="2"/>
        <v>10</v>
      </c>
    </row>
    <row r="783">
      <c r="A783" s="5">
        <v>44264.45445601852</v>
      </c>
      <c r="B783" s="7">
        <f t="shared" si="1"/>
        <v>44264</v>
      </c>
      <c r="C783" s="33" t="s">
        <v>15</v>
      </c>
      <c r="D783" s="4" t="s">
        <v>21</v>
      </c>
      <c r="E783" s="4" t="s">
        <v>21</v>
      </c>
      <c r="F783" s="4">
        <f t="shared" si="2"/>
        <v>11</v>
      </c>
    </row>
    <row r="784">
      <c r="A784" s="5">
        <v>44293.8491087963</v>
      </c>
      <c r="B784" s="7">
        <f t="shared" si="1"/>
        <v>44293</v>
      </c>
      <c r="C784" s="33" t="s">
        <v>15</v>
      </c>
      <c r="D784" s="4" t="s">
        <v>21</v>
      </c>
      <c r="E784" s="4" t="s">
        <v>21</v>
      </c>
      <c r="F784" s="4">
        <f t="shared" si="2"/>
        <v>15</v>
      </c>
    </row>
    <row r="785">
      <c r="A785" s="5">
        <v>44298.59925925926</v>
      </c>
      <c r="B785" s="7">
        <f t="shared" si="1"/>
        <v>44298</v>
      </c>
      <c r="C785" s="33" t="s">
        <v>15</v>
      </c>
      <c r="D785" s="4" t="s">
        <v>21</v>
      </c>
      <c r="E785" s="4" t="s">
        <v>21</v>
      </c>
      <c r="F785" s="4">
        <f t="shared" si="2"/>
        <v>16</v>
      </c>
    </row>
    <row r="786">
      <c r="A786" s="5">
        <v>44319.252916666665</v>
      </c>
      <c r="B786" s="7">
        <f t="shared" si="1"/>
        <v>44319</v>
      </c>
      <c r="C786" s="33" t="s">
        <v>15</v>
      </c>
      <c r="D786" s="4" t="s">
        <v>21</v>
      </c>
      <c r="E786" s="4" t="s">
        <v>21</v>
      </c>
      <c r="F786" s="4">
        <f t="shared" si="2"/>
        <v>19</v>
      </c>
    </row>
    <row r="787">
      <c r="A787" s="5">
        <v>44336.61760416667</v>
      </c>
      <c r="B787" s="7">
        <f t="shared" si="1"/>
        <v>44336</v>
      </c>
      <c r="C787" s="33" t="s">
        <v>15</v>
      </c>
      <c r="D787" s="4" t="s">
        <v>21</v>
      </c>
      <c r="E787" s="4" t="s">
        <v>21</v>
      </c>
      <c r="F787" s="4">
        <f t="shared" si="2"/>
        <v>21</v>
      </c>
    </row>
    <row r="788">
      <c r="A788" s="5">
        <v>44355.42884259259</v>
      </c>
      <c r="B788" s="7">
        <f t="shared" si="1"/>
        <v>44355</v>
      </c>
      <c r="C788" s="33" t="s">
        <v>15</v>
      </c>
      <c r="D788" s="4" t="s">
        <v>21</v>
      </c>
      <c r="E788" s="4" t="s">
        <v>21</v>
      </c>
      <c r="F788" s="4">
        <f t="shared" si="2"/>
        <v>24</v>
      </c>
    </row>
    <row r="789">
      <c r="A789" s="5">
        <v>44337.75200231482</v>
      </c>
      <c r="B789" s="7">
        <f t="shared" si="1"/>
        <v>44337</v>
      </c>
      <c r="C789" s="33" t="s">
        <v>15</v>
      </c>
      <c r="D789" s="4" t="s">
        <v>21</v>
      </c>
      <c r="E789" s="4" t="s">
        <v>21</v>
      </c>
      <c r="F789" s="4">
        <f t="shared" si="2"/>
        <v>21</v>
      </c>
    </row>
    <row r="790">
      <c r="A790" s="5">
        <v>44337.752071759256</v>
      </c>
      <c r="B790" s="7">
        <f t="shared" si="1"/>
        <v>44337</v>
      </c>
      <c r="C790" s="33" t="s">
        <v>15</v>
      </c>
      <c r="D790" s="4" t="s">
        <v>21</v>
      </c>
      <c r="E790" s="4" t="s">
        <v>21</v>
      </c>
      <c r="F790" s="4">
        <f t="shared" si="2"/>
        <v>21</v>
      </c>
    </row>
    <row r="791">
      <c r="A791" s="5">
        <v>44337.7521412037</v>
      </c>
      <c r="B791" s="7">
        <f t="shared" si="1"/>
        <v>44337</v>
      </c>
      <c r="C791" s="33" t="s">
        <v>15</v>
      </c>
      <c r="D791" s="4" t="s">
        <v>21</v>
      </c>
      <c r="E791" s="4" t="s">
        <v>21</v>
      </c>
      <c r="F791" s="4">
        <f t="shared" si="2"/>
        <v>21</v>
      </c>
    </row>
    <row r="792">
      <c r="A792" s="5">
        <v>44337.75221064815</v>
      </c>
      <c r="B792" s="7">
        <f t="shared" si="1"/>
        <v>44337</v>
      </c>
      <c r="C792" s="33" t="s">
        <v>15</v>
      </c>
      <c r="D792" s="4" t="s">
        <v>21</v>
      </c>
      <c r="E792" s="4" t="s">
        <v>21</v>
      </c>
      <c r="F792" s="4">
        <f t="shared" si="2"/>
        <v>21</v>
      </c>
    </row>
    <row r="793">
      <c r="A793" s="5">
        <v>44337.752280092594</v>
      </c>
      <c r="B793" s="7">
        <f t="shared" si="1"/>
        <v>44337</v>
      </c>
      <c r="C793" s="33" t="s">
        <v>15</v>
      </c>
      <c r="D793" s="4" t="s">
        <v>21</v>
      </c>
      <c r="E793" s="4" t="s">
        <v>21</v>
      </c>
      <c r="F793" s="4">
        <f t="shared" si="2"/>
        <v>21</v>
      </c>
    </row>
    <row r="794">
      <c r="A794" s="5">
        <v>44337.75236111111</v>
      </c>
      <c r="B794" s="7">
        <f t="shared" si="1"/>
        <v>44337</v>
      </c>
      <c r="C794" s="33" t="s">
        <v>15</v>
      </c>
      <c r="D794" s="4" t="s">
        <v>21</v>
      </c>
      <c r="E794" s="4" t="s">
        <v>21</v>
      </c>
      <c r="F794" s="4">
        <f t="shared" si="2"/>
        <v>21</v>
      </c>
    </row>
    <row r="795">
      <c r="A795" s="5">
        <v>44256.48616898148</v>
      </c>
      <c r="B795" s="7">
        <f t="shared" si="1"/>
        <v>44256</v>
      </c>
      <c r="C795" s="33" t="s">
        <v>15</v>
      </c>
      <c r="D795" s="4" t="s">
        <v>21</v>
      </c>
      <c r="E795" s="4" t="s">
        <v>21</v>
      </c>
      <c r="F795" s="4">
        <f t="shared" si="2"/>
        <v>10</v>
      </c>
    </row>
    <row r="796">
      <c r="A796" s="5">
        <v>44256.50423611111</v>
      </c>
      <c r="B796" s="7">
        <f t="shared" si="1"/>
        <v>44256</v>
      </c>
      <c r="C796" s="33" t="s">
        <v>15</v>
      </c>
      <c r="D796" s="4" t="s">
        <v>21</v>
      </c>
      <c r="E796" s="4" t="s">
        <v>21</v>
      </c>
      <c r="F796" s="4">
        <f t="shared" si="2"/>
        <v>10</v>
      </c>
    </row>
    <row r="797">
      <c r="A797" s="5">
        <v>44319.37841435185</v>
      </c>
      <c r="B797" s="7">
        <f t="shared" si="1"/>
        <v>44319</v>
      </c>
      <c r="C797" s="33" t="s">
        <v>15</v>
      </c>
      <c r="D797" s="4" t="s">
        <v>21</v>
      </c>
      <c r="E797" s="4" t="s">
        <v>21</v>
      </c>
      <c r="F797" s="4">
        <f t="shared" si="2"/>
        <v>19</v>
      </c>
    </row>
    <row r="798">
      <c r="A798" s="5">
        <v>44319.567557870374</v>
      </c>
      <c r="B798" s="7">
        <f t="shared" si="1"/>
        <v>44319</v>
      </c>
      <c r="C798" s="33" t="s">
        <v>15</v>
      </c>
      <c r="D798" s="4" t="s">
        <v>21</v>
      </c>
      <c r="E798" s="4" t="s">
        <v>21</v>
      </c>
      <c r="F798" s="4">
        <f t="shared" si="2"/>
        <v>19</v>
      </c>
    </row>
    <row r="799">
      <c r="A799" s="5">
        <v>44249.458599537036</v>
      </c>
      <c r="B799" s="7">
        <f t="shared" si="1"/>
        <v>44249</v>
      </c>
      <c r="C799" s="33" t="s">
        <v>15</v>
      </c>
      <c r="D799" s="4" t="s">
        <v>21</v>
      </c>
      <c r="E799" s="4" t="s">
        <v>21</v>
      </c>
      <c r="F799" s="4">
        <f t="shared" si="2"/>
        <v>9</v>
      </c>
    </row>
    <row r="800">
      <c r="A800" s="5">
        <v>44355.49700231481</v>
      </c>
      <c r="B800" s="7">
        <f t="shared" si="1"/>
        <v>44355</v>
      </c>
      <c r="C800" s="33" t="s">
        <v>15</v>
      </c>
      <c r="D800" s="4" t="s">
        <v>21</v>
      </c>
      <c r="E800" s="4" t="s">
        <v>21</v>
      </c>
      <c r="F800" s="4">
        <f t="shared" si="2"/>
        <v>24</v>
      </c>
    </row>
    <row r="801">
      <c r="A801" s="5">
        <v>44301.23003472222</v>
      </c>
      <c r="B801" s="7">
        <f t="shared" si="1"/>
        <v>44301</v>
      </c>
      <c r="C801" s="33" t="s">
        <v>15</v>
      </c>
      <c r="D801" s="4" t="s">
        <v>21</v>
      </c>
      <c r="E801" s="4" t="s">
        <v>21</v>
      </c>
      <c r="F801" s="4">
        <f t="shared" si="2"/>
        <v>16</v>
      </c>
    </row>
    <row r="802">
      <c r="A802" s="5">
        <v>44217.584756944445</v>
      </c>
      <c r="B802" s="7">
        <f t="shared" si="1"/>
        <v>44217</v>
      </c>
      <c r="C802" s="33" t="s">
        <v>15</v>
      </c>
      <c r="D802" s="4" t="s">
        <v>21</v>
      </c>
      <c r="E802" s="4" t="s">
        <v>21</v>
      </c>
      <c r="F802" s="4">
        <f t="shared" si="2"/>
        <v>4</v>
      </c>
    </row>
    <row r="803">
      <c r="A803" s="5">
        <v>44091.24165509259</v>
      </c>
      <c r="B803" s="7">
        <f t="shared" si="1"/>
        <v>44091</v>
      </c>
      <c r="C803" s="33" t="s">
        <v>15</v>
      </c>
      <c r="D803" s="4" t="s">
        <v>21</v>
      </c>
      <c r="E803" s="4" t="s">
        <v>21</v>
      </c>
      <c r="F803" s="4">
        <f t="shared" si="2"/>
        <v>38</v>
      </c>
    </row>
    <row r="804">
      <c r="A804" s="5">
        <v>44180.31313657408</v>
      </c>
      <c r="B804" s="7">
        <f t="shared" si="1"/>
        <v>44180</v>
      </c>
      <c r="C804" s="33" t="s">
        <v>15</v>
      </c>
      <c r="D804" s="4" t="s">
        <v>21</v>
      </c>
      <c r="E804" s="4" t="s">
        <v>21</v>
      </c>
      <c r="F804" s="4">
        <f t="shared" si="2"/>
        <v>51</v>
      </c>
    </row>
    <row r="805">
      <c r="A805" s="5">
        <v>44239.44519675926</v>
      </c>
      <c r="B805" s="7">
        <f t="shared" si="1"/>
        <v>44239</v>
      </c>
      <c r="C805" s="33" t="s">
        <v>15</v>
      </c>
      <c r="D805" s="4" t="s">
        <v>21</v>
      </c>
      <c r="E805" s="4" t="s">
        <v>23</v>
      </c>
      <c r="F805" s="4">
        <f t="shared" si="2"/>
        <v>7</v>
      </c>
    </row>
    <row r="806">
      <c r="A806" s="5">
        <v>44300.33645833333</v>
      </c>
      <c r="B806" s="7">
        <f t="shared" si="1"/>
        <v>44300</v>
      </c>
      <c r="C806" s="33" t="s">
        <v>15</v>
      </c>
      <c r="D806" s="4" t="s">
        <v>21</v>
      </c>
      <c r="E806" s="4" t="s">
        <v>21</v>
      </c>
      <c r="F806" s="4">
        <f t="shared" si="2"/>
        <v>16</v>
      </c>
    </row>
    <row r="807">
      <c r="A807" s="5">
        <v>44182.90550925926</v>
      </c>
      <c r="B807" s="7">
        <f t="shared" si="1"/>
        <v>44182</v>
      </c>
      <c r="C807" s="33" t="s">
        <v>15</v>
      </c>
      <c r="D807" s="4" t="s">
        <v>21</v>
      </c>
      <c r="E807" s="4" t="s">
        <v>21</v>
      </c>
      <c r="F807" s="4">
        <f t="shared" si="2"/>
        <v>51</v>
      </c>
    </row>
    <row r="808">
      <c r="A808" s="5">
        <v>44167.58483796296</v>
      </c>
      <c r="B808" s="7">
        <f t="shared" si="1"/>
        <v>44167</v>
      </c>
      <c r="C808" s="33" t="s">
        <v>15</v>
      </c>
      <c r="D808" s="4" t="s">
        <v>21</v>
      </c>
      <c r="E808" s="4" t="s">
        <v>21</v>
      </c>
      <c r="F808" s="4">
        <f t="shared" si="2"/>
        <v>49</v>
      </c>
    </row>
    <row r="809">
      <c r="A809" s="5">
        <v>44118.51766203704</v>
      </c>
      <c r="B809" s="7">
        <f t="shared" si="1"/>
        <v>44118</v>
      </c>
      <c r="C809" s="33" t="s">
        <v>15</v>
      </c>
      <c r="D809" s="4" t="s">
        <v>21</v>
      </c>
      <c r="E809" s="4" t="s">
        <v>21</v>
      </c>
      <c r="F809" s="4">
        <f t="shared" si="2"/>
        <v>42</v>
      </c>
    </row>
    <row r="810">
      <c r="A810" s="5">
        <v>44204.61809027778</v>
      </c>
      <c r="B810" s="7">
        <f t="shared" si="1"/>
        <v>44204</v>
      </c>
      <c r="C810" s="33" t="s">
        <v>15</v>
      </c>
      <c r="D810" s="4" t="s">
        <v>21</v>
      </c>
      <c r="E810" s="4" t="s">
        <v>21</v>
      </c>
      <c r="F810" s="4">
        <f t="shared" si="2"/>
        <v>2</v>
      </c>
    </row>
    <row r="811">
      <c r="A811" s="5">
        <v>44206.61153935185</v>
      </c>
      <c r="B811" s="7">
        <f t="shared" si="1"/>
        <v>44206</v>
      </c>
      <c r="C811" s="33" t="s">
        <v>15</v>
      </c>
      <c r="D811" s="4" t="s">
        <v>21</v>
      </c>
      <c r="E811" s="4" t="s">
        <v>21</v>
      </c>
      <c r="F811" s="4">
        <f t="shared" si="2"/>
        <v>3</v>
      </c>
    </row>
    <row r="812">
      <c r="A812" s="5">
        <v>44148.62621527778</v>
      </c>
      <c r="B812" s="7">
        <f t="shared" si="1"/>
        <v>44148</v>
      </c>
      <c r="C812" s="33" t="s">
        <v>15</v>
      </c>
      <c r="D812" s="4" t="s">
        <v>21</v>
      </c>
      <c r="E812" s="4" t="s">
        <v>21</v>
      </c>
      <c r="F812" s="4">
        <f t="shared" si="2"/>
        <v>46</v>
      </c>
    </row>
    <row r="813">
      <c r="A813" s="5">
        <v>44175.42574074074</v>
      </c>
      <c r="B813" s="7">
        <f t="shared" si="1"/>
        <v>44175</v>
      </c>
      <c r="C813" s="33" t="s">
        <v>15</v>
      </c>
      <c r="D813" s="4" t="s">
        <v>21</v>
      </c>
      <c r="E813" s="4" t="s">
        <v>21</v>
      </c>
      <c r="F813" s="4">
        <f t="shared" si="2"/>
        <v>50</v>
      </c>
    </row>
    <row r="814">
      <c r="A814" s="5">
        <v>44162.09947916667</v>
      </c>
      <c r="B814" s="7">
        <f t="shared" si="1"/>
        <v>44162</v>
      </c>
      <c r="C814" s="33" t="s">
        <v>15</v>
      </c>
      <c r="D814" s="4" t="s">
        <v>21</v>
      </c>
      <c r="E814" s="4" t="s">
        <v>21</v>
      </c>
      <c r="F814" s="4">
        <f t="shared" si="2"/>
        <v>48</v>
      </c>
    </row>
    <row r="815">
      <c r="A815" s="5">
        <v>44085.56787037037</v>
      </c>
      <c r="B815" s="7">
        <f t="shared" si="1"/>
        <v>44085</v>
      </c>
      <c r="C815" s="33" t="s">
        <v>15</v>
      </c>
      <c r="D815" s="4" t="s">
        <v>21</v>
      </c>
      <c r="E815" s="4" t="s">
        <v>21</v>
      </c>
      <c r="F815" s="4">
        <f t="shared" si="2"/>
        <v>37</v>
      </c>
    </row>
    <row r="816">
      <c r="A816" s="5">
        <v>44145.844826388886</v>
      </c>
      <c r="B816" s="7">
        <f t="shared" si="1"/>
        <v>44145</v>
      </c>
      <c r="C816" s="33" t="s">
        <v>15</v>
      </c>
      <c r="D816" s="4" t="s">
        <v>21</v>
      </c>
      <c r="E816" s="4" t="s">
        <v>21</v>
      </c>
      <c r="F816" s="4">
        <f t="shared" si="2"/>
        <v>46</v>
      </c>
    </row>
    <row r="817">
      <c r="A817" s="5">
        <v>44117.55578703704</v>
      </c>
      <c r="B817" s="7">
        <f t="shared" si="1"/>
        <v>44117</v>
      </c>
      <c r="C817" s="33" t="s">
        <v>15</v>
      </c>
      <c r="D817" s="4" t="s">
        <v>21</v>
      </c>
      <c r="E817" s="4" t="s">
        <v>21</v>
      </c>
      <c r="F817" s="4">
        <f t="shared" si="2"/>
        <v>42</v>
      </c>
    </row>
    <row r="818">
      <c r="A818" s="5">
        <v>44159.47141203703</v>
      </c>
      <c r="B818" s="7">
        <f t="shared" si="1"/>
        <v>44159</v>
      </c>
      <c r="C818" s="33" t="s">
        <v>15</v>
      </c>
      <c r="D818" s="4" t="s">
        <v>21</v>
      </c>
      <c r="E818" s="4" t="s">
        <v>21</v>
      </c>
      <c r="F818" s="4">
        <f t="shared" si="2"/>
        <v>48</v>
      </c>
    </row>
    <row r="819">
      <c r="A819" s="5">
        <v>44162.68965277778</v>
      </c>
      <c r="B819" s="7">
        <f t="shared" si="1"/>
        <v>44162</v>
      </c>
      <c r="C819" s="33" t="s">
        <v>15</v>
      </c>
      <c r="D819" s="4" t="s">
        <v>21</v>
      </c>
      <c r="E819" s="4" t="s">
        <v>21</v>
      </c>
      <c r="F819" s="4">
        <f t="shared" si="2"/>
        <v>48</v>
      </c>
    </row>
    <row r="820">
      <c r="A820" s="5">
        <v>44169.45575231482</v>
      </c>
      <c r="B820" s="7">
        <f t="shared" si="1"/>
        <v>44169</v>
      </c>
      <c r="C820" s="33" t="s">
        <v>15</v>
      </c>
      <c r="D820" s="4" t="s">
        <v>21</v>
      </c>
      <c r="E820" s="4" t="s">
        <v>21</v>
      </c>
      <c r="F820" s="4">
        <f t="shared" si="2"/>
        <v>49</v>
      </c>
    </row>
    <row r="821">
      <c r="A821" s="5">
        <v>44182.547060185185</v>
      </c>
      <c r="B821" s="7">
        <f t="shared" si="1"/>
        <v>44182</v>
      </c>
      <c r="C821" s="33" t="s">
        <v>15</v>
      </c>
      <c r="D821" s="4" t="s">
        <v>21</v>
      </c>
      <c r="E821" s="4" t="s">
        <v>21</v>
      </c>
      <c r="F821" s="4">
        <f t="shared" si="2"/>
        <v>51</v>
      </c>
    </row>
    <row r="822">
      <c r="A822" s="5">
        <v>44204.67388888889</v>
      </c>
      <c r="B822" s="7">
        <f t="shared" si="1"/>
        <v>44204</v>
      </c>
      <c r="C822" s="33" t="s">
        <v>15</v>
      </c>
      <c r="D822" s="4" t="s">
        <v>21</v>
      </c>
      <c r="E822" s="4" t="s">
        <v>21</v>
      </c>
      <c r="F822" s="4">
        <f t="shared" si="2"/>
        <v>2</v>
      </c>
    </row>
    <row r="823">
      <c r="A823" s="5">
        <v>44252.5131712963</v>
      </c>
      <c r="B823" s="7">
        <f t="shared" si="1"/>
        <v>44252</v>
      </c>
      <c r="C823" s="33" t="s">
        <v>15</v>
      </c>
      <c r="D823" s="4" t="s">
        <v>21</v>
      </c>
      <c r="E823" s="4" t="s">
        <v>21</v>
      </c>
      <c r="F823" s="4">
        <f t="shared" si="2"/>
        <v>9</v>
      </c>
    </row>
    <row r="824">
      <c r="A824" s="5">
        <v>44287.38898148148</v>
      </c>
      <c r="B824" s="7">
        <f t="shared" si="1"/>
        <v>44287</v>
      </c>
      <c r="C824" s="33" t="s">
        <v>15</v>
      </c>
      <c r="D824" s="4" t="s">
        <v>21</v>
      </c>
      <c r="E824" s="4" t="s">
        <v>21</v>
      </c>
      <c r="F824" s="4">
        <f t="shared" si="2"/>
        <v>14</v>
      </c>
    </row>
    <row r="825">
      <c r="A825" s="5">
        <v>44302.52407407408</v>
      </c>
      <c r="B825" s="7">
        <f t="shared" si="1"/>
        <v>44302</v>
      </c>
      <c r="C825" s="33" t="s">
        <v>15</v>
      </c>
      <c r="D825" s="4" t="s">
        <v>21</v>
      </c>
      <c r="E825" s="4" t="s">
        <v>21</v>
      </c>
      <c r="F825" s="4">
        <f t="shared" si="2"/>
        <v>16</v>
      </c>
    </row>
    <row r="826">
      <c r="A826" s="5">
        <v>44321.59752314815</v>
      </c>
      <c r="B826" s="7">
        <f t="shared" si="1"/>
        <v>44321</v>
      </c>
      <c r="C826" s="33" t="s">
        <v>15</v>
      </c>
      <c r="D826" s="4" t="s">
        <v>21</v>
      </c>
      <c r="E826" s="4" t="s">
        <v>21</v>
      </c>
      <c r="F826" s="4">
        <f t="shared" si="2"/>
        <v>19</v>
      </c>
    </row>
    <row r="827">
      <c r="A827" s="5">
        <v>44064.278078703705</v>
      </c>
      <c r="B827" s="7">
        <f t="shared" si="1"/>
        <v>44064</v>
      </c>
      <c r="C827" s="33" t="s">
        <v>15</v>
      </c>
      <c r="D827" s="4" t="s">
        <v>21</v>
      </c>
      <c r="E827" s="4" t="s">
        <v>21</v>
      </c>
      <c r="F827" s="4">
        <f t="shared" si="2"/>
        <v>34</v>
      </c>
    </row>
    <row r="828">
      <c r="A828" s="5">
        <v>44140.558171296296</v>
      </c>
      <c r="B828" s="7">
        <f t="shared" si="1"/>
        <v>44140</v>
      </c>
      <c r="C828" s="33" t="s">
        <v>15</v>
      </c>
      <c r="D828" s="4" t="s">
        <v>21</v>
      </c>
      <c r="E828" s="4" t="s">
        <v>21</v>
      </c>
      <c r="F828" s="4">
        <f t="shared" si="2"/>
        <v>45</v>
      </c>
    </row>
    <row r="829">
      <c r="A829" s="5">
        <v>44102.34751157407</v>
      </c>
      <c r="B829" s="7">
        <f t="shared" si="1"/>
        <v>44102</v>
      </c>
      <c r="C829" s="33" t="s">
        <v>15</v>
      </c>
      <c r="D829" s="4" t="s">
        <v>21</v>
      </c>
      <c r="E829" s="4" t="s">
        <v>21</v>
      </c>
      <c r="F829" s="4">
        <f t="shared" si="2"/>
        <v>40</v>
      </c>
    </row>
    <row r="830">
      <c r="A830" s="5">
        <v>44261.56707175926</v>
      </c>
      <c r="B830" s="7">
        <f t="shared" si="1"/>
        <v>44261</v>
      </c>
      <c r="C830" s="33" t="s">
        <v>15</v>
      </c>
      <c r="D830" s="4" t="s">
        <v>21</v>
      </c>
      <c r="E830" s="4" t="s">
        <v>21</v>
      </c>
      <c r="F830" s="4">
        <f t="shared" si="2"/>
        <v>10</v>
      </c>
    </row>
    <row r="831">
      <c r="A831" s="5">
        <v>44224.787303240744</v>
      </c>
      <c r="B831" s="7">
        <f t="shared" si="1"/>
        <v>44224</v>
      </c>
      <c r="C831" s="33" t="s">
        <v>15</v>
      </c>
      <c r="D831" s="4" t="s">
        <v>21</v>
      </c>
      <c r="E831" s="4" t="s">
        <v>21</v>
      </c>
      <c r="F831" s="4">
        <f t="shared" si="2"/>
        <v>5</v>
      </c>
    </row>
    <row r="832">
      <c r="A832" s="5">
        <v>44224.80030092593</v>
      </c>
      <c r="B832" s="7">
        <f t="shared" si="1"/>
        <v>44224</v>
      </c>
      <c r="C832" s="33" t="s">
        <v>15</v>
      </c>
      <c r="D832" s="4" t="s">
        <v>21</v>
      </c>
      <c r="E832" s="4" t="s">
        <v>21</v>
      </c>
      <c r="F832" s="4">
        <f t="shared" si="2"/>
        <v>5</v>
      </c>
    </row>
    <row r="833">
      <c r="A833" s="5">
        <v>44224.84991898148</v>
      </c>
      <c r="B833" s="7">
        <f t="shared" si="1"/>
        <v>44224</v>
      </c>
      <c r="C833" s="33" t="s">
        <v>15</v>
      </c>
      <c r="D833" s="4" t="s">
        <v>21</v>
      </c>
      <c r="E833" s="4" t="s">
        <v>21</v>
      </c>
      <c r="F833" s="4">
        <f t="shared" si="2"/>
        <v>5</v>
      </c>
    </row>
    <row r="834">
      <c r="A834" s="5">
        <v>44294.320810185185</v>
      </c>
      <c r="B834" s="7">
        <f t="shared" si="1"/>
        <v>44294</v>
      </c>
      <c r="C834" s="33" t="s">
        <v>15</v>
      </c>
      <c r="D834" s="4" t="s">
        <v>21</v>
      </c>
      <c r="E834" s="4" t="s">
        <v>21</v>
      </c>
      <c r="F834" s="4">
        <f t="shared" si="2"/>
        <v>15</v>
      </c>
    </row>
    <row r="835">
      <c r="A835" s="5">
        <v>44349.52417824074</v>
      </c>
      <c r="B835" s="7">
        <f t="shared" si="1"/>
        <v>44349</v>
      </c>
      <c r="C835" s="33" t="s">
        <v>15</v>
      </c>
      <c r="D835" s="4" t="s">
        <v>21</v>
      </c>
      <c r="E835" s="4" t="s">
        <v>21</v>
      </c>
      <c r="F835" s="4">
        <f t="shared" si="2"/>
        <v>23</v>
      </c>
    </row>
    <row r="836">
      <c r="A836" s="5">
        <v>44237.68251157407</v>
      </c>
      <c r="B836" s="7">
        <f t="shared" si="1"/>
        <v>44237</v>
      </c>
      <c r="C836" s="33" t="s">
        <v>15</v>
      </c>
      <c r="D836" s="4" t="s">
        <v>21</v>
      </c>
      <c r="E836" s="4" t="s">
        <v>21</v>
      </c>
      <c r="F836" s="4">
        <f t="shared" si="2"/>
        <v>7</v>
      </c>
    </row>
    <row r="837">
      <c r="A837" s="5">
        <v>44119.394953703704</v>
      </c>
      <c r="B837" s="7">
        <f t="shared" si="1"/>
        <v>44119</v>
      </c>
      <c r="C837" s="33" t="s">
        <v>15</v>
      </c>
      <c r="D837" s="4" t="s">
        <v>21</v>
      </c>
      <c r="E837" s="4" t="s">
        <v>21</v>
      </c>
      <c r="F837" s="4">
        <f t="shared" si="2"/>
        <v>42</v>
      </c>
    </row>
    <row r="838">
      <c r="A838" s="5">
        <v>44182.61974537037</v>
      </c>
      <c r="B838" s="7">
        <f t="shared" si="1"/>
        <v>44182</v>
      </c>
      <c r="C838" s="33" t="s">
        <v>15</v>
      </c>
      <c r="D838" s="4" t="s">
        <v>21</v>
      </c>
      <c r="E838" s="4" t="s">
        <v>21</v>
      </c>
      <c r="F838" s="4">
        <f t="shared" si="2"/>
        <v>51</v>
      </c>
    </row>
    <row r="839">
      <c r="A839" s="5">
        <v>44238.60282407407</v>
      </c>
      <c r="B839" s="7">
        <f t="shared" si="1"/>
        <v>44238</v>
      </c>
      <c r="C839" s="33" t="s">
        <v>15</v>
      </c>
      <c r="D839" s="4" t="s">
        <v>21</v>
      </c>
      <c r="E839" s="4" t="s">
        <v>23</v>
      </c>
      <c r="F839" s="4">
        <f t="shared" si="2"/>
        <v>7</v>
      </c>
    </row>
    <row r="840">
      <c r="A840" s="5">
        <v>44120.35851851852</v>
      </c>
      <c r="B840" s="7">
        <f t="shared" si="1"/>
        <v>44120</v>
      </c>
      <c r="C840" s="33" t="s">
        <v>15</v>
      </c>
      <c r="D840" s="4" t="s">
        <v>21</v>
      </c>
      <c r="E840" s="4" t="s">
        <v>21</v>
      </c>
      <c r="F840" s="4">
        <f t="shared" si="2"/>
        <v>42</v>
      </c>
    </row>
    <row r="841">
      <c r="A841" s="5">
        <v>44109.316145833334</v>
      </c>
      <c r="B841" s="7">
        <f t="shared" si="1"/>
        <v>44109</v>
      </c>
      <c r="C841" s="33" t="s">
        <v>15</v>
      </c>
      <c r="D841" s="4" t="s">
        <v>21</v>
      </c>
      <c r="E841" s="4" t="s">
        <v>21</v>
      </c>
      <c r="F841" s="4">
        <f t="shared" si="2"/>
        <v>41</v>
      </c>
    </row>
    <row r="842">
      <c r="A842" s="5">
        <v>44350.27258101852</v>
      </c>
      <c r="B842" s="7">
        <f t="shared" si="1"/>
        <v>44350</v>
      </c>
      <c r="C842" s="33" t="s">
        <v>15</v>
      </c>
      <c r="D842" s="4" t="s">
        <v>21</v>
      </c>
      <c r="E842" s="4" t="s">
        <v>21</v>
      </c>
      <c r="F842" s="4">
        <f t="shared" si="2"/>
        <v>23</v>
      </c>
    </row>
    <row r="843">
      <c r="A843" s="5">
        <v>44343.41428240741</v>
      </c>
      <c r="B843" s="7">
        <f t="shared" si="1"/>
        <v>44343</v>
      </c>
      <c r="C843" s="33" t="s">
        <v>15</v>
      </c>
      <c r="D843" s="4" t="s">
        <v>21</v>
      </c>
      <c r="E843" s="4" t="s">
        <v>21</v>
      </c>
      <c r="F843" s="4">
        <f t="shared" si="2"/>
        <v>22</v>
      </c>
    </row>
    <row r="844">
      <c r="A844" s="5">
        <v>44271.80708333333</v>
      </c>
      <c r="B844" s="7">
        <f t="shared" si="1"/>
        <v>44271</v>
      </c>
      <c r="C844" s="33" t="s">
        <v>15</v>
      </c>
      <c r="D844" s="4" t="s">
        <v>21</v>
      </c>
      <c r="E844" s="4" t="s">
        <v>21</v>
      </c>
      <c r="F844" s="4">
        <f t="shared" si="2"/>
        <v>12</v>
      </c>
    </row>
    <row r="845">
      <c r="A845" s="5">
        <v>44218.672951388886</v>
      </c>
      <c r="B845" s="7">
        <f t="shared" si="1"/>
        <v>44218</v>
      </c>
      <c r="C845" s="33" t="s">
        <v>15</v>
      </c>
      <c r="D845" s="4" t="s">
        <v>21</v>
      </c>
      <c r="E845" s="4" t="s">
        <v>21</v>
      </c>
      <c r="F845" s="4">
        <f t="shared" si="2"/>
        <v>4</v>
      </c>
    </row>
    <row r="846">
      <c r="A846" s="5">
        <v>44218.695868055554</v>
      </c>
      <c r="B846" s="7">
        <f t="shared" si="1"/>
        <v>44218</v>
      </c>
      <c r="C846" s="33" t="s">
        <v>15</v>
      </c>
      <c r="D846" s="4" t="s">
        <v>21</v>
      </c>
      <c r="E846" s="4" t="s">
        <v>21</v>
      </c>
      <c r="F846" s="4">
        <f t="shared" si="2"/>
        <v>4</v>
      </c>
    </row>
    <row r="847">
      <c r="A847" s="5">
        <v>44334.89024305555</v>
      </c>
      <c r="B847" s="7">
        <f t="shared" si="1"/>
        <v>44334</v>
      </c>
      <c r="C847" s="33" t="s">
        <v>15</v>
      </c>
      <c r="D847" s="4" t="s">
        <v>21</v>
      </c>
      <c r="E847" s="4" t="s">
        <v>21</v>
      </c>
      <c r="F847" s="4">
        <f t="shared" si="2"/>
        <v>21</v>
      </c>
    </row>
    <row r="848">
      <c r="A848" s="5">
        <v>44362.57034722222</v>
      </c>
      <c r="B848" s="7">
        <f t="shared" si="1"/>
        <v>44362</v>
      </c>
      <c r="C848" s="33" t="s">
        <v>15</v>
      </c>
      <c r="D848" s="4" t="s">
        <v>21</v>
      </c>
      <c r="E848" s="4" t="s">
        <v>21</v>
      </c>
      <c r="F848" s="4">
        <f t="shared" si="2"/>
        <v>25</v>
      </c>
    </row>
    <row r="849">
      <c r="A849" s="5">
        <v>44022.392534722225</v>
      </c>
      <c r="B849" s="7">
        <f t="shared" si="1"/>
        <v>44022</v>
      </c>
      <c r="C849" s="33" t="s">
        <v>15</v>
      </c>
      <c r="D849" s="4" t="s">
        <v>21</v>
      </c>
      <c r="E849" s="4" t="s">
        <v>21</v>
      </c>
      <c r="F849" s="4">
        <f t="shared" si="2"/>
        <v>28</v>
      </c>
    </row>
    <row r="850">
      <c r="A850" s="5">
        <v>44315.62535879629</v>
      </c>
      <c r="B850" s="7">
        <f t="shared" si="1"/>
        <v>44315</v>
      </c>
      <c r="C850" s="33" t="s">
        <v>15</v>
      </c>
      <c r="D850" s="4" t="s">
        <v>21</v>
      </c>
      <c r="E850" s="4" t="s">
        <v>21</v>
      </c>
      <c r="F850" s="4">
        <f t="shared" si="2"/>
        <v>18</v>
      </c>
    </row>
    <row r="851">
      <c r="A851" s="5">
        <v>44316.33945601852</v>
      </c>
      <c r="B851" s="7">
        <f t="shared" si="1"/>
        <v>44316</v>
      </c>
      <c r="C851" s="33" t="s">
        <v>15</v>
      </c>
      <c r="D851" s="4" t="s">
        <v>21</v>
      </c>
      <c r="E851" s="4" t="s">
        <v>21</v>
      </c>
      <c r="F851" s="4">
        <f t="shared" si="2"/>
        <v>18</v>
      </c>
    </row>
    <row r="852">
      <c r="A852" s="5">
        <v>44341.51082175926</v>
      </c>
      <c r="B852" s="7">
        <f t="shared" si="1"/>
        <v>44341</v>
      </c>
      <c r="C852" s="33" t="s">
        <v>15</v>
      </c>
      <c r="D852" s="4" t="s">
        <v>21</v>
      </c>
      <c r="E852" s="4" t="s">
        <v>21</v>
      </c>
      <c r="F852" s="4">
        <f t="shared" si="2"/>
        <v>22</v>
      </c>
    </row>
    <row r="853">
      <c r="A853" s="5">
        <v>44341.845347222225</v>
      </c>
      <c r="B853" s="7">
        <f t="shared" si="1"/>
        <v>44341</v>
      </c>
      <c r="C853" s="33" t="s">
        <v>15</v>
      </c>
      <c r="D853" s="4" t="s">
        <v>21</v>
      </c>
      <c r="E853" s="4" t="s">
        <v>21</v>
      </c>
      <c r="F853" s="4">
        <f t="shared" si="2"/>
        <v>22</v>
      </c>
    </row>
    <row r="854">
      <c r="A854" s="5">
        <v>44343.19480324074</v>
      </c>
      <c r="B854" s="7">
        <f t="shared" si="1"/>
        <v>44343</v>
      </c>
      <c r="C854" s="33" t="s">
        <v>15</v>
      </c>
      <c r="D854" s="4" t="s">
        <v>21</v>
      </c>
      <c r="E854" s="4" t="s">
        <v>21</v>
      </c>
      <c r="F854" s="4">
        <f t="shared" si="2"/>
        <v>22</v>
      </c>
    </row>
    <row r="855">
      <c r="A855" s="5">
        <v>44174.386145833334</v>
      </c>
      <c r="B855" s="7">
        <f t="shared" si="1"/>
        <v>44174</v>
      </c>
      <c r="C855" s="33" t="s">
        <v>15</v>
      </c>
      <c r="D855" s="4" t="s">
        <v>21</v>
      </c>
      <c r="E855" s="4" t="s">
        <v>21</v>
      </c>
      <c r="F855" s="4">
        <f t="shared" si="2"/>
        <v>50</v>
      </c>
    </row>
    <row r="856">
      <c r="A856" s="5">
        <v>44174.38699074074</v>
      </c>
      <c r="B856" s="7">
        <f t="shared" si="1"/>
        <v>44174</v>
      </c>
      <c r="C856" s="33" t="s">
        <v>15</v>
      </c>
      <c r="D856" s="4" t="s">
        <v>21</v>
      </c>
      <c r="E856" s="4" t="s">
        <v>21</v>
      </c>
      <c r="F856" s="4">
        <f t="shared" si="2"/>
        <v>50</v>
      </c>
    </row>
    <row r="857">
      <c r="A857" s="5">
        <v>44174.42350694445</v>
      </c>
      <c r="B857" s="7">
        <f t="shared" si="1"/>
        <v>44174</v>
      </c>
      <c r="C857" s="33" t="s">
        <v>15</v>
      </c>
      <c r="D857" s="4" t="s">
        <v>21</v>
      </c>
      <c r="E857" s="4" t="s">
        <v>21</v>
      </c>
      <c r="F857" s="4">
        <f t="shared" si="2"/>
        <v>50</v>
      </c>
    </row>
    <row r="858">
      <c r="A858" s="5">
        <v>44250.59296296296</v>
      </c>
      <c r="B858" s="7">
        <f t="shared" si="1"/>
        <v>44250</v>
      </c>
      <c r="C858" s="33" t="s">
        <v>15</v>
      </c>
      <c r="D858" s="4" t="s">
        <v>21</v>
      </c>
      <c r="E858" s="4" t="s">
        <v>21</v>
      </c>
      <c r="F858" s="4">
        <f t="shared" si="2"/>
        <v>9</v>
      </c>
    </row>
    <row r="859">
      <c r="A859" s="5">
        <v>44033.23721064815</v>
      </c>
      <c r="B859" s="7">
        <f t="shared" si="1"/>
        <v>44033</v>
      </c>
      <c r="C859" s="33" t="s">
        <v>15</v>
      </c>
      <c r="D859" s="4" t="s">
        <v>21</v>
      </c>
      <c r="E859" s="4" t="s">
        <v>21</v>
      </c>
      <c r="F859" s="4">
        <f t="shared" si="2"/>
        <v>30</v>
      </c>
    </row>
    <row r="860">
      <c r="A860" s="5">
        <v>44362.52543981482</v>
      </c>
      <c r="B860" s="7">
        <f t="shared" si="1"/>
        <v>44362</v>
      </c>
      <c r="C860" s="33" t="s">
        <v>15</v>
      </c>
      <c r="D860" s="4" t="s">
        <v>21</v>
      </c>
      <c r="E860" s="4" t="s">
        <v>21</v>
      </c>
      <c r="F860" s="4">
        <f t="shared" si="2"/>
        <v>25</v>
      </c>
    </row>
    <row r="861">
      <c r="A861" s="5">
        <v>44362.52564814815</v>
      </c>
      <c r="B861" s="7">
        <f t="shared" si="1"/>
        <v>44362</v>
      </c>
      <c r="C861" s="33" t="s">
        <v>15</v>
      </c>
      <c r="D861" s="4" t="s">
        <v>21</v>
      </c>
      <c r="E861" s="4" t="s">
        <v>21</v>
      </c>
      <c r="F861" s="4">
        <f t="shared" si="2"/>
        <v>25</v>
      </c>
    </row>
    <row r="862">
      <c r="A862" s="5">
        <v>44362.52584490741</v>
      </c>
      <c r="B862" s="7">
        <f t="shared" si="1"/>
        <v>44362</v>
      </c>
      <c r="C862" s="33" t="s">
        <v>15</v>
      </c>
      <c r="D862" s="4" t="s">
        <v>21</v>
      </c>
      <c r="E862" s="4" t="s">
        <v>21</v>
      </c>
      <c r="F862" s="4">
        <f t="shared" si="2"/>
        <v>25</v>
      </c>
    </row>
    <row r="863">
      <c r="A863" s="5">
        <v>44362.526041666664</v>
      </c>
      <c r="B863" s="7">
        <f t="shared" si="1"/>
        <v>44362</v>
      </c>
      <c r="C863" s="33" t="s">
        <v>15</v>
      </c>
      <c r="D863" s="4" t="s">
        <v>21</v>
      </c>
      <c r="E863" s="4" t="s">
        <v>21</v>
      </c>
      <c r="F863" s="4">
        <f t="shared" si="2"/>
        <v>25</v>
      </c>
    </row>
    <row r="864">
      <c r="A864" s="5">
        <v>44362.52627314815</v>
      </c>
      <c r="B864" s="7">
        <f t="shared" si="1"/>
        <v>44362</v>
      </c>
      <c r="C864" s="33" t="s">
        <v>15</v>
      </c>
      <c r="D864" s="4" t="s">
        <v>21</v>
      </c>
      <c r="E864" s="4" t="s">
        <v>21</v>
      </c>
      <c r="F864" s="4">
        <f t="shared" si="2"/>
        <v>25</v>
      </c>
    </row>
    <row r="865">
      <c r="A865" s="5">
        <v>44362.52646990741</v>
      </c>
      <c r="B865" s="7">
        <f t="shared" si="1"/>
        <v>44362</v>
      </c>
      <c r="C865" s="33" t="s">
        <v>15</v>
      </c>
      <c r="D865" s="4" t="s">
        <v>21</v>
      </c>
      <c r="E865" s="4" t="s">
        <v>21</v>
      </c>
      <c r="F865" s="4">
        <f t="shared" si="2"/>
        <v>25</v>
      </c>
    </row>
    <row r="866">
      <c r="A866" s="5">
        <v>44362.526655092595</v>
      </c>
      <c r="B866" s="7">
        <f t="shared" si="1"/>
        <v>44362</v>
      </c>
      <c r="C866" s="33" t="s">
        <v>15</v>
      </c>
      <c r="D866" s="4" t="s">
        <v>21</v>
      </c>
      <c r="E866" s="4" t="s">
        <v>21</v>
      </c>
      <c r="F866" s="4">
        <f t="shared" si="2"/>
        <v>25</v>
      </c>
    </row>
    <row r="867">
      <c r="A867" s="5">
        <v>44362.52685185185</v>
      </c>
      <c r="B867" s="7">
        <f t="shared" si="1"/>
        <v>44362</v>
      </c>
      <c r="C867" s="33" t="s">
        <v>15</v>
      </c>
      <c r="D867" s="4" t="s">
        <v>21</v>
      </c>
      <c r="E867" s="4" t="s">
        <v>21</v>
      </c>
      <c r="F867" s="4">
        <f t="shared" si="2"/>
        <v>25</v>
      </c>
    </row>
    <row r="868">
      <c r="A868" s="5">
        <v>44362.52704861111</v>
      </c>
      <c r="B868" s="7">
        <f t="shared" si="1"/>
        <v>44362</v>
      </c>
      <c r="C868" s="33" t="s">
        <v>15</v>
      </c>
      <c r="D868" s="4" t="s">
        <v>21</v>
      </c>
      <c r="E868" s="4" t="s">
        <v>21</v>
      </c>
      <c r="F868" s="4">
        <f t="shared" si="2"/>
        <v>25</v>
      </c>
    </row>
    <row r="869">
      <c r="A869" s="5">
        <v>44176.452997685185</v>
      </c>
      <c r="B869" s="7">
        <f t="shared" si="1"/>
        <v>44176</v>
      </c>
      <c r="C869" s="33" t="s">
        <v>15</v>
      </c>
      <c r="D869" s="4" t="s">
        <v>21</v>
      </c>
      <c r="E869" s="4" t="s">
        <v>21</v>
      </c>
      <c r="F869" s="4">
        <f t="shared" si="2"/>
        <v>50</v>
      </c>
    </row>
    <row r="870">
      <c r="A870" s="5">
        <v>44215.335868055554</v>
      </c>
      <c r="B870" s="7">
        <f t="shared" si="1"/>
        <v>44215</v>
      </c>
      <c r="C870" s="33" t="s">
        <v>15</v>
      </c>
      <c r="D870" s="4" t="s">
        <v>21</v>
      </c>
      <c r="E870" s="4" t="s">
        <v>21</v>
      </c>
      <c r="F870" s="4">
        <f t="shared" si="2"/>
        <v>4</v>
      </c>
    </row>
    <row r="871">
      <c r="A871" s="5">
        <v>44229.45034722222</v>
      </c>
      <c r="B871" s="7">
        <f t="shared" si="1"/>
        <v>44229</v>
      </c>
      <c r="C871" s="33" t="s">
        <v>15</v>
      </c>
      <c r="D871" s="4" t="s">
        <v>21</v>
      </c>
      <c r="E871" s="4" t="s">
        <v>21</v>
      </c>
      <c r="F871" s="4">
        <f t="shared" si="2"/>
        <v>6</v>
      </c>
    </row>
    <row r="872">
      <c r="A872" s="5">
        <v>44250.409363425926</v>
      </c>
      <c r="B872" s="7">
        <f t="shared" si="1"/>
        <v>44250</v>
      </c>
      <c r="C872" s="33" t="s">
        <v>15</v>
      </c>
      <c r="D872" s="4" t="s">
        <v>21</v>
      </c>
      <c r="E872" s="4" t="s">
        <v>21</v>
      </c>
      <c r="F872" s="4">
        <f t="shared" si="2"/>
        <v>9</v>
      </c>
    </row>
    <row r="873">
      <c r="A873" s="5">
        <v>44270.6316087963</v>
      </c>
      <c r="B873" s="7">
        <f t="shared" si="1"/>
        <v>44270</v>
      </c>
      <c r="C873" s="33" t="s">
        <v>15</v>
      </c>
      <c r="D873" s="4" t="s">
        <v>21</v>
      </c>
      <c r="E873" s="4" t="s">
        <v>21</v>
      </c>
      <c r="F873" s="4">
        <f t="shared" si="2"/>
        <v>12</v>
      </c>
    </row>
    <row r="874">
      <c r="A874" s="5">
        <v>44333.477013888885</v>
      </c>
      <c r="B874" s="7">
        <f t="shared" si="1"/>
        <v>44333</v>
      </c>
      <c r="C874" s="33" t="s">
        <v>15</v>
      </c>
      <c r="D874" s="4" t="s">
        <v>21</v>
      </c>
      <c r="E874" s="4" t="s">
        <v>21</v>
      </c>
      <c r="F874" s="4">
        <f t="shared" si="2"/>
        <v>21</v>
      </c>
    </row>
    <row r="875">
      <c r="A875" s="5">
        <v>44333.707974537036</v>
      </c>
      <c r="B875" s="7">
        <f t="shared" si="1"/>
        <v>44333</v>
      </c>
      <c r="C875" s="33" t="s">
        <v>15</v>
      </c>
      <c r="D875" s="4" t="s">
        <v>21</v>
      </c>
      <c r="E875" s="4" t="s">
        <v>21</v>
      </c>
      <c r="F875" s="4">
        <f t="shared" si="2"/>
        <v>21</v>
      </c>
    </row>
    <row r="876">
      <c r="A876" s="5">
        <v>44354.619467592594</v>
      </c>
      <c r="B876" s="7">
        <f t="shared" si="1"/>
        <v>44354</v>
      </c>
      <c r="C876" s="33" t="s">
        <v>15</v>
      </c>
      <c r="D876" s="4" t="s">
        <v>21</v>
      </c>
      <c r="E876" s="4" t="s">
        <v>21</v>
      </c>
      <c r="F876" s="4">
        <f t="shared" si="2"/>
        <v>24</v>
      </c>
    </row>
    <row r="877">
      <c r="A877" s="5">
        <v>44361.279652777775</v>
      </c>
      <c r="B877" s="7">
        <f t="shared" si="1"/>
        <v>44361</v>
      </c>
      <c r="C877" s="33" t="s">
        <v>15</v>
      </c>
      <c r="D877" s="4" t="s">
        <v>21</v>
      </c>
      <c r="E877" s="4" t="s">
        <v>21</v>
      </c>
      <c r="F877" s="4">
        <f t="shared" si="2"/>
        <v>25</v>
      </c>
    </row>
    <row r="878">
      <c r="A878" s="5">
        <v>44365.32665509259</v>
      </c>
      <c r="B878" s="7">
        <f t="shared" si="1"/>
        <v>44365</v>
      </c>
      <c r="C878" s="33" t="s">
        <v>15</v>
      </c>
      <c r="D878" s="4" t="s">
        <v>21</v>
      </c>
      <c r="E878" s="4" t="s">
        <v>21</v>
      </c>
      <c r="F878" s="4">
        <f t="shared" si="2"/>
        <v>25</v>
      </c>
    </row>
    <row r="879">
      <c r="A879" s="5">
        <v>44375.571493055555</v>
      </c>
      <c r="B879" s="7">
        <f t="shared" si="1"/>
        <v>44375</v>
      </c>
      <c r="C879" s="33" t="s">
        <v>15</v>
      </c>
      <c r="D879" s="4" t="s">
        <v>21</v>
      </c>
      <c r="E879" s="4" t="s">
        <v>21</v>
      </c>
      <c r="F879" s="4">
        <f t="shared" si="2"/>
        <v>27</v>
      </c>
    </row>
    <row r="880">
      <c r="A880" s="5">
        <v>44343.54304398148</v>
      </c>
      <c r="B880" s="7">
        <f t="shared" si="1"/>
        <v>44343</v>
      </c>
      <c r="C880" s="33" t="s">
        <v>15</v>
      </c>
      <c r="D880" s="4" t="s">
        <v>21</v>
      </c>
      <c r="E880" s="4" t="s">
        <v>21</v>
      </c>
      <c r="F880" s="4">
        <f t="shared" si="2"/>
        <v>22</v>
      </c>
    </row>
    <row r="881">
      <c r="A881" s="5">
        <v>44238.49469907407</v>
      </c>
      <c r="B881" s="7">
        <f t="shared" si="1"/>
        <v>44238</v>
      </c>
      <c r="C881" s="33" t="s">
        <v>15</v>
      </c>
      <c r="D881" s="4" t="s">
        <v>21</v>
      </c>
      <c r="E881" s="4" t="s">
        <v>23</v>
      </c>
      <c r="F881" s="4">
        <f t="shared" si="2"/>
        <v>7</v>
      </c>
    </row>
    <row r="882">
      <c r="A882" s="5">
        <v>44300.57480324074</v>
      </c>
      <c r="B882" s="7">
        <f t="shared" si="1"/>
        <v>44300</v>
      </c>
      <c r="C882" s="33" t="s">
        <v>15</v>
      </c>
      <c r="D882" s="4" t="s">
        <v>21</v>
      </c>
      <c r="E882" s="4" t="s">
        <v>21</v>
      </c>
      <c r="F882" s="4">
        <f t="shared" si="2"/>
        <v>16</v>
      </c>
    </row>
    <row r="883">
      <c r="A883" s="5">
        <v>44267.41736111111</v>
      </c>
      <c r="B883" s="7">
        <f t="shared" si="1"/>
        <v>44267</v>
      </c>
      <c r="C883" s="33" t="s">
        <v>15</v>
      </c>
      <c r="D883" s="4" t="s">
        <v>21</v>
      </c>
      <c r="E883" s="4" t="s">
        <v>21</v>
      </c>
      <c r="F883" s="4">
        <f t="shared" si="2"/>
        <v>11</v>
      </c>
    </row>
    <row r="884">
      <c r="A884" s="5">
        <v>44273.39805555555</v>
      </c>
      <c r="B884" s="7">
        <f t="shared" si="1"/>
        <v>44273</v>
      </c>
      <c r="C884" s="33" t="s">
        <v>15</v>
      </c>
      <c r="D884" s="4" t="s">
        <v>21</v>
      </c>
      <c r="E884" s="4" t="s">
        <v>21</v>
      </c>
      <c r="F884" s="4">
        <f t="shared" si="2"/>
        <v>12</v>
      </c>
    </row>
    <row r="885">
      <c r="A885" s="5">
        <v>44356.619733796295</v>
      </c>
      <c r="B885" s="7">
        <f t="shared" si="1"/>
        <v>44356</v>
      </c>
      <c r="C885" s="33" t="s">
        <v>15</v>
      </c>
      <c r="D885" s="4" t="s">
        <v>21</v>
      </c>
      <c r="E885" s="4" t="s">
        <v>21</v>
      </c>
      <c r="F885" s="4">
        <f t="shared" si="2"/>
        <v>24</v>
      </c>
    </row>
    <row r="886">
      <c r="A886" s="5">
        <v>44039.28564814815</v>
      </c>
      <c r="B886" s="7">
        <f t="shared" si="1"/>
        <v>44039</v>
      </c>
      <c r="C886" s="33" t="s">
        <v>15</v>
      </c>
      <c r="D886" s="4" t="s">
        <v>21</v>
      </c>
      <c r="E886" s="4" t="s">
        <v>21</v>
      </c>
      <c r="F886" s="4">
        <f t="shared" si="2"/>
        <v>31</v>
      </c>
    </row>
    <row r="887">
      <c r="A887" s="5">
        <v>44300.44403935185</v>
      </c>
      <c r="B887" s="7">
        <f t="shared" si="1"/>
        <v>44300</v>
      </c>
      <c r="C887" s="33" t="s">
        <v>15</v>
      </c>
      <c r="D887" s="4" t="s">
        <v>21</v>
      </c>
      <c r="E887" s="4" t="s">
        <v>21</v>
      </c>
      <c r="F887" s="4">
        <f t="shared" si="2"/>
        <v>16</v>
      </c>
    </row>
    <row r="888">
      <c r="A888" s="5">
        <v>44096.32414351852</v>
      </c>
      <c r="B888" s="7">
        <f t="shared" si="1"/>
        <v>44096</v>
      </c>
      <c r="C888" s="33" t="s">
        <v>15</v>
      </c>
      <c r="D888" s="4" t="s">
        <v>21</v>
      </c>
      <c r="E888" s="4" t="s">
        <v>21</v>
      </c>
      <c r="F888" s="4">
        <f t="shared" si="2"/>
        <v>39</v>
      </c>
    </row>
    <row r="889">
      <c r="A889" s="5">
        <v>44249.41799768519</v>
      </c>
      <c r="B889" s="7">
        <f t="shared" si="1"/>
        <v>44249</v>
      </c>
      <c r="C889" s="33" t="s">
        <v>15</v>
      </c>
      <c r="D889" s="4" t="s">
        <v>21</v>
      </c>
      <c r="E889" s="4" t="s">
        <v>21</v>
      </c>
      <c r="F889" s="4">
        <f t="shared" si="2"/>
        <v>9</v>
      </c>
    </row>
    <row r="890">
      <c r="A890" s="5">
        <v>44231.517847222225</v>
      </c>
      <c r="B890" s="7">
        <f t="shared" si="1"/>
        <v>44231</v>
      </c>
      <c r="C890" s="33" t="s">
        <v>15</v>
      </c>
      <c r="D890" s="4" t="s">
        <v>21</v>
      </c>
      <c r="E890" s="4" t="s">
        <v>21</v>
      </c>
      <c r="F890" s="4">
        <f t="shared" si="2"/>
        <v>6</v>
      </c>
    </row>
    <row r="891">
      <c r="A891" s="5">
        <v>44028.25230324074</v>
      </c>
      <c r="B891" s="7">
        <f t="shared" si="1"/>
        <v>44028</v>
      </c>
      <c r="C891" s="33" t="s">
        <v>15</v>
      </c>
      <c r="D891" s="4" t="s">
        <v>21</v>
      </c>
      <c r="E891" s="4" t="s">
        <v>21</v>
      </c>
      <c r="F891" s="4">
        <f t="shared" si="2"/>
        <v>29</v>
      </c>
    </row>
    <row r="892">
      <c r="A892" s="5">
        <v>44112.31375</v>
      </c>
      <c r="B892" s="7">
        <f t="shared" si="1"/>
        <v>44112</v>
      </c>
      <c r="C892" s="33" t="s">
        <v>15</v>
      </c>
      <c r="D892" s="4" t="s">
        <v>21</v>
      </c>
      <c r="E892" s="4" t="s">
        <v>21</v>
      </c>
      <c r="F892" s="4">
        <f t="shared" si="2"/>
        <v>41</v>
      </c>
    </row>
    <row r="893">
      <c r="A893" s="5">
        <v>44098.51443287037</v>
      </c>
      <c r="B893" s="7">
        <f t="shared" si="1"/>
        <v>44098</v>
      </c>
      <c r="C893" s="33" t="s">
        <v>15</v>
      </c>
      <c r="D893" s="4" t="s">
        <v>21</v>
      </c>
      <c r="E893" s="4" t="s">
        <v>21</v>
      </c>
      <c r="F893" s="4">
        <f t="shared" si="2"/>
        <v>39</v>
      </c>
    </row>
    <row r="894">
      <c r="A894" s="5">
        <v>43965.63045138889</v>
      </c>
      <c r="B894" s="7">
        <f t="shared" si="1"/>
        <v>43965</v>
      </c>
      <c r="C894" s="33" t="s">
        <v>16</v>
      </c>
      <c r="D894" s="4" t="s">
        <v>21</v>
      </c>
      <c r="E894" s="4" t="s">
        <v>21</v>
      </c>
      <c r="F894" s="4">
        <f t="shared" si="2"/>
        <v>20</v>
      </c>
    </row>
    <row r="895">
      <c r="A895" s="5">
        <v>43839.405173611114</v>
      </c>
      <c r="B895" s="7">
        <f t="shared" si="1"/>
        <v>43839</v>
      </c>
      <c r="C895" s="33" t="s">
        <v>16</v>
      </c>
      <c r="D895" s="4" t="s">
        <v>21</v>
      </c>
      <c r="E895" s="4" t="s">
        <v>21</v>
      </c>
      <c r="F895" s="4">
        <f t="shared" si="2"/>
        <v>2</v>
      </c>
    </row>
    <row r="896">
      <c r="A896" s="5">
        <v>43873.40519675926</v>
      </c>
      <c r="B896" s="7">
        <f t="shared" si="1"/>
        <v>43873</v>
      </c>
      <c r="C896" s="33" t="s">
        <v>16</v>
      </c>
      <c r="D896" s="4" t="s">
        <v>21</v>
      </c>
      <c r="E896" s="4" t="s">
        <v>21</v>
      </c>
      <c r="F896" s="4">
        <f t="shared" si="2"/>
        <v>7</v>
      </c>
    </row>
    <row r="897">
      <c r="A897" s="5">
        <v>43873.40846064815</v>
      </c>
      <c r="B897" s="7">
        <f t="shared" si="1"/>
        <v>43873</v>
      </c>
      <c r="C897" s="33" t="s">
        <v>16</v>
      </c>
      <c r="D897" s="4" t="s">
        <v>21</v>
      </c>
      <c r="E897" s="4" t="s">
        <v>21</v>
      </c>
      <c r="F897" s="4">
        <f t="shared" si="2"/>
        <v>7</v>
      </c>
    </row>
    <row r="898">
      <c r="A898" s="5">
        <v>43888.6021875</v>
      </c>
      <c r="B898" s="7">
        <f t="shared" si="1"/>
        <v>43888</v>
      </c>
      <c r="C898" s="33" t="s">
        <v>16</v>
      </c>
      <c r="D898" s="4" t="s">
        <v>21</v>
      </c>
      <c r="E898" s="4" t="s">
        <v>21</v>
      </c>
      <c r="F898" s="4">
        <f t="shared" si="2"/>
        <v>9</v>
      </c>
    </row>
    <row r="899">
      <c r="A899" s="5">
        <v>43795.69045138889</v>
      </c>
      <c r="B899" s="7">
        <f t="shared" si="1"/>
        <v>43795</v>
      </c>
      <c r="C899" s="33" t="s">
        <v>16</v>
      </c>
      <c r="D899" s="4" t="s">
        <v>21</v>
      </c>
      <c r="E899" s="4" t="s">
        <v>21</v>
      </c>
      <c r="F899" s="4">
        <f t="shared" si="2"/>
        <v>48</v>
      </c>
    </row>
    <row r="900">
      <c r="A900" s="5">
        <v>43962.32127314815</v>
      </c>
      <c r="B900" s="7">
        <f t="shared" si="1"/>
        <v>43962</v>
      </c>
      <c r="C900" s="33" t="s">
        <v>16</v>
      </c>
      <c r="D900" s="4" t="s">
        <v>21</v>
      </c>
      <c r="E900" s="4" t="s">
        <v>21</v>
      </c>
      <c r="F900" s="4">
        <f t="shared" si="2"/>
        <v>20</v>
      </c>
    </row>
    <row r="901">
      <c r="A901" s="5">
        <v>43833.59075231481</v>
      </c>
      <c r="B901" s="7">
        <f t="shared" si="1"/>
        <v>43833</v>
      </c>
      <c r="C901" s="33" t="s">
        <v>16</v>
      </c>
      <c r="D901" s="4" t="s">
        <v>23</v>
      </c>
      <c r="E901" s="4" t="s">
        <v>21</v>
      </c>
      <c r="F901" s="4">
        <f t="shared" si="2"/>
        <v>1</v>
      </c>
    </row>
    <row r="902">
      <c r="A902" s="5">
        <v>43838.347974537035</v>
      </c>
      <c r="B902" s="7">
        <f t="shared" si="1"/>
        <v>43838</v>
      </c>
      <c r="C902" s="33" t="s">
        <v>16</v>
      </c>
      <c r="D902" s="4" t="s">
        <v>21</v>
      </c>
      <c r="E902" s="4" t="s">
        <v>21</v>
      </c>
      <c r="F902" s="4">
        <f t="shared" si="2"/>
        <v>2</v>
      </c>
    </row>
    <row r="903">
      <c r="A903" s="5">
        <v>43788.46863425926</v>
      </c>
      <c r="B903" s="7">
        <f t="shared" si="1"/>
        <v>43788</v>
      </c>
      <c r="C903" s="33" t="s">
        <v>16</v>
      </c>
      <c r="D903" s="4" t="s">
        <v>21</v>
      </c>
      <c r="E903" s="4" t="s">
        <v>21</v>
      </c>
      <c r="F903" s="4">
        <f t="shared" si="2"/>
        <v>47</v>
      </c>
    </row>
    <row r="904">
      <c r="A904" s="5">
        <v>43849.279340277775</v>
      </c>
      <c r="B904" s="7">
        <f t="shared" si="1"/>
        <v>43849</v>
      </c>
      <c r="C904" s="33" t="s">
        <v>16</v>
      </c>
      <c r="D904" s="4" t="s">
        <v>21</v>
      </c>
      <c r="E904" s="4" t="s">
        <v>21</v>
      </c>
      <c r="F904" s="4">
        <f t="shared" si="2"/>
        <v>4</v>
      </c>
    </row>
    <row r="905">
      <c r="A905" s="5">
        <v>43851.57</v>
      </c>
      <c r="B905" s="7">
        <f t="shared" si="1"/>
        <v>43851</v>
      </c>
      <c r="C905" s="33" t="s">
        <v>16</v>
      </c>
      <c r="D905" s="4" t="s">
        <v>21</v>
      </c>
      <c r="E905" s="4" t="s">
        <v>21</v>
      </c>
      <c r="F905" s="4">
        <f t="shared" si="2"/>
        <v>4</v>
      </c>
    </row>
    <row r="906">
      <c r="A906" s="5">
        <v>43867.409270833334</v>
      </c>
      <c r="B906" s="7">
        <f t="shared" si="1"/>
        <v>43867</v>
      </c>
      <c r="C906" s="33" t="s">
        <v>16</v>
      </c>
      <c r="D906" s="4" t="s">
        <v>21</v>
      </c>
      <c r="E906" s="4" t="s">
        <v>21</v>
      </c>
      <c r="F906" s="4">
        <f t="shared" si="2"/>
        <v>6</v>
      </c>
    </row>
    <row r="907">
      <c r="A907" s="5">
        <v>43929.62</v>
      </c>
      <c r="B907" s="7">
        <f t="shared" si="1"/>
        <v>43929</v>
      </c>
      <c r="C907" s="33" t="s">
        <v>16</v>
      </c>
      <c r="D907" s="4" t="s">
        <v>21</v>
      </c>
      <c r="E907" s="4" t="s">
        <v>21</v>
      </c>
      <c r="F907" s="4">
        <f t="shared" si="2"/>
        <v>15</v>
      </c>
    </row>
    <row r="908">
      <c r="A908" s="5">
        <v>43893.4865625</v>
      </c>
      <c r="B908" s="7">
        <f t="shared" si="1"/>
        <v>43893</v>
      </c>
      <c r="C908" s="33" t="s">
        <v>16</v>
      </c>
      <c r="D908" s="4" t="s">
        <v>21</v>
      </c>
      <c r="E908" s="4" t="s">
        <v>21</v>
      </c>
      <c r="F908" s="4">
        <f t="shared" si="2"/>
        <v>10</v>
      </c>
    </row>
    <row r="909">
      <c r="A909" s="5">
        <v>43916.22704861111</v>
      </c>
      <c r="B909" s="7">
        <f t="shared" si="1"/>
        <v>43916</v>
      </c>
      <c r="C909" s="33" t="s">
        <v>16</v>
      </c>
      <c r="D909" s="4" t="s">
        <v>21</v>
      </c>
      <c r="E909" s="4" t="s">
        <v>21</v>
      </c>
      <c r="F909" s="4">
        <f t="shared" si="2"/>
        <v>13</v>
      </c>
    </row>
    <row r="910">
      <c r="A910" s="5">
        <v>43881.3478125</v>
      </c>
      <c r="B910" s="7">
        <f t="shared" si="1"/>
        <v>43881</v>
      </c>
      <c r="C910" s="33" t="s">
        <v>16</v>
      </c>
      <c r="D910" s="4" t="s">
        <v>21</v>
      </c>
      <c r="E910" s="4" t="s">
        <v>21</v>
      </c>
      <c r="F910" s="4">
        <f t="shared" si="2"/>
        <v>8</v>
      </c>
    </row>
    <row r="911">
      <c r="A911" s="5">
        <v>43962.394594907404</v>
      </c>
      <c r="B911" s="7">
        <f t="shared" si="1"/>
        <v>43962</v>
      </c>
      <c r="C911" s="33" t="s">
        <v>16</v>
      </c>
      <c r="D911" s="4" t="s">
        <v>21</v>
      </c>
      <c r="E911" s="4" t="s">
        <v>21</v>
      </c>
      <c r="F911" s="4">
        <f t="shared" si="2"/>
        <v>20</v>
      </c>
    </row>
    <row r="912">
      <c r="A912" s="5">
        <v>43965.2843287037</v>
      </c>
      <c r="B912" s="7">
        <f t="shared" si="1"/>
        <v>43965</v>
      </c>
      <c r="C912" s="33" t="s">
        <v>16</v>
      </c>
      <c r="D912" s="4" t="s">
        <v>21</v>
      </c>
      <c r="E912" s="4" t="s">
        <v>21</v>
      </c>
      <c r="F912" s="4">
        <f t="shared" si="2"/>
        <v>20</v>
      </c>
    </row>
    <row r="913">
      <c r="A913" s="5">
        <v>43965.332766203705</v>
      </c>
      <c r="B913" s="7">
        <f t="shared" si="1"/>
        <v>43965</v>
      </c>
      <c r="C913" s="33" t="s">
        <v>16</v>
      </c>
      <c r="D913" s="4" t="s">
        <v>21</v>
      </c>
      <c r="E913" s="4" t="s">
        <v>21</v>
      </c>
      <c r="F913" s="4">
        <f t="shared" si="2"/>
        <v>20</v>
      </c>
    </row>
    <row r="914">
      <c r="A914" s="5">
        <v>43787.13282407408</v>
      </c>
      <c r="B914" s="7">
        <f t="shared" si="1"/>
        <v>43787</v>
      </c>
      <c r="C914" s="33" t="s">
        <v>16</v>
      </c>
      <c r="D914" s="4" t="s">
        <v>21</v>
      </c>
      <c r="E914" s="4" t="s">
        <v>21</v>
      </c>
      <c r="F914" s="4">
        <f t="shared" si="2"/>
        <v>47</v>
      </c>
    </row>
    <row r="915">
      <c r="A915" s="5">
        <v>43912.667337962965</v>
      </c>
      <c r="B915" s="7">
        <f t="shared" si="1"/>
        <v>43912</v>
      </c>
      <c r="C915" s="33" t="s">
        <v>16</v>
      </c>
      <c r="D915" s="4" t="s">
        <v>21</v>
      </c>
      <c r="E915" s="4" t="s">
        <v>21</v>
      </c>
      <c r="F915" s="4">
        <f t="shared" si="2"/>
        <v>13</v>
      </c>
    </row>
    <row r="916">
      <c r="A916" s="5">
        <v>43930.9278125</v>
      </c>
      <c r="B916" s="7">
        <f t="shared" si="1"/>
        <v>43930</v>
      </c>
      <c r="C916" s="33" t="s">
        <v>16</v>
      </c>
      <c r="D916" s="4" t="s">
        <v>21</v>
      </c>
      <c r="E916" s="4" t="s">
        <v>21</v>
      </c>
      <c r="F916" s="4">
        <f t="shared" si="2"/>
        <v>15</v>
      </c>
    </row>
    <row r="917">
      <c r="A917" s="5">
        <v>43805.36035879629</v>
      </c>
      <c r="B917" s="7">
        <f t="shared" si="1"/>
        <v>43805</v>
      </c>
      <c r="C917" s="33" t="s">
        <v>16</v>
      </c>
      <c r="D917" s="4" t="s">
        <v>21</v>
      </c>
      <c r="E917" s="4" t="s">
        <v>21</v>
      </c>
      <c r="F917" s="4">
        <f t="shared" si="2"/>
        <v>49</v>
      </c>
    </row>
    <row r="918">
      <c r="A918" s="5">
        <v>43893.41023148148</v>
      </c>
      <c r="B918" s="7">
        <f t="shared" si="1"/>
        <v>43893</v>
      </c>
      <c r="C918" s="33" t="s">
        <v>16</v>
      </c>
      <c r="D918" s="4" t="s">
        <v>21</v>
      </c>
      <c r="E918" s="4" t="s">
        <v>21</v>
      </c>
      <c r="F918" s="4">
        <f t="shared" si="2"/>
        <v>10</v>
      </c>
    </row>
    <row r="919">
      <c r="A919" s="5">
        <v>43963.40796296296</v>
      </c>
      <c r="B919" s="7">
        <f t="shared" si="1"/>
        <v>43963</v>
      </c>
      <c r="C919" s="33" t="s">
        <v>16</v>
      </c>
      <c r="D919" s="4" t="s">
        <v>21</v>
      </c>
      <c r="E919" s="4" t="s">
        <v>21</v>
      </c>
      <c r="F919" s="4">
        <f t="shared" si="2"/>
        <v>20</v>
      </c>
    </row>
    <row r="920">
      <c r="A920" s="5">
        <v>43910.30662037037</v>
      </c>
      <c r="B920" s="7">
        <f t="shared" si="1"/>
        <v>43910</v>
      </c>
      <c r="C920" s="33" t="s">
        <v>16</v>
      </c>
      <c r="D920" s="4" t="s">
        <v>21</v>
      </c>
      <c r="E920" s="4" t="s">
        <v>21</v>
      </c>
      <c r="F920" s="4">
        <f t="shared" si="2"/>
        <v>12</v>
      </c>
    </row>
    <row r="921">
      <c r="A921" s="5">
        <v>43920.58924768519</v>
      </c>
      <c r="B921" s="7">
        <f t="shared" si="1"/>
        <v>43920</v>
      </c>
      <c r="C921" s="33" t="s">
        <v>16</v>
      </c>
      <c r="D921" s="4" t="s">
        <v>21</v>
      </c>
      <c r="E921" s="4" t="s">
        <v>21</v>
      </c>
      <c r="F921" s="4">
        <f t="shared" si="2"/>
        <v>14</v>
      </c>
    </row>
    <row r="922">
      <c r="A922" s="5">
        <v>43733.31407407407</v>
      </c>
      <c r="B922" s="7">
        <f t="shared" si="1"/>
        <v>43733</v>
      </c>
      <c r="C922" s="33" t="s">
        <v>16</v>
      </c>
      <c r="D922" s="4" t="s">
        <v>21</v>
      </c>
      <c r="E922" s="4" t="s">
        <v>21</v>
      </c>
      <c r="F922" s="4">
        <f t="shared" si="2"/>
        <v>39</v>
      </c>
    </row>
    <row r="923">
      <c r="A923" s="5">
        <v>43901.424780092595</v>
      </c>
      <c r="B923" s="7">
        <f t="shared" si="1"/>
        <v>43901</v>
      </c>
      <c r="C923" s="33" t="s">
        <v>16</v>
      </c>
      <c r="D923" s="4" t="s">
        <v>21</v>
      </c>
      <c r="E923" s="4" t="s">
        <v>21</v>
      </c>
      <c r="F923" s="4">
        <f t="shared" si="2"/>
        <v>11</v>
      </c>
    </row>
    <row r="924">
      <c r="A924" s="5">
        <v>43852.414513888885</v>
      </c>
      <c r="B924" s="7">
        <f t="shared" si="1"/>
        <v>43852</v>
      </c>
      <c r="C924" s="33" t="s">
        <v>16</v>
      </c>
      <c r="D924" s="4" t="s">
        <v>21</v>
      </c>
      <c r="E924" s="4" t="s">
        <v>21</v>
      </c>
      <c r="F924" s="4">
        <f t="shared" si="2"/>
        <v>4</v>
      </c>
    </row>
    <row r="925">
      <c r="A925" s="5">
        <v>43816.40982638889</v>
      </c>
      <c r="B925" s="7">
        <f t="shared" si="1"/>
        <v>43816</v>
      </c>
      <c r="C925" s="33" t="s">
        <v>16</v>
      </c>
      <c r="D925" s="4" t="s">
        <v>21</v>
      </c>
      <c r="E925" s="4" t="s">
        <v>21</v>
      </c>
      <c r="F925" s="4">
        <f t="shared" si="2"/>
        <v>51</v>
      </c>
    </row>
    <row r="926">
      <c r="A926" s="5">
        <v>43728.32494212963</v>
      </c>
      <c r="B926" s="7">
        <f t="shared" si="1"/>
        <v>43728</v>
      </c>
      <c r="C926" s="33" t="s">
        <v>16</v>
      </c>
      <c r="D926" s="4" t="s">
        <v>21</v>
      </c>
      <c r="E926" s="4" t="s">
        <v>21</v>
      </c>
      <c r="F926" s="4">
        <f t="shared" si="2"/>
        <v>38</v>
      </c>
    </row>
    <row r="927">
      <c r="A927" s="5">
        <v>43970.38953703704</v>
      </c>
      <c r="B927" s="7">
        <f t="shared" si="1"/>
        <v>43970</v>
      </c>
      <c r="C927" s="33" t="s">
        <v>16</v>
      </c>
      <c r="D927" s="4" t="s">
        <v>21</v>
      </c>
      <c r="E927" s="4" t="s">
        <v>21</v>
      </c>
      <c r="F927" s="4">
        <f t="shared" si="2"/>
        <v>21</v>
      </c>
    </row>
    <row r="928">
      <c r="A928" s="5">
        <v>43852.37326388889</v>
      </c>
      <c r="B928" s="7">
        <f t="shared" si="1"/>
        <v>43852</v>
      </c>
      <c r="C928" s="33" t="s">
        <v>16</v>
      </c>
      <c r="D928" s="4" t="s">
        <v>21</v>
      </c>
      <c r="E928" s="4" t="s">
        <v>21</v>
      </c>
      <c r="F928" s="4">
        <f t="shared" si="2"/>
        <v>4</v>
      </c>
    </row>
    <row r="929">
      <c r="A929" s="5">
        <v>43853.16960648148</v>
      </c>
      <c r="B929" s="7">
        <f t="shared" si="1"/>
        <v>43853</v>
      </c>
      <c r="C929" s="33" t="s">
        <v>16</v>
      </c>
      <c r="D929" s="4" t="s">
        <v>21</v>
      </c>
      <c r="E929" s="4" t="s">
        <v>21</v>
      </c>
      <c r="F929" s="4">
        <f t="shared" si="2"/>
        <v>4</v>
      </c>
    </row>
    <row r="930">
      <c r="A930" s="5">
        <v>43892.69118055556</v>
      </c>
      <c r="B930" s="7">
        <f t="shared" si="1"/>
        <v>43892</v>
      </c>
      <c r="C930" s="33" t="s">
        <v>16</v>
      </c>
      <c r="D930" s="4" t="s">
        <v>21</v>
      </c>
      <c r="E930" s="4" t="s">
        <v>21</v>
      </c>
      <c r="F930" s="4">
        <f t="shared" si="2"/>
        <v>10</v>
      </c>
    </row>
    <row r="931">
      <c r="A931" s="5">
        <v>43808.31287037037</v>
      </c>
      <c r="B931" s="7">
        <f t="shared" si="1"/>
        <v>43808</v>
      </c>
      <c r="C931" s="33" t="s">
        <v>16</v>
      </c>
      <c r="D931" s="4" t="s">
        <v>21</v>
      </c>
      <c r="E931" s="4" t="s">
        <v>21</v>
      </c>
      <c r="F931" s="4">
        <f t="shared" si="2"/>
        <v>50</v>
      </c>
    </row>
    <row r="932">
      <c r="A932" s="5">
        <v>43965.56925925926</v>
      </c>
      <c r="B932" s="7">
        <f t="shared" si="1"/>
        <v>43965</v>
      </c>
      <c r="C932" s="33" t="s">
        <v>16</v>
      </c>
      <c r="D932" s="4" t="s">
        <v>21</v>
      </c>
      <c r="E932" s="4" t="s">
        <v>21</v>
      </c>
      <c r="F932" s="4">
        <f t="shared" si="2"/>
        <v>20</v>
      </c>
    </row>
    <row r="933">
      <c r="A933" s="5">
        <v>43892.38990740741</v>
      </c>
      <c r="B933" s="7">
        <f t="shared" si="1"/>
        <v>43892</v>
      </c>
      <c r="C933" s="33" t="s">
        <v>16</v>
      </c>
      <c r="D933" s="4" t="s">
        <v>21</v>
      </c>
      <c r="E933" s="4" t="s">
        <v>21</v>
      </c>
      <c r="F933" s="4">
        <f t="shared" si="2"/>
        <v>10</v>
      </c>
    </row>
    <row r="934">
      <c r="A934" s="5">
        <v>43804.53108796296</v>
      </c>
      <c r="B934" s="7">
        <f t="shared" si="1"/>
        <v>43804</v>
      </c>
      <c r="C934" s="33" t="s">
        <v>16</v>
      </c>
      <c r="D934" s="4" t="s">
        <v>21</v>
      </c>
      <c r="E934" s="4" t="s">
        <v>21</v>
      </c>
      <c r="F934" s="4">
        <f t="shared" si="2"/>
        <v>49</v>
      </c>
    </row>
    <row r="935">
      <c r="A935" s="5">
        <v>43755.55810185185</v>
      </c>
      <c r="B935" s="7">
        <f t="shared" si="1"/>
        <v>43755</v>
      </c>
      <c r="C935" s="33" t="s">
        <v>16</v>
      </c>
      <c r="D935" s="4" t="s">
        <v>21</v>
      </c>
      <c r="E935" s="4" t="s">
        <v>21</v>
      </c>
      <c r="F935" s="4">
        <f t="shared" si="2"/>
        <v>42</v>
      </c>
    </row>
    <row r="936">
      <c r="A936" s="5">
        <v>43824.38369212963</v>
      </c>
      <c r="B936" s="7">
        <f t="shared" si="1"/>
        <v>43824</v>
      </c>
      <c r="C936" s="33" t="s">
        <v>16</v>
      </c>
      <c r="D936" s="4" t="s">
        <v>23</v>
      </c>
      <c r="E936" s="4" t="s">
        <v>21</v>
      </c>
      <c r="F936" s="4">
        <f t="shared" si="2"/>
        <v>52</v>
      </c>
    </row>
    <row r="937">
      <c r="A937" s="5">
        <v>43929.658634259256</v>
      </c>
      <c r="B937" s="7">
        <f t="shared" si="1"/>
        <v>43929</v>
      </c>
      <c r="C937" s="33" t="s">
        <v>16</v>
      </c>
      <c r="D937" s="4" t="s">
        <v>21</v>
      </c>
      <c r="E937" s="4" t="s">
        <v>21</v>
      </c>
      <c r="F937" s="4">
        <f t="shared" si="2"/>
        <v>15</v>
      </c>
    </row>
    <row r="938">
      <c r="A938" s="5">
        <v>43943.16521990741</v>
      </c>
      <c r="B938" s="7">
        <f t="shared" si="1"/>
        <v>43943</v>
      </c>
      <c r="C938" s="33" t="s">
        <v>16</v>
      </c>
      <c r="D938" s="4" t="s">
        <v>21</v>
      </c>
      <c r="E938" s="4" t="s">
        <v>21</v>
      </c>
      <c r="F938" s="4">
        <f t="shared" si="2"/>
        <v>17</v>
      </c>
    </row>
    <row r="939">
      <c r="A939" s="5">
        <v>43964.197430555556</v>
      </c>
      <c r="B939" s="7">
        <f t="shared" si="1"/>
        <v>43964</v>
      </c>
      <c r="C939" s="33" t="s">
        <v>16</v>
      </c>
      <c r="D939" s="4" t="s">
        <v>21</v>
      </c>
      <c r="E939" s="4" t="s">
        <v>21</v>
      </c>
      <c r="F939" s="4">
        <f t="shared" si="2"/>
        <v>20</v>
      </c>
    </row>
    <row r="940">
      <c r="A940" s="5">
        <v>43881.480787037035</v>
      </c>
      <c r="B940" s="7">
        <f t="shared" si="1"/>
        <v>43881</v>
      </c>
      <c r="C940" s="33" t="s">
        <v>16</v>
      </c>
      <c r="D940" s="4" t="s">
        <v>21</v>
      </c>
      <c r="E940" s="4" t="s">
        <v>21</v>
      </c>
      <c r="F940" s="4">
        <f t="shared" si="2"/>
        <v>8</v>
      </c>
    </row>
    <row r="941">
      <c r="A941" s="5">
        <v>43945.49234953704</v>
      </c>
      <c r="B941" s="7">
        <f t="shared" si="1"/>
        <v>43945</v>
      </c>
      <c r="C941" s="33" t="s">
        <v>16</v>
      </c>
      <c r="D941" s="4" t="s">
        <v>21</v>
      </c>
      <c r="E941" s="4" t="s">
        <v>21</v>
      </c>
      <c r="F941" s="4">
        <f t="shared" si="2"/>
        <v>17</v>
      </c>
    </row>
    <row r="942">
      <c r="A942" s="5">
        <v>43950.60857638889</v>
      </c>
      <c r="B942" s="7">
        <f t="shared" si="1"/>
        <v>43950</v>
      </c>
      <c r="C942" s="33" t="s">
        <v>16</v>
      </c>
      <c r="D942" s="4" t="s">
        <v>21</v>
      </c>
      <c r="E942" s="4" t="s">
        <v>21</v>
      </c>
      <c r="F942" s="4">
        <f t="shared" si="2"/>
        <v>18</v>
      </c>
    </row>
    <row r="943">
      <c r="A943" s="5">
        <v>43699.49208333333</v>
      </c>
      <c r="B943" s="7">
        <f t="shared" si="1"/>
        <v>43699</v>
      </c>
      <c r="C943" s="33" t="s">
        <v>16</v>
      </c>
      <c r="D943" s="4" t="s">
        <v>21</v>
      </c>
      <c r="E943" s="4" t="s">
        <v>21</v>
      </c>
      <c r="F943" s="4">
        <f t="shared" si="2"/>
        <v>34</v>
      </c>
    </row>
    <row r="944">
      <c r="A944" s="5">
        <v>43875.83814814815</v>
      </c>
      <c r="B944" s="7">
        <f t="shared" si="1"/>
        <v>43875</v>
      </c>
      <c r="C944" s="33" t="s">
        <v>16</v>
      </c>
      <c r="D944" s="4" t="s">
        <v>21</v>
      </c>
      <c r="E944" s="4" t="s">
        <v>21</v>
      </c>
      <c r="F944" s="4">
        <f t="shared" si="2"/>
        <v>7</v>
      </c>
    </row>
    <row r="945">
      <c r="A945" s="5">
        <v>43946.63893518518</v>
      </c>
      <c r="B945" s="7">
        <f t="shared" si="1"/>
        <v>43946</v>
      </c>
      <c r="C945" s="33" t="s">
        <v>16</v>
      </c>
      <c r="D945" s="4" t="s">
        <v>21</v>
      </c>
      <c r="E945" s="4" t="s">
        <v>21</v>
      </c>
      <c r="F945" s="4">
        <f t="shared" si="2"/>
        <v>17</v>
      </c>
    </row>
    <row r="946">
      <c r="A946" s="5">
        <v>43955.65002314815</v>
      </c>
      <c r="B946" s="7">
        <f t="shared" si="1"/>
        <v>43955</v>
      </c>
      <c r="C946" s="33" t="s">
        <v>16</v>
      </c>
      <c r="D946" s="4" t="s">
        <v>21</v>
      </c>
      <c r="E946" s="4" t="s">
        <v>21</v>
      </c>
      <c r="F946" s="4">
        <f t="shared" si="2"/>
        <v>19</v>
      </c>
    </row>
    <row r="947">
      <c r="A947" s="5">
        <v>43963.70701388889</v>
      </c>
      <c r="B947" s="7">
        <f t="shared" si="1"/>
        <v>43963</v>
      </c>
      <c r="C947" s="33" t="s">
        <v>16</v>
      </c>
      <c r="D947" s="4" t="s">
        <v>21</v>
      </c>
      <c r="E947" s="4" t="s">
        <v>21</v>
      </c>
      <c r="F947" s="4">
        <f t="shared" si="2"/>
        <v>20</v>
      </c>
    </row>
    <row r="948">
      <c r="A948" s="5">
        <v>43978.87252314815</v>
      </c>
      <c r="B948" s="7">
        <f t="shared" si="1"/>
        <v>43978</v>
      </c>
      <c r="C948" s="33" t="s">
        <v>16</v>
      </c>
      <c r="D948" s="4" t="s">
        <v>21</v>
      </c>
      <c r="E948" s="4" t="s">
        <v>21</v>
      </c>
      <c r="F948" s="4">
        <f t="shared" si="2"/>
        <v>22</v>
      </c>
    </row>
    <row r="949">
      <c r="A949" s="5">
        <v>43990.70991898148</v>
      </c>
      <c r="B949" s="7">
        <f t="shared" si="1"/>
        <v>43990</v>
      </c>
      <c r="C949" s="33" t="s">
        <v>16</v>
      </c>
      <c r="D949" s="4" t="s">
        <v>21</v>
      </c>
      <c r="E949" s="4" t="s">
        <v>21</v>
      </c>
      <c r="F949" s="4">
        <f t="shared" si="2"/>
        <v>24</v>
      </c>
    </row>
    <row r="950">
      <c r="A950" s="5">
        <v>43991.53184027778</v>
      </c>
      <c r="B950" s="7">
        <f t="shared" si="1"/>
        <v>43991</v>
      </c>
      <c r="C950" s="33" t="s">
        <v>16</v>
      </c>
      <c r="D950" s="4" t="s">
        <v>21</v>
      </c>
      <c r="E950" s="4" t="s">
        <v>21</v>
      </c>
      <c r="F950" s="4">
        <f t="shared" si="2"/>
        <v>24</v>
      </c>
    </row>
    <row r="951">
      <c r="A951" s="5">
        <v>43993.3650462963</v>
      </c>
      <c r="B951" s="7">
        <f t="shared" si="1"/>
        <v>43993</v>
      </c>
      <c r="C951" s="33" t="s">
        <v>16</v>
      </c>
      <c r="D951" s="4" t="s">
        <v>21</v>
      </c>
      <c r="E951" s="4" t="s">
        <v>21</v>
      </c>
      <c r="F951" s="4">
        <f t="shared" si="2"/>
        <v>24</v>
      </c>
    </row>
    <row r="952">
      <c r="A952" s="5">
        <v>43908.46402777778</v>
      </c>
      <c r="B952" s="7">
        <f t="shared" si="1"/>
        <v>43908</v>
      </c>
      <c r="C952" s="33" t="s">
        <v>16</v>
      </c>
      <c r="D952" s="4" t="s">
        <v>21</v>
      </c>
      <c r="E952" s="4" t="s">
        <v>21</v>
      </c>
      <c r="F952" s="4">
        <f t="shared" si="2"/>
        <v>12</v>
      </c>
    </row>
    <row r="953">
      <c r="A953" s="5">
        <v>43935.85265046296</v>
      </c>
      <c r="B953" s="7">
        <f t="shared" si="1"/>
        <v>43935</v>
      </c>
      <c r="C953" s="33" t="s">
        <v>16</v>
      </c>
      <c r="D953" s="4" t="s">
        <v>21</v>
      </c>
      <c r="E953" s="4" t="s">
        <v>21</v>
      </c>
      <c r="F953" s="4">
        <f t="shared" si="2"/>
        <v>16</v>
      </c>
    </row>
    <row r="954">
      <c r="A954" s="5">
        <v>43859.03737268518</v>
      </c>
      <c r="B954" s="7">
        <f t="shared" si="1"/>
        <v>43859</v>
      </c>
      <c r="C954" s="33" t="s">
        <v>16</v>
      </c>
      <c r="D954" s="4" t="s">
        <v>21</v>
      </c>
      <c r="E954" s="4" t="s">
        <v>23</v>
      </c>
      <c r="F954" s="4">
        <f t="shared" si="2"/>
        <v>5</v>
      </c>
    </row>
    <row r="955">
      <c r="A955" s="5">
        <v>43860.90159722222</v>
      </c>
      <c r="B955" s="7">
        <f t="shared" si="1"/>
        <v>43860</v>
      </c>
      <c r="C955" s="33" t="s">
        <v>16</v>
      </c>
      <c r="D955" s="4" t="s">
        <v>21</v>
      </c>
      <c r="E955" s="4" t="s">
        <v>23</v>
      </c>
      <c r="F955" s="4">
        <f t="shared" si="2"/>
        <v>5</v>
      </c>
    </row>
    <row r="956">
      <c r="A956" s="5">
        <v>43874.05961805556</v>
      </c>
      <c r="B956" s="7">
        <f t="shared" si="1"/>
        <v>43874</v>
      </c>
      <c r="C956" s="33" t="s">
        <v>16</v>
      </c>
      <c r="D956" s="4" t="s">
        <v>21</v>
      </c>
      <c r="E956" s="4" t="s">
        <v>21</v>
      </c>
      <c r="F956" s="4">
        <f t="shared" si="2"/>
        <v>7</v>
      </c>
    </row>
    <row r="957">
      <c r="A957" s="5">
        <v>43998.27637731482</v>
      </c>
      <c r="B957" s="7">
        <f t="shared" si="1"/>
        <v>43998</v>
      </c>
      <c r="C957" s="33" t="s">
        <v>16</v>
      </c>
      <c r="D957" s="4" t="s">
        <v>21</v>
      </c>
      <c r="E957" s="4" t="s">
        <v>21</v>
      </c>
      <c r="F957" s="4">
        <f t="shared" si="2"/>
        <v>25</v>
      </c>
    </row>
    <row r="958">
      <c r="A958" s="5">
        <v>43998.27800925926</v>
      </c>
      <c r="B958" s="7">
        <f t="shared" si="1"/>
        <v>43998</v>
      </c>
      <c r="C958" s="33" t="s">
        <v>16</v>
      </c>
      <c r="D958" s="4" t="s">
        <v>21</v>
      </c>
      <c r="E958" s="4" t="s">
        <v>21</v>
      </c>
      <c r="F958" s="4">
        <f t="shared" si="2"/>
        <v>25</v>
      </c>
    </row>
    <row r="959">
      <c r="A959" s="5">
        <v>43999.348125</v>
      </c>
      <c r="B959" s="7">
        <f t="shared" si="1"/>
        <v>43999</v>
      </c>
      <c r="C959" s="33" t="s">
        <v>16</v>
      </c>
      <c r="D959" s="4" t="s">
        <v>21</v>
      </c>
      <c r="E959" s="4" t="s">
        <v>21</v>
      </c>
      <c r="F959" s="4">
        <f t="shared" si="2"/>
        <v>25</v>
      </c>
    </row>
    <row r="960">
      <c r="A960" s="5">
        <v>43783.62688657407</v>
      </c>
      <c r="B960" s="7">
        <f t="shared" si="1"/>
        <v>43783</v>
      </c>
      <c r="C960" s="33" t="s">
        <v>16</v>
      </c>
      <c r="D960" s="4" t="s">
        <v>21</v>
      </c>
      <c r="E960" s="4" t="s">
        <v>21</v>
      </c>
      <c r="F960" s="4">
        <f t="shared" si="2"/>
        <v>46</v>
      </c>
    </row>
    <row r="961">
      <c r="A961" s="5">
        <v>43808.2965625</v>
      </c>
      <c r="B961" s="7">
        <f t="shared" si="1"/>
        <v>43808</v>
      </c>
      <c r="C961" s="33" t="s">
        <v>16</v>
      </c>
      <c r="D961" s="4" t="s">
        <v>21</v>
      </c>
      <c r="E961" s="4" t="s">
        <v>21</v>
      </c>
      <c r="F961" s="4">
        <f t="shared" si="2"/>
        <v>50</v>
      </c>
    </row>
    <row r="962">
      <c r="A962" s="5">
        <v>43808.322118055556</v>
      </c>
      <c r="B962" s="7">
        <f t="shared" si="1"/>
        <v>43808</v>
      </c>
      <c r="C962" s="33" t="s">
        <v>16</v>
      </c>
      <c r="D962" s="4" t="s">
        <v>21</v>
      </c>
      <c r="E962" s="4" t="s">
        <v>21</v>
      </c>
      <c r="F962" s="4">
        <f t="shared" si="2"/>
        <v>50</v>
      </c>
    </row>
    <row r="963">
      <c r="A963" s="5">
        <v>43873.53979166667</v>
      </c>
      <c r="B963" s="7">
        <f t="shared" si="1"/>
        <v>43873</v>
      </c>
      <c r="C963" s="33" t="s">
        <v>16</v>
      </c>
      <c r="D963" s="4" t="s">
        <v>21</v>
      </c>
      <c r="E963" s="4" t="s">
        <v>21</v>
      </c>
      <c r="F963" s="4">
        <f t="shared" si="2"/>
        <v>7</v>
      </c>
    </row>
    <row r="964">
      <c r="A964" s="5">
        <v>43906.46776620371</v>
      </c>
      <c r="B964" s="7">
        <f t="shared" si="1"/>
        <v>43906</v>
      </c>
      <c r="C964" s="33" t="s">
        <v>16</v>
      </c>
      <c r="D964" s="4" t="s">
        <v>21</v>
      </c>
      <c r="E964" s="4" t="s">
        <v>21</v>
      </c>
      <c r="F964" s="4">
        <f t="shared" si="2"/>
        <v>12</v>
      </c>
    </row>
    <row r="965">
      <c r="A965" s="5">
        <v>43805.41416666667</v>
      </c>
      <c r="B965" s="7">
        <f t="shared" si="1"/>
        <v>43805</v>
      </c>
      <c r="C965" s="33" t="s">
        <v>16</v>
      </c>
      <c r="D965" s="4" t="s">
        <v>21</v>
      </c>
      <c r="E965" s="4" t="s">
        <v>21</v>
      </c>
      <c r="F965" s="4">
        <f t="shared" si="2"/>
        <v>49</v>
      </c>
    </row>
    <row r="966">
      <c r="A966" s="5">
        <v>43780.46954861111</v>
      </c>
      <c r="B966" s="7">
        <f t="shared" si="1"/>
        <v>43780</v>
      </c>
      <c r="C966" s="33" t="s">
        <v>16</v>
      </c>
      <c r="D966" s="4" t="s">
        <v>21</v>
      </c>
      <c r="E966" s="4" t="s">
        <v>21</v>
      </c>
      <c r="F966" s="4">
        <f t="shared" si="2"/>
        <v>46</v>
      </c>
    </row>
    <row r="967">
      <c r="A967" s="5">
        <v>43851.6375</v>
      </c>
      <c r="B967" s="7">
        <f t="shared" si="1"/>
        <v>43851</v>
      </c>
      <c r="C967" s="33" t="s">
        <v>16</v>
      </c>
      <c r="D967" s="4" t="s">
        <v>21</v>
      </c>
      <c r="E967" s="4" t="s">
        <v>21</v>
      </c>
      <c r="F967" s="4">
        <f t="shared" si="2"/>
        <v>4</v>
      </c>
    </row>
    <row r="968">
      <c r="A968" s="5">
        <v>43879.1921875</v>
      </c>
      <c r="B968" s="7">
        <f t="shared" si="1"/>
        <v>43879</v>
      </c>
      <c r="C968" s="33" t="s">
        <v>16</v>
      </c>
      <c r="D968" s="4" t="s">
        <v>21</v>
      </c>
      <c r="E968" s="4" t="s">
        <v>21</v>
      </c>
      <c r="F968" s="4">
        <f t="shared" si="2"/>
        <v>8</v>
      </c>
    </row>
    <row r="969">
      <c r="A969" s="5">
        <v>43882.978738425925</v>
      </c>
      <c r="B969" s="7">
        <f t="shared" si="1"/>
        <v>43882</v>
      </c>
      <c r="C969" s="33" t="s">
        <v>16</v>
      </c>
      <c r="D969" s="4" t="s">
        <v>21</v>
      </c>
      <c r="E969" s="4" t="s">
        <v>21</v>
      </c>
      <c r="F969" s="4">
        <f t="shared" si="2"/>
        <v>8</v>
      </c>
    </row>
    <row r="970">
      <c r="A970" s="5">
        <v>43930.32703703704</v>
      </c>
      <c r="B970" s="7">
        <f t="shared" si="1"/>
        <v>43930</v>
      </c>
      <c r="C970" s="33" t="s">
        <v>16</v>
      </c>
      <c r="D970" s="4" t="s">
        <v>21</v>
      </c>
      <c r="E970" s="4" t="s">
        <v>21</v>
      </c>
      <c r="F970" s="4">
        <f t="shared" si="2"/>
        <v>15</v>
      </c>
    </row>
    <row r="971">
      <c r="A971" s="5">
        <v>43846.46055555555</v>
      </c>
      <c r="B971" s="7">
        <f t="shared" si="1"/>
        <v>43846</v>
      </c>
      <c r="C971" s="33" t="s">
        <v>16</v>
      </c>
      <c r="D971" s="4" t="s">
        <v>21</v>
      </c>
      <c r="E971" s="4" t="s">
        <v>21</v>
      </c>
      <c r="F971" s="4">
        <f t="shared" si="2"/>
        <v>3</v>
      </c>
    </row>
    <row r="972">
      <c r="A972" s="5">
        <v>43780.704618055555</v>
      </c>
      <c r="B972" s="7">
        <f t="shared" si="1"/>
        <v>43780</v>
      </c>
      <c r="C972" s="33" t="s">
        <v>16</v>
      </c>
      <c r="D972" s="4" t="s">
        <v>21</v>
      </c>
      <c r="E972" s="4" t="s">
        <v>21</v>
      </c>
      <c r="F972" s="4">
        <f t="shared" si="2"/>
        <v>46</v>
      </c>
    </row>
    <row r="973">
      <c r="A973" s="5">
        <v>43783.61671296296</v>
      </c>
      <c r="B973" s="7">
        <f t="shared" si="1"/>
        <v>43783</v>
      </c>
      <c r="C973" s="33" t="s">
        <v>16</v>
      </c>
      <c r="D973" s="4" t="s">
        <v>21</v>
      </c>
      <c r="E973" s="4" t="s">
        <v>21</v>
      </c>
      <c r="F973" s="4">
        <f t="shared" si="2"/>
        <v>46</v>
      </c>
    </row>
    <row r="974">
      <c r="A974" s="5">
        <v>43851.528715277775</v>
      </c>
      <c r="B974" s="7">
        <f t="shared" si="1"/>
        <v>43851</v>
      </c>
      <c r="C974" s="33" t="s">
        <v>16</v>
      </c>
      <c r="D974" s="4" t="s">
        <v>21</v>
      </c>
      <c r="E974" s="4" t="s">
        <v>21</v>
      </c>
      <c r="F974" s="4">
        <f t="shared" si="2"/>
        <v>4</v>
      </c>
    </row>
    <row r="975">
      <c r="A975" s="5">
        <v>43970.827939814815</v>
      </c>
      <c r="B975" s="7">
        <f t="shared" si="1"/>
        <v>43970</v>
      </c>
      <c r="C975" s="33" t="s">
        <v>16</v>
      </c>
      <c r="D975" s="4" t="s">
        <v>21</v>
      </c>
      <c r="E975" s="4" t="s">
        <v>21</v>
      </c>
      <c r="F975" s="4">
        <f t="shared" si="2"/>
        <v>21</v>
      </c>
    </row>
    <row r="976">
      <c r="A976" s="5">
        <v>43818.98747685185</v>
      </c>
      <c r="B976" s="7">
        <f t="shared" si="1"/>
        <v>43818</v>
      </c>
      <c r="C976" s="33" t="s">
        <v>16</v>
      </c>
      <c r="D976" s="4" t="s">
        <v>21</v>
      </c>
      <c r="E976" s="4" t="s">
        <v>21</v>
      </c>
      <c r="F976" s="4">
        <f t="shared" si="2"/>
        <v>51</v>
      </c>
    </row>
    <row r="977">
      <c r="A977" s="5">
        <v>43861.98190972222</v>
      </c>
      <c r="B977" s="7">
        <f t="shared" si="1"/>
        <v>43861</v>
      </c>
      <c r="C977" s="33" t="s">
        <v>16</v>
      </c>
      <c r="D977" s="4" t="s">
        <v>21</v>
      </c>
      <c r="E977" s="4" t="s">
        <v>23</v>
      </c>
      <c r="F977" s="4">
        <f t="shared" si="2"/>
        <v>5</v>
      </c>
    </row>
    <row r="978">
      <c r="A978" s="5">
        <v>43934.29414351852</v>
      </c>
      <c r="B978" s="7">
        <f t="shared" si="1"/>
        <v>43934</v>
      </c>
      <c r="C978" s="33" t="s">
        <v>16</v>
      </c>
      <c r="D978" s="4" t="s">
        <v>21</v>
      </c>
      <c r="E978" s="4" t="s">
        <v>21</v>
      </c>
      <c r="F978" s="4">
        <f t="shared" si="2"/>
        <v>16</v>
      </c>
    </row>
    <row r="979">
      <c r="A979" s="5">
        <v>43808.318715277775</v>
      </c>
      <c r="B979" s="7">
        <f t="shared" si="1"/>
        <v>43808</v>
      </c>
      <c r="C979" s="33" t="s">
        <v>16</v>
      </c>
      <c r="D979" s="4" t="s">
        <v>21</v>
      </c>
      <c r="E979" s="4" t="s">
        <v>21</v>
      </c>
      <c r="F979" s="4">
        <f t="shared" si="2"/>
        <v>50</v>
      </c>
    </row>
    <row r="980">
      <c r="A980" s="5">
        <v>43823.3578125</v>
      </c>
      <c r="B980" s="7">
        <f t="shared" si="1"/>
        <v>43823</v>
      </c>
      <c r="C980" s="33" t="s">
        <v>16</v>
      </c>
      <c r="D980" s="4" t="s">
        <v>23</v>
      </c>
      <c r="E980" s="4" t="s">
        <v>21</v>
      </c>
      <c r="F980" s="4">
        <f t="shared" si="2"/>
        <v>52</v>
      </c>
    </row>
    <row r="981">
      <c r="A981" s="5">
        <v>43825.299363425926</v>
      </c>
      <c r="B981" s="7">
        <f t="shared" si="1"/>
        <v>43825</v>
      </c>
      <c r="C981" s="33" t="s">
        <v>16</v>
      </c>
      <c r="D981" s="4" t="s">
        <v>23</v>
      </c>
      <c r="E981" s="4" t="s">
        <v>21</v>
      </c>
      <c r="F981" s="4">
        <f t="shared" si="2"/>
        <v>52</v>
      </c>
    </row>
    <row r="982">
      <c r="A982" s="5">
        <v>43903.4834375</v>
      </c>
      <c r="B982" s="7">
        <f t="shared" si="1"/>
        <v>43903</v>
      </c>
      <c r="C982" s="33" t="s">
        <v>16</v>
      </c>
      <c r="D982" s="4" t="s">
        <v>21</v>
      </c>
      <c r="E982" s="4" t="s">
        <v>21</v>
      </c>
      <c r="F982" s="4">
        <f t="shared" si="2"/>
        <v>11</v>
      </c>
    </row>
    <row r="983">
      <c r="A983" s="5">
        <v>43942.26457175926</v>
      </c>
      <c r="B983" s="7">
        <f t="shared" si="1"/>
        <v>43942</v>
      </c>
      <c r="C983" s="33" t="s">
        <v>16</v>
      </c>
      <c r="D983" s="4" t="s">
        <v>21</v>
      </c>
      <c r="E983" s="4" t="s">
        <v>21</v>
      </c>
      <c r="F983" s="4">
        <f t="shared" si="2"/>
        <v>17</v>
      </c>
    </row>
    <row r="984">
      <c r="A984" s="5">
        <v>43983.15550925926</v>
      </c>
      <c r="B984" s="7">
        <f t="shared" si="1"/>
        <v>43983</v>
      </c>
      <c r="C984" s="33" t="s">
        <v>16</v>
      </c>
      <c r="D984" s="4" t="s">
        <v>21</v>
      </c>
      <c r="E984" s="4" t="s">
        <v>21</v>
      </c>
      <c r="F984" s="4">
        <f t="shared" si="2"/>
        <v>23</v>
      </c>
    </row>
    <row r="985">
      <c r="A985" s="5">
        <v>43994.85150462963</v>
      </c>
      <c r="B985" s="7">
        <f t="shared" si="1"/>
        <v>43994</v>
      </c>
      <c r="C985" s="33" t="s">
        <v>16</v>
      </c>
      <c r="D985" s="4" t="s">
        <v>21</v>
      </c>
      <c r="E985" s="4" t="s">
        <v>21</v>
      </c>
      <c r="F985" s="4">
        <f t="shared" si="2"/>
        <v>24</v>
      </c>
    </row>
    <row r="986">
      <c r="A986" s="5">
        <v>43684.59501157407</v>
      </c>
      <c r="B986" s="7">
        <f t="shared" si="1"/>
        <v>43684</v>
      </c>
      <c r="C986" s="33" t="s">
        <v>16</v>
      </c>
      <c r="D986" s="4" t="s">
        <v>21</v>
      </c>
      <c r="E986" s="4" t="s">
        <v>21</v>
      </c>
      <c r="F986" s="4">
        <f t="shared" si="2"/>
        <v>32</v>
      </c>
    </row>
    <row r="987">
      <c r="A987" s="5">
        <v>43755.583020833335</v>
      </c>
      <c r="B987" s="7">
        <f t="shared" si="1"/>
        <v>43755</v>
      </c>
      <c r="C987" s="33" t="s">
        <v>16</v>
      </c>
      <c r="D987" s="4" t="s">
        <v>21</v>
      </c>
      <c r="E987" s="4" t="s">
        <v>21</v>
      </c>
      <c r="F987" s="4">
        <f t="shared" si="2"/>
        <v>42</v>
      </c>
    </row>
    <row r="988">
      <c r="A988" s="5">
        <v>43798.477002314816</v>
      </c>
      <c r="B988" s="7">
        <f t="shared" si="1"/>
        <v>43798</v>
      </c>
      <c r="C988" s="33" t="s">
        <v>16</v>
      </c>
      <c r="D988" s="4" t="s">
        <v>21</v>
      </c>
      <c r="E988" s="4" t="s">
        <v>21</v>
      </c>
      <c r="F988" s="4">
        <f t="shared" si="2"/>
        <v>48</v>
      </c>
    </row>
    <row r="989">
      <c r="A989" s="5">
        <v>43798.6721875</v>
      </c>
      <c r="B989" s="7">
        <f t="shared" si="1"/>
        <v>43798</v>
      </c>
      <c r="C989" s="33" t="s">
        <v>16</v>
      </c>
      <c r="D989" s="4" t="s">
        <v>21</v>
      </c>
      <c r="E989" s="4" t="s">
        <v>21</v>
      </c>
      <c r="F989" s="4">
        <f t="shared" si="2"/>
        <v>48</v>
      </c>
    </row>
    <row r="990">
      <c r="A990" s="5">
        <v>43805.34028935185</v>
      </c>
      <c r="B990" s="7">
        <f t="shared" si="1"/>
        <v>43805</v>
      </c>
      <c r="C990" s="33" t="s">
        <v>16</v>
      </c>
      <c r="D990" s="4" t="s">
        <v>21</v>
      </c>
      <c r="E990" s="4" t="s">
        <v>21</v>
      </c>
      <c r="F990" s="4">
        <f t="shared" si="2"/>
        <v>49</v>
      </c>
    </row>
    <row r="991">
      <c r="A991" s="5">
        <v>43811.40920138889</v>
      </c>
      <c r="B991" s="7">
        <f t="shared" si="1"/>
        <v>43811</v>
      </c>
      <c r="C991" s="33" t="s">
        <v>16</v>
      </c>
      <c r="D991" s="4" t="s">
        <v>21</v>
      </c>
      <c r="E991" s="4" t="s">
        <v>21</v>
      </c>
      <c r="F991" s="4">
        <f t="shared" si="2"/>
        <v>50</v>
      </c>
    </row>
    <row r="992">
      <c r="A992" s="5">
        <v>43817.65491898148</v>
      </c>
      <c r="B992" s="7">
        <f t="shared" si="1"/>
        <v>43817</v>
      </c>
      <c r="C992" s="33" t="s">
        <v>16</v>
      </c>
      <c r="D992" s="4" t="s">
        <v>21</v>
      </c>
      <c r="E992" s="4" t="s">
        <v>21</v>
      </c>
      <c r="F992" s="4">
        <f t="shared" si="2"/>
        <v>51</v>
      </c>
    </row>
    <row r="993">
      <c r="A993" s="5">
        <v>43818.23708333333</v>
      </c>
      <c r="B993" s="7">
        <f t="shared" si="1"/>
        <v>43818</v>
      </c>
      <c r="C993" s="33" t="s">
        <v>16</v>
      </c>
      <c r="D993" s="4" t="s">
        <v>21</v>
      </c>
      <c r="E993" s="4" t="s">
        <v>21</v>
      </c>
      <c r="F993" s="4">
        <f t="shared" si="2"/>
        <v>51</v>
      </c>
    </row>
    <row r="994">
      <c r="A994" s="5">
        <v>43840.58818287037</v>
      </c>
      <c r="B994" s="7">
        <f t="shared" si="1"/>
        <v>43840</v>
      </c>
      <c r="C994" s="33" t="s">
        <v>16</v>
      </c>
      <c r="D994" s="4" t="s">
        <v>21</v>
      </c>
      <c r="E994" s="4" t="s">
        <v>21</v>
      </c>
      <c r="F994" s="4">
        <f t="shared" si="2"/>
        <v>2</v>
      </c>
    </row>
    <row r="995">
      <c r="A995" s="5">
        <v>43846.74012731481</v>
      </c>
      <c r="B995" s="7">
        <f t="shared" si="1"/>
        <v>43846</v>
      </c>
      <c r="C995" s="33" t="s">
        <v>16</v>
      </c>
      <c r="D995" s="4" t="s">
        <v>21</v>
      </c>
      <c r="E995" s="4" t="s">
        <v>21</v>
      </c>
      <c r="F995" s="4">
        <f t="shared" si="2"/>
        <v>3</v>
      </c>
    </row>
    <row r="996">
      <c r="A996" s="5">
        <v>43846.81725694444</v>
      </c>
      <c r="B996" s="7">
        <f t="shared" si="1"/>
        <v>43846</v>
      </c>
      <c r="C996" s="33" t="s">
        <v>16</v>
      </c>
      <c r="D996" s="4" t="s">
        <v>21</v>
      </c>
      <c r="E996" s="4" t="s">
        <v>21</v>
      </c>
      <c r="F996" s="4">
        <f t="shared" si="2"/>
        <v>3</v>
      </c>
    </row>
    <row r="997">
      <c r="A997" s="5">
        <v>43879.31716435185</v>
      </c>
      <c r="B997" s="7">
        <f t="shared" si="1"/>
        <v>43879</v>
      </c>
      <c r="C997" s="33" t="s">
        <v>16</v>
      </c>
      <c r="D997" s="4" t="s">
        <v>21</v>
      </c>
      <c r="E997" s="4" t="s">
        <v>21</v>
      </c>
      <c r="F997" s="4">
        <f t="shared" si="2"/>
        <v>8</v>
      </c>
    </row>
    <row r="998">
      <c r="A998" s="5">
        <v>43903.34142361111</v>
      </c>
      <c r="B998" s="7">
        <f t="shared" si="1"/>
        <v>43903</v>
      </c>
      <c r="C998" s="33" t="s">
        <v>16</v>
      </c>
      <c r="D998" s="4" t="s">
        <v>21</v>
      </c>
      <c r="E998" s="4" t="s">
        <v>21</v>
      </c>
      <c r="F998" s="4">
        <f t="shared" si="2"/>
        <v>11</v>
      </c>
    </row>
    <row r="999">
      <c r="A999" s="5">
        <v>43920.33300925926</v>
      </c>
      <c r="B999" s="7">
        <f t="shared" si="1"/>
        <v>43920</v>
      </c>
      <c r="C999" s="33" t="s">
        <v>16</v>
      </c>
      <c r="D999" s="4" t="s">
        <v>21</v>
      </c>
      <c r="E999" s="4" t="s">
        <v>21</v>
      </c>
      <c r="F999" s="4">
        <f t="shared" si="2"/>
        <v>14</v>
      </c>
    </row>
    <row r="1000">
      <c r="A1000" s="5">
        <v>43922.42230324074</v>
      </c>
      <c r="B1000" s="7">
        <f t="shared" si="1"/>
        <v>43922</v>
      </c>
      <c r="C1000" s="33" t="s">
        <v>16</v>
      </c>
      <c r="D1000" s="4" t="s">
        <v>21</v>
      </c>
      <c r="E1000" s="4" t="s">
        <v>21</v>
      </c>
      <c r="F1000" s="4">
        <f t="shared" si="2"/>
        <v>14</v>
      </c>
    </row>
    <row r="1001">
      <c r="A1001" s="5">
        <v>43928.44546296296</v>
      </c>
      <c r="B1001" s="7">
        <f t="shared" si="1"/>
        <v>43928</v>
      </c>
      <c r="C1001" s="33" t="s">
        <v>16</v>
      </c>
      <c r="D1001" s="4" t="s">
        <v>21</v>
      </c>
      <c r="E1001" s="4" t="s">
        <v>21</v>
      </c>
      <c r="F1001" s="4">
        <f t="shared" si="2"/>
        <v>15</v>
      </c>
    </row>
    <row r="1002">
      <c r="A1002" s="5">
        <v>43936.36715277778</v>
      </c>
      <c r="B1002" s="7">
        <f t="shared" si="1"/>
        <v>43936</v>
      </c>
      <c r="C1002" s="33" t="s">
        <v>16</v>
      </c>
      <c r="D1002" s="4" t="s">
        <v>21</v>
      </c>
      <c r="E1002" s="4" t="s">
        <v>21</v>
      </c>
      <c r="F1002" s="4">
        <f t="shared" si="2"/>
        <v>16</v>
      </c>
    </row>
    <row r="1003">
      <c r="A1003" s="5">
        <v>43943.32050925926</v>
      </c>
      <c r="B1003" s="7">
        <f t="shared" si="1"/>
        <v>43943</v>
      </c>
      <c r="C1003" s="33" t="s">
        <v>16</v>
      </c>
      <c r="D1003" s="4" t="s">
        <v>21</v>
      </c>
      <c r="E1003" s="4" t="s">
        <v>21</v>
      </c>
      <c r="F1003" s="4">
        <f t="shared" si="2"/>
        <v>17</v>
      </c>
    </row>
    <row r="1004">
      <c r="A1004" s="5">
        <v>43817.448379629626</v>
      </c>
      <c r="B1004" s="7">
        <f t="shared" si="1"/>
        <v>43817</v>
      </c>
      <c r="C1004" s="33" t="s">
        <v>16</v>
      </c>
      <c r="D1004" s="4" t="s">
        <v>21</v>
      </c>
      <c r="E1004" s="4" t="s">
        <v>21</v>
      </c>
      <c r="F1004" s="4">
        <f t="shared" si="2"/>
        <v>51</v>
      </c>
    </row>
    <row r="1005">
      <c r="A1005" s="5">
        <v>43879.76782407407</v>
      </c>
      <c r="B1005" s="7">
        <f t="shared" si="1"/>
        <v>43879</v>
      </c>
      <c r="C1005" s="33" t="s">
        <v>16</v>
      </c>
      <c r="D1005" s="4" t="s">
        <v>21</v>
      </c>
      <c r="E1005" s="4" t="s">
        <v>21</v>
      </c>
      <c r="F1005" s="4">
        <f t="shared" si="2"/>
        <v>8</v>
      </c>
    </row>
    <row r="1006">
      <c r="A1006" s="5">
        <v>43896.634618055556</v>
      </c>
      <c r="B1006" s="7">
        <f t="shared" si="1"/>
        <v>43896</v>
      </c>
      <c r="C1006" s="33" t="s">
        <v>16</v>
      </c>
      <c r="D1006" s="4" t="s">
        <v>21</v>
      </c>
      <c r="E1006" s="4" t="s">
        <v>21</v>
      </c>
      <c r="F1006" s="4">
        <f t="shared" si="2"/>
        <v>10</v>
      </c>
    </row>
    <row r="1007">
      <c r="A1007" s="5">
        <v>43914.27553240741</v>
      </c>
      <c r="B1007" s="7">
        <f t="shared" si="1"/>
        <v>43914</v>
      </c>
      <c r="C1007" s="33" t="s">
        <v>16</v>
      </c>
      <c r="D1007" s="4" t="s">
        <v>21</v>
      </c>
      <c r="E1007" s="4" t="s">
        <v>21</v>
      </c>
      <c r="F1007" s="4">
        <f t="shared" si="2"/>
        <v>13</v>
      </c>
    </row>
    <row r="1008">
      <c r="A1008" s="5">
        <v>43978.264699074076</v>
      </c>
      <c r="B1008" s="7">
        <f t="shared" si="1"/>
        <v>43978</v>
      </c>
      <c r="C1008" s="33" t="s">
        <v>16</v>
      </c>
      <c r="D1008" s="4" t="s">
        <v>21</v>
      </c>
      <c r="E1008" s="4" t="s">
        <v>21</v>
      </c>
      <c r="F1008" s="4">
        <f t="shared" si="2"/>
        <v>22</v>
      </c>
    </row>
    <row r="1009">
      <c r="A1009" s="5">
        <v>43801.60574074074</v>
      </c>
      <c r="B1009" s="7">
        <f t="shared" si="1"/>
        <v>43801</v>
      </c>
      <c r="C1009" s="33" t="s">
        <v>16</v>
      </c>
      <c r="D1009" s="4" t="s">
        <v>21</v>
      </c>
      <c r="E1009" s="4" t="s">
        <v>21</v>
      </c>
      <c r="F1009" s="4">
        <f t="shared" si="2"/>
        <v>49</v>
      </c>
    </row>
    <row r="1010">
      <c r="A1010" s="5">
        <v>43802.61993055556</v>
      </c>
      <c r="B1010" s="7">
        <f t="shared" si="1"/>
        <v>43802</v>
      </c>
      <c r="C1010" s="33" t="s">
        <v>16</v>
      </c>
      <c r="D1010" s="4" t="s">
        <v>21</v>
      </c>
      <c r="E1010" s="4" t="s">
        <v>21</v>
      </c>
      <c r="F1010" s="4">
        <f t="shared" si="2"/>
        <v>49</v>
      </c>
    </row>
    <row r="1011">
      <c r="A1011" s="5">
        <v>43916.477326388886</v>
      </c>
      <c r="B1011" s="7">
        <f t="shared" si="1"/>
        <v>43916</v>
      </c>
      <c r="C1011" s="33" t="s">
        <v>16</v>
      </c>
      <c r="D1011" s="4" t="s">
        <v>21</v>
      </c>
      <c r="E1011" s="4" t="s">
        <v>21</v>
      </c>
      <c r="F1011" s="4">
        <f t="shared" si="2"/>
        <v>13</v>
      </c>
    </row>
    <row r="1012">
      <c r="A1012" s="5">
        <v>44005.51273148148</v>
      </c>
      <c r="B1012" s="7">
        <f t="shared" si="1"/>
        <v>44005</v>
      </c>
      <c r="C1012" s="33" t="s">
        <v>16</v>
      </c>
      <c r="D1012" s="4" t="s">
        <v>21</v>
      </c>
      <c r="E1012" s="4" t="s">
        <v>21</v>
      </c>
      <c r="F1012" s="4">
        <f t="shared" si="2"/>
        <v>26</v>
      </c>
    </row>
    <row r="1013">
      <c r="A1013" s="5">
        <v>43908.13149305555</v>
      </c>
      <c r="B1013" s="7">
        <f t="shared" si="1"/>
        <v>43908</v>
      </c>
      <c r="C1013" s="33" t="s">
        <v>16</v>
      </c>
      <c r="D1013" s="4" t="s">
        <v>21</v>
      </c>
      <c r="E1013" s="4" t="s">
        <v>21</v>
      </c>
      <c r="F1013" s="4">
        <f t="shared" si="2"/>
        <v>12</v>
      </c>
    </row>
    <row r="1014">
      <c r="A1014" s="5">
        <v>43707.657372685186</v>
      </c>
      <c r="B1014" s="7">
        <f t="shared" si="1"/>
        <v>43707</v>
      </c>
      <c r="C1014" s="33" t="s">
        <v>16</v>
      </c>
      <c r="D1014" s="4" t="s">
        <v>21</v>
      </c>
      <c r="E1014" s="4" t="s">
        <v>21</v>
      </c>
      <c r="F1014" s="4">
        <f t="shared" si="2"/>
        <v>35</v>
      </c>
    </row>
    <row r="1015">
      <c r="A1015" s="5">
        <v>43830.54224537037</v>
      </c>
      <c r="B1015" s="7">
        <f t="shared" si="1"/>
        <v>43830</v>
      </c>
      <c r="C1015" s="33" t="s">
        <v>16</v>
      </c>
      <c r="D1015" s="4" t="s">
        <v>23</v>
      </c>
      <c r="E1015" s="4" t="s">
        <v>21</v>
      </c>
      <c r="F1015" s="4">
        <f t="shared" si="2"/>
        <v>53</v>
      </c>
    </row>
    <row r="1016">
      <c r="A1016" s="5">
        <v>43864.549259259256</v>
      </c>
      <c r="B1016" s="7">
        <f t="shared" si="1"/>
        <v>43864</v>
      </c>
      <c r="C1016" s="33" t="s">
        <v>16</v>
      </c>
      <c r="D1016" s="4" t="s">
        <v>21</v>
      </c>
      <c r="E1016" s="4" t="s">
        <v>21</v>
      </c>
      <c r="F1016" s="4">
        <f t="shared" si="2"/>
        <v>6</v>
      </c>
    </row>
    <row r="1017">
      <c r="A1017" s="5">
        <v>43991.73274305555</v>
      </c>
      <c r="B1017" s="7">
        <f t="shared" si="1"/>
        <v>43991</v>
      </c>
      <c r="C1017" s="33" t="s">
        <v>16</v>
      </c>
      <c r="D1017" s="4" t="s">
        <v>21</v>
      </c>
      <c r="E1017" s="4" t="s">
        <v>21</v>
      </c>
      <c r="F1017" s="4">
        <f t="shared" si="2"/>
        <v>24</v>
      </c>
    </row>
    <row r="1018">
      <c r="A1018" s="5">
        <v>43768.53488425926</v>
      </c>
      <c r="B1018" s="7">
        <f t="shared" si="1"/>
        <v>43768</v>
      </c>
      <c r="C1018" s="33" t="s">
        <v>16</v>
      </c>
      <c r="D1018" s="4" t="s">
        <v>21</v>
      </c>
      <c r="E1018" s="4" t="s">
        <v>21</v>
      </c>
      <c r="F1018" s="4">
        <f t="shared" si="2"/>
        <v>44</v>
      </c>
    </row>
    <row r="1019">
      <c r="A1019" s="5">
        <v>43857.47138888889</v>
      </c>
      <c r="B1019" s="7">
        <f t="shared" si="1"/>
        <v>43857</v>
      </c>
      <c r="C1019" s="33" t="s">
        <v>16</v>
      </c>
      <c r="D1019" s="4" t="s">
        <v>21</v>
      </c>
      <c r="E1019" s="4" t="s">
        <v>23</v>
      </c>
      <c r="F1019" s="4">
        <f t="shared" si="2"/>
        <v>5</v>
      </c>
    </row>
    <row r="1020">
      <c r="A1020" s="5">
        <v>43795.445081018515</v>
      </c>
      <c r="B1020" s="7">
        <f t="shared" si="1"/>
        <v>43795</v>
      </c>
      <c r="C1020" s="33" t="s">
        <v>16</v>
      </c>
      <c r="D1020" s="4" t="s">
        <v>21</v>
      </c>
      <c r="E1020" s="4" t="s">
        <v>21</v>
      </c>
      <c r="F1020" s="4">
        <f t="shared" si="2"/>
        <v>48</v>
      </c>
    </row>
    <row r="1021">
      <c r="A1021" s="5">
        <v>43832.59079861111</v>
      </c>
      <c r="B1021" s="7">
        <f t="shared" si="1"/>
        <v>43832</v>
      </c>
      <c r="C1021" s="33" t="s">
        <v>16</v>
      </c>
      <c r="D1021" s="4" t="s">
        <v>23</v>
      </c>
      <c r="E1021" s="4" t="s">
        <v>21</v>
      </c>
      <c r="F1021" s="4">
        <f t="shared" si="2"/>
        <v>1</v>
      </c>
    </row>
    <row r="1022">
      <c r="A1022" s="5">
        <v>43832.7090625</v>
      </c>
      <c r="B1022" s="7">
        <f t="shared" si="1"/>
        <v>43832</v>
      </c>
      <c r="C1022" s="33" t="s">
        <v>16</v>
      </c>
      <c r="D1022" s="4" t="s">
        <v>23</v>
      </c>
      <c r="E1022" s="4" t="s">
        <v>21</v>
      </c>
      <c r="F1022" s="4">
        <f t="shared" si="2"/>
        <v>1</v>
      </c>
    </row>
    <row r="1023">
      <c r="A1023" s="5">
        <v>43878.264328703706</v>
      </c>
      <c r="B1023" s="7">
        <f t="shared" si="1"/>
        <v>43878</v>
      </c>
      <c r="C1023" s="33" t="s">
        <v>16</v>
      </c>
      <c r="D1023" s="4" t="s">
        <v>21</v>
      </c>
      <c r="E1023" s="4" t="s">
        <v>21</v>
      </c>
      <c r="F1023" s="4">
        <f t="shared" si="2"/>
        <v>8</v>
      </c>
    </row>
    <row r="1024">
      <c r="A1024" s="5">
        <v>43897.7094212963</v>
      </c>
      <c r="B1024" s="7">
        <f t="shared" si="1"/>
        <v>43897</v>
      </c>
      <c r="C1024" s="33" t="s">
        <v>16</v>
      </c>
      <c r="D1024" s="4" t="s">
        <v>21</v>
      </c>
      <c r="E1024" s="4" t="s">
        <v>21</v>
      </c>
      <c r="F1024" s="4">
        <f t="shared" si="2"/>
        <v>10</v>
      </c>
    </row>
    <row r="1025">
      <c r="A1025" s="5">
        <v>43917.39809027778</v>
      </c>
      <c r="B1025" s="7">
        <f t="shared" si="1"/>
        <v>43917</v>
      </c>
      <c r="C1025" s="33" t="s">
        <v>16</v>
      </c>
      <c r="D1025" s="4" t="s">
        <v>21</v>
      </c>
      <c r="E1025" s="4" t="s">
        <v>21</v>
      </c>
      <c r="F1025" s="4">
        <f t="shared" si="2"/>
        <v>13</v>
      </c>
    </row>
    <row r="1026">
      <c r="A1026" s="5">
        <v>43924.502430555556</v>
      </c>
      <c r="B1026" s="7">
        <f t="shared" si="1"/>
        <v>43924</v>
      </c>
      <c r="C1026" s="33" t="s">
        <v>16</v>
      </c>
      <c r="D1026" s="4" t="s">
        <v>21</v>
      </c>
      <c r="E1026" s="4" t="s">
        <v>21</v>
      </c>
      <c r="F1026" s="4">
        <f t="shared" si="2"/>
        <v>14</v>
      </c>
    </row>
    <row r="1027">
      <c r="A1027" s="5">
        <v>43929.40519675926</v>
      </c>
      <c r="B1027" s="7">
        <f t="shared" si="1"/>
        <v>43929</v>
      </c>
      <c r="C1027" s="33" t="s">
        <v>16</v>
      </c>
      <c r="D1027" s="4" t="s">
        <v>21</v>
      </c>
      <c r="E1027" s="4" t="s">
        <v>21</v>
      </c>
      <c r="F1027" s="4">
        <f t="shared" si="2"/>
        <v>15</v>
      </c>
    </row>
    <row r="1028">
      <c r="A1028" s="5">
        <v>43951.341458333336</v>
      </c>
      <c r="B1028" s="7">
        <f t="shared" si="1"/>
        <v>43951</v>
      </c>
      <c r="C1028" s="33" t="s">
        <v>16</v>
      </c>
      <c r="D1028" s="4" t="s">
        <v>21</v>
      </c>
      <c r="E1028" s="4" t="s">
        <v>21</v>
      </c>
      <c r="F1028" s="4">
        <f t="shared" si="2"/>
        <v>18</v>
      </c>
    </row>
    <row r="1029">
      <c r="A1029" s="5">
        <v>43977.682534722226</v>
      </c>
      <c r="B1029" s="7">
        <f t="shared" si="1"/>
        <v>43977</v>
      </c>
      <c r="C1029" s="33" t="s">
        <v>16</v>
      </c>
      <c r="D1029" s="4" t="s">
        <v>21</v>
      </c>
      <c r="E1029" s="4" t="s">
        <v>21</v>
      </c>
      <c r="F1029" s="4">
        <f t="shared" si="2"/>
        <v>22</v>
      </c>
    </row>
    <row r="1030">
      <c r="A1030" s="5">
        <v>43809.43171296296</v>
      </c>
      <c r="B1030" s="7">
        <f t="shared" si="1"/>
        <v>43809</v>
      </c>
      <c r="C1030" s="33" t="s">
        <v>16</v>
      </c>
      <c r="D1030" s="4" t="s">
        <v>21</v>
      </c>
      <c r="E1030" s="4" t="s">
        <v>21</v>
      </c>
      <c r="F1030" s="4">
        <f t="shared" si="2"/>
        <v>50</v>
      </c>
    </row>
    <row r="1031">
      <c r="A1031" s="5">
        <v>43852.386979166666</v>
      </c>
      <c r="B1031" s="7">
        <f t="shared" si="1"/>
        <v>43852</v>
      </c>
      <c r="C1031" s="33" t="s">
        <v>16</v>
      </c>
      <c r="D1031" s="4" t="s">
        <v>21</v>
      </c>
      <c r="E1031" s="4" t="s">
        <v>21</v>
      </c>
      <c r="F1031" s="4">
        <f t="shared" si="2"/>
        <v>4</v>
      </c>
    </row>
    <row r="1032">
      <c r="A1032" s="5">
        <v>43913.48171296297</v>
      </c>
      <c r="B1032" s="7">
        <f t="shared" si="1"/>
        <v>43913</v>
      </c>
      <c r="C1032" s="33" t="s">
        <v>16</v>
      </c>
      <c r="D1032" s="4" t="s">
        <v>21</v>
      </c>
      <c r="E1032" s="4" t="s">
        <v>21</v>
      </c>
      <c r="F1032" s="4">
        <f t="shared" si="2"/>
        <v>13</v>
      </c>
    </row>
    <row r="1033">
      <c r="A1033" s="5">
        <v>43921.838425925926</v>
      </c>
      <c r="B1033" s="7">
        <f t="shared" si="1"/>
        <v>43921</v>
      </c>
      <c r="C1033" s="33" t="s">
        <v>16</v>
      </c>
      <c r="D1033" s="4" t="s">
        <v>21</v>
      </c>
      <c r="E1033" s="4" t="s">
        <v>21</v>
      </c>
      <c r="F1033" s="4">
        <f t="shared" si="2"/>
        <v>14</v>
      </c>
    </row>
    <row r="1034">
      <c r="A1034" s="5">
        <v>43978.73012731481</v>
      </c>
      <c r="B1034" s="7">
        <f t="shared" si="1"/>
        <v>43978</v>
      </c>
      <c r="C1034" s="33" t="s">
        <v>16</v>
      </c>
      <c r="D1034" s="4" t="s">
        <v>21</v>
      </c>
      <c r="E1034" s="4" t="s">
        <v>21</v>
      </c>
      <c r="F1034" s="4">
        <f t="shared" si="2"/>
        <v>22</v>
      </c>
    </row>
    <row r="1035">
      <c r="A1035" s="5">
        <v>43985.62552083333</v>
      </c>
      <c r="B1035" s="7">
        <f t="shared" si="1"/>
        <v>43985</v>
      </c>
      <c r="C1035" s="33" t="s">
        <v>16</v>
      </c>
      <c r="D1035" s="4" t="s">
        <v>21</v>
      </c>
      <c r="E1035" s="4" t="s">
        <v>21</v>
      </c>
      <c r="F1035" s="4">
        <f t="shared" si="2"/>
        <v>23</v>
      </c>
    </row>
    <row r="1036">
      <c r="A1036" s="5">
        <v>43788.30332175926</v>
      </c>
      <c r="B1036" s="7">
        <f t="shared" si="1"/>
        <v>43788</v>
      </c>
      <c r="C1036" s="33" t="s">
        <v>16</v>
      </c>
      <c r="D1036" s="4" t="s">
        <v>21</v>
      </c>
      <c r="E1036" s="4" t="s">
        <v>21</v>
      </c>
      <c r="F1036" s="4">
        <f t="shared" si="2"/>
        <v>47</v>
      </c>
    </row>
    <row r="1037">
      <c r="A1037" s="5">
        <v>43804.657743055555</v>
      </c>
      <c r="B1037" s="7">
        <f t="shared" si="1"/>
        <v>43804</v>
      </c>
      <c r="C1037" s="33" t="s">
        <v>16</v>
      </c>
      <c r="D1037" s="4" t="s">
        <v>21</v>
      </c>
      <c r="E1037" s="4" t="s">
        <v>21</v>
      </c>
      <c r="F1037" s="4">
        <f t="shared" si="2"/>
        <v>49</v>
      </c>
    </row>
    <row r="1038">
      <c r="A1038" s="5">
        <v>43874.415671296294</v>
      </c>
      <c r="B1038" s="7">
        <f t="shared" si="1"/>
        <v>43874</v>
      </c>
      <c r="C1038" s="33" t="s">
        <v>16</v>
      </c>
      <c r="D1038" s="4" t="s">
        <v>21</v>
      </c>
      <c r="E1038" s="4" t="s">
        <v>21</v>
      </c>
      <c r="F1038" s="4">
        <f t="shared" si="2"/>
        <v>7</v>
      </c>
    </row>
    <row r="1039">
      <c r="A1039" s="5">
        <v>43885.58331018518</v>
      </c>
      <c r="B1039" s="7">
        <f t="shared" si="1"/>
        <v>43885</v>
      </c>
      <c r="C1039" s="33" t="s">
        <v>16</v>
      </c>
      <c r="D1039" s="4" t="s">
        <v>21</v>
      </c>
      <c r="E1039" s="4" t="s">
        <v>21</v>
      </c>
      <c r="F1039" s="4">
        <f t="shared" si="2"/>
        <v>9</v>
      </c>
    </row>
    <row r="1040">
      <c r="A1040" s="5">
        <v>43888.48842592593</v>
      </c>
      <c r="B1040" s="7">
        <f t="shared" si="1"/>
        <v>43888</v>
      </c>
      <c r="C1040" s="33" t="s">
        <v>16</v>
      </c>
      <c r="D1040" s="4" t="s">
        <v>21</v>
      </c>
      <c r="E1040" s="4" t="s">
        <v>21</v>
      </c>
      <c r="F1040" s="4">
        <f t="shared" si="2"/>
        <v>9</v>
      </c>
    </row>
    <row r="1041">
      <c r="A1041" s="5">
        <v>43894.3750462963</v>
      </c>
      <c r="B1041" s="7">
        <f t="shared" si="1"/>
        <v>43894</v>
      </c>
      <c r="C1041" s="33" t="s">
        <v>16</v>
      </c>
      <c r="D1041" s="4" t="s">
        <v>21</v>
      </c>
      <c r="E1041" s="4" t="s">
        <v>21</v>
      </c>
      <c r="F1041" s="4">
        <f t="shared" si="2"/>
        <v>10</v>
      </c>
    </row>
    <row r="1042">
      <c r="A1042" s="5">
        <v>43963.48060185185</v>
      </c>
      <c r="B1042" s="7">
        <f t="shared" si="1"/>
        <v>43963</v>
      </c>
      <c r="C1042" s="33" t="s">
        <v>16</v>
      </c>
      <c r="D1042" s="4" t="s">
        <v>21</v>
      </c>
      <c r="E1042" s="4" t="s">
        <v>21</v>
      </c>
      <c r="F1042" s="4">
        <f t="shared" si="2"/>
        <v>20</v>
      </c>
    </row>
    <row r="1043">
      <c r="A1043" s="5">
        <v>43992.850266203706</v>
      </c>
      <c r="B1043" s="7">
        <f t="shared" si="1"/>
        <v>43992</v>
      </c>
      <c r="C1043" s="33" t="s">
        <v>16</v>
      </c>
      <c r="D1043" s="4" t="s">
        <v>21</v>
      </c>
      <c r="E1043" s="4" t="s">
        <v>21</v>
      </c>
      <c r="F1043" s="4">
        <f t="shared" si="2"/>
        <v>24</v>
      </c>
    </row>
    <row r="1044">
      <c r="A1044" s="5">
        <v>43697.666655092595</v>
      </c>
      <c r="B1044" s="7">
        <f t="shared" si="1"/>
        <v>43697</v>
      </c>
      <c r="C1044" s="33" t="s">
        <v>16</v>
      </c>
      <c r="D1044" s="4" t="s">
        <v>21</v>
      </c>
      <c r="E1044" s="4" t="s">
        <v>21</v>
      </c>
      <c r="F1044" s="4">
        <f t="shared" si="2"/>
        <v>34</v>
      </c>
    </row>
    <row r="1045">
      <c r="A1045" s="5">
        <v>43781.45177083334</v>
      </c>
      <c r="B1045" s="7">
        <f t="shared" si="1"/>
        <v>43781</v>
      </c>
      <c r="C1045" s="33" t="s">
        <v>16</v>
      </c>
      <c r="D1045" s="4" t="s">
        <v>21</v>
      </c>
      <c r="E1045" s="4" t="s">
        <v>21</v>
      </c>
      <c r="F1045" s="4">
        <f t="shared" si="2"/>
        <v>46</v>
      </c>
    </row>
    <row r="1046">
      <c r="A1046" s="5">
        <v>43781.47974537037</v>
      </c>
      <c r="B1046" s="7">
        <f t="shared" si="1"/>
        <v>43781</v>
      </c>
      <c r="C1046" s="33" t="s">
        <v>16</v>
      </c>
      <c r="D1046" s="4" t="s">
        <v>21</v>
      </c>
      <c r="E1046" s="4" t="s">
        <v>21</v>
      </c>
      <c r="F1046" s="4">
        <f t="shared" si="2"/>
        <v>46</v>
      </c>
    </row>
    <row r="1047">
      <c r="A1047" s="5">
        <v>43781.6046412037</v>
      </c>
      <c r="B1047" s="7">
        <f t="shared" si="1"/>
        <v>43781</v>
      </c>
      <c r="C1047" s="33" t="s">
        <v>16</v>
      </c>
      <c r="D1047" s="4" t="s">
        <v>21</v>
      </c>
      <c r="E1047" s="4" t="s">
        <v>21</v>
      </c>
      <c r="F1047" s="4">
        <f t="shared" si="2"/>
        <v>46</v>
      </c>
    </row>
    <row r="1048">
      <c r="A1048" s="5">
        <v>43837.46686342593</v>
      </c>
      <c r="B1048" s="7">
        <f t="shared" si="1"/>
        <v>43837</v>
      </c>
      <c r="C1048" s="33" t="s">
        <v>16</v>
      </c>
      <c r="D1048" s="4" t="s">
        <v>21</v>
      </c>
      <c r="E1048" s="4" t="s">
        <v>21</v>
      </c>
      <c r="F1048" s="4">
        <f t="shared" si="2"/>
        <v>2</v>
      </c>
    </row>
    <row r="1049">
      <c r="A1049" s="5">
        <v>43837.46693287037</v>
      </c>
      <c r="B1049" s="7">
        <f t="shared" si="1"/>
        <v>43837</v>
      </c>
      <c r="C1049" s="33" t="s">
        <v>16</v>
      </c>
      <c r="D1049" s="4" t="s">
        <v>21</v>
      </c>
      <c r="E1049" s="4" t="s">
        <v>21</v>
      </c>
      <c r="F1049" s="4">
        <f t="shared" si="2"/>
        <v>2</v>
      </c>
    </row>
    <row r="1050">
      <c r="A1050" s="5">
        <v>43861.5890625</v>
      </c>
      <c r="B1050" s="7">
        <f t="shared" si="1"/>
        <v>43861</v>
      </c>
      <c r="C1050" s="33" t="s">
        <v>16</v>
      </c>
      <c r="D1050" s="4" t="s">
        <v>21</v>
      </c>
      <c r="E1050" s="4" t="s">
        <v>23</v>
      </c>
      <c r="F1050" s="4">
        <f t="shared" si="2"/>
        <v>5</v>
      </c>
    </row>
    <row r="1051">
      <c r="A1051" s="5">
        <v>43910.31383101852</v>
      </c>
      <c r="B1051" s="7">
        <f t="shared" si="1"/>
        <v>43910</v>
      </c>
      <c r="C1051" s="33" t="s">
        <v>16</v>
      </c>
      <c r="D1051" s="4" t="s">
        <v>21</v>
      </c>
      <c r="E1051" s="4" t="s">
        <v>21</v>
      </c>
      <c r="F1051" s="4">
        <f t="shared" si="2"/>
        <v>12</v>
      </c>
    </row>
    <row r="1052">
      <c r="A1052" s="5">
        <v>43924.61638888889</v>
      </c>
      <c r="B1052" s="7">
        <f t="shared" si="1"/>
        <v>43924</v>
      </c>
      <c r="C1052" s="33" t="s">
        <v>16</v>
      </c>
      <c r="D1052" s="4" t="s">
        <v>21</v>
      </c>
      <c r="E1052" s="4" t="s">
        <v>21</v>
      </c>
      <c r="F1052" s="4">
        <f t="shared" si="2"/>
        <v>14</v>
      </c>
    </row>
    <row r="1053">
      <c r="A1053" s="5">
        <v>43929.63364583333</v>
      </c>
      <c r="B1053" s="7">
        <f t="shared" si="1"/>
        <v>43929</v>
      </c>
      <c r="C1053" s="33" t="s">
        <v>16</v>
      </c>
      <c r="D1053" s="4" t="s">
        <v>21</v>
      </c>
      <c r="E1053" s="4" t="s">
        <v>21</v>
      </c>
      <c r="F1053" s="4">
        <f t="shared" si="2"/>
        <v>15</v>
      </c>
    </row>
    <row r="1054">
      <c r="A1054" s="5">
        <v>43957.25034722222</v>
      </c>
      <c r="B1054" s="7">
        <f t="shared" si="1"/>
        <v>43957</v>
      </c>
      <c r="C1054" s="33" t="s">
        <v>16</v>
      </c>
      <c r="D1054" s="4" t="s">
        <v>21</v>
      </c>
      <c r="E1054" s="4" t="s">
        <v>21</v>
      </c>
      <c r="F1054" s="4">
        <f t="shared" si="2"/>
        <v>19</v>
      </c>
    </row>
    <row r="1055">
      <c r="A1055" s="5">
        <v>43969.31962962963</v>
      </c>
      <c r="B1055" s="7">
        <f t="shared" si="1"/>
        <v>43969</v>
      </c>
      <c r="C1055" s="33" t="s">
        <v>16</v>
      </c>
      <c r="D1055" s="4" t="s">
        <v>21</v>
      </c>
      <c r="E1055" s="4" t="s">
        <v>21</v>
      </c>
      <c r="F1055" s="4">
        <f t="shared" si="2"/>
        <v>21</v>
      </c>
    </row>
    <row r="1056">
      <c r="A1056" s="5">
        <v>44001.29961805556</v>
      </c>
      <c r="B1056" s="7">
        <f t="shared" si="1"/>
        <v>44001</v>
      </c>
      <c r="C1056" s="33" t="s">
        <v>16</v>
      </c>
      <c r="D1056" s="4" t="s">
        <v>21</v>
      </c>
      <c r="E1056" s="4" t="s">
        <v>21</v>
      </c>
      <c r="F1056" s="4">
        <f t="shared" si="2"/>
        <v>25</v>
      </c>
    </row>
    <row r="1057">
      <c r="A1057" s="5">
        <v>43684.58939814815</v>
      </c>
      <c r="B1057" s="7">
        <f t="shared" si="1"/>
        <v>43684</v>
      </c>
      <c r="C1057" s="33" t="s">
        <v>16</v>
      </c>
      <c r="D1057" s="4" t="s">
        <v>21</v>
      </c>
      <c r="E1057" s="4" t="s">
        <v>21</v>
      </c>
      <c r="F1057" s="4">
        <f t="shared" si="2"/>
        <v>32</v>
      </c>
    </row>
    <row r="1058">
      <c r="A1058" s="5">
        <v>43825.38521990741</v>
      </c>
      <c r="B1058" s="7">
        <f t="shared" si="1"/>
        <v>43825</v>
      </c>
      <c r="C1058" s="33" t="s">
        <v>16</v>
      </c>
      <c r="D1058" s="4" t="s">
        <v>23</v>
      </c>
      <c r="E1058" s="4" t="s">
        <v>21</v>
      </c>
      <c r="F1058" s="4">
        <f t="shared" si="2"/>
        <v>52</v>
      </c>
    </row>
    <row r="1059">
      <c r="A1059" s="5">
        <v>43909.25134259259</v>
      </c>
      <c r="B1059" s="7">
        <f t="shared" si="1"/>
        <v>43909</v>
      </c>
      <c r="C1059" s="33" t="s">
        <v>16</v>
      </c>
      <c r="D1059" s="4" t="s">
        <v>21</v>
      </c>
      <c r="E1059" s="4" t="s">
        <v>21</v>
      </c>
      <c r="F1059" s="4">
        <f t="shared" si="2"/>
        <v>12</v>
      </c>
    </row>
    <row r="1060">
      <c r="A1060" s="5">
        <v>43950.41465277778</v>
      </c>
      <c r="B1060" s="7">
        <f t="shared" si="1"/>
        <v>43950</v>
      </c>
      <c r="C1060" s="33" t="s">
        <v>16</v>
      </c>
      <c r="D1060" s="4" t="s">
        <v>21</v>
      </c>
      <c r="E1060" s="4" t="s">
        <v>21</v>
      </c>
      <c r="F1060" s="4">
        <f t="shared" si="2"/>
        <v>18</v>
      </c>
    </row>
    <row r="1061">
      <c r="A1061" s="5">
        <v>43818.24790509259</v>
      </c>
      <c r="B1061" s="7">
        <f t="shared" si="1"/>
        <v>43818</v>
      </c>
      <c r="C1061" s="33" t="s">
        <v>16</v>
      </c>
      <c r="D1061" s="4" t="s">
        <v>21</v>
      </c>
      <c r="E1061" s="4" t="s">
        <v>21</v>
      </c>
      <c r="F1061" s="4">
        <f t="shared" si="2"/>
        <v>51</v>
      </c>
    </row>
    <row r="1062">
      <c r="A1062" s="5">
        <v>43867.39376157407</v>
      </c>
      <c r="B1062" s="7">
        <f t="shared" si="1"/>
        <v>43867</v>
      </c>
      <c r="C1062" s="33" t="s">
        <v>16</v>
      </c>
      <c r="D1062" s="4" t="s">
        <v>21</v>
      </c>
      <c r="E1062" s="4" t="s">
        <v>21</v>
      </c>
      <c r="F1062" s="4">
        <f t="shared" si="2"/>
        <v>6</v>
      </c>
    </row>
    <row r="1063">
      <c r="A1063" s="5">
        <v>43857.563738425924</v>
      </c>
      <c r="B1063" s="7">
        <f t="shared" si="1"/>
        <v>43857</v>
      </c>
      <c r="C1063" s="33" t="s">
        <v>16</v>
      </c>
      <c r="D1063" s="4" t="s">
        <v>21</v>
      </c>
      <c r="E1063" s="4" t="s">
        <v>23</v>
      </c>
      <c r="F1063" s="4">
        <f t="shared" si="2"/>
        <v>5</v>
      </c>
    </row>
    <row r="1064">
      <c r="A1064" s="5">
        <v>43746.13805555556</v>
      </c>
      <c r="B1064" s="7">
        <f t="shared" si="1"/>
        <v>43746</v>
      </c>
      <c r="C1064" s="33" t="s">
        <v>16</v>
      </c>
      <c r="D1064" s="4" t="s">
        <v>21</v>
      </c>
      <c r="E1064" s="4" t="s">
        <v>21</v>
      </c>
      <c r="F1064" s="4">
        <f t="shared" si="2"/>
        <v>41</v>
      </c>
    </row>
    <row r="1065">
      <c r="A1065" s="5">
        <v>43746.149351851855</v>
      </c>
      <c r="B1065" s="7">
        <f t="shared" si="1"/>
        <v>43746</v>
      </c>
      <c r="C1065" s="33" t="s">
        <v>16</v>
      </c>
      <c r="D1065" s="4" t="s">
        <v>21</v>
      </c>
      <c r="E1065" s="4" t="s">
        <v>21</v>
      </c>
      <c r="F1065" s="4">
        <f t="shared" si="2"/>
        <v>41</v>
      </c>
    </row>
    <row r="1066">
      <c r="A1066" s="5">
        <v>43788.54278935185</v>
      </c>
      <c r="B1066" s="7">
        <f t="shared" si="1"/>
        <v>43788</v>
      </c>
      <c r="C1066" s="33" t="s">
        <v>16</v>
      </c>
      <c r="D1066" s="4" t="s">
        <v>21</v>
      </c>
      <c r="E1066" s="4" t="s">
        <v>21</v>
      </c>
      <c r="F1066" s="4">
        <f t="shared" si="2"/>
        <v>47</v>
      </c>
    </row>
    <row r="1067">
      <c r="A1067" s="5">
        <v>43796.785787037035</v>
      </c>
      <c r="B1067" s="7">
        <f t="shared" si="1"/>
        <v>43796</v>
      </c>
      <c r="C1067" s="33" t="s">
        <v>16</v>
      </c>
      <c r="D1067" s="4" t="s">
        <v>21</v>
      </c>
      <c r="E1067" s="4" t="s">
        <v>21</v>
      </c>
      <c r="F1067" s="4">
        <f t="shared" si="2"/>
        <v>48</v>
      </c>
    </row>
    <row r="1068">
      <c r="A1068" s="5">
        <v>43839.92153935185</v>
      </c>
      <c r="B1068" s="7">
        <f t="shared" si="1"/>
        <v>43839</v>
      </c>
      <c r="C1068" s="33" t="s">
        <v>16</v>
      </c>
      <c r="D1068" s="4" t="s">
        <v>21</v>
      </c>
      <c r="E1068" s="4" t="s">
        <v>21</v>
      </c>
      <c r="F1068" s="4">
        <f t="shared" si="2"/>
        <v>2</v>
      </c>
    </row>
    <row r="1069">
      <c r="A1069" s="5">
        <v>43839.929930555554</v>
      </c>
      <c r="B1069" s="7">
        <f t="shared" si="1"/>
        <v>43839</v>
      </c>
      <c r="C1069" s="33" t="s">
        <v>16</v>
      </c>
      <c r="D1069" s="4" t="s">
        <v>21</v>
      </c>
      <c r="E1069" s="4" t="s">
        <v>21</v>
      </c>
      <c r="F1069" s="4">
        <f t="shared" si="2"/>
        <v>2</v>
      </c>
    </row>
    <row r="1070">
      <c r="A1070" s="5">
        <v>43872.36195601852</v>
      </c>
      <c r="B1070" s="7">
        <f t="shared" si="1"/>
        <v>43872</v>
      </c>
      <c r="C1070" s="33" t="s">
        <v>16</v>
      </c>
      <c r="D1070" s="4" t="s">
        <v>21</v>
      </c>
      <c r="E1070" s="4" t="s">
        <v>21</v>
      </c>
      <c r="F1070" s="4">
        <f t="shared" si="2"/>
        <v>7</v>
      </c>
    </row>
    <row r="1071">
      <c r="A1071" s="5">
        <v>43873.05337962963</v>
      </c>
      <c r="B1071" s="7">
        <f t="shared" si="1"/>
        <v>43873</v>
      </c>
      <c r="C1071" s="33" t="s">
        <v>16</v>
      </c>
      <c r="D1071" s="4" t="s">
        <v>21</v>
      </c>
      <c r="E1071" s="4" t="s">
        <v>21</v>
      </c>
      <c r="F1071" s="4">
        <f t="shared" si="2"/>
        <v>7</v>
      </c>
    </row>
    <row r="1072">
      <c r="A1072" s="5">
        <v>43928.34326388889</v>
      </c>
      <c r="B1072" s="7">
        <f t="shared" si="1"/>
        <v>43928</v>
      </c>
      <c r="C1072" s="33" t="s">
        <v>16</v>
      </c>
      <c r="D1072" s="4" t="s">
        <v>21</v>
      </c>
      <c r="E1072" s="4" t="s">
        <v>21</v>
      </c>
      <c r="F1072" s="4">
        <f t="shared" si="2"/>
        <v>15</v>
      </c>
    </row>
    <row r="1073">
      <c r="A1073" s="5">
        <v>43956.34585648148</v>
      </c>
      <c r="B1073" s="7">
        <f t="shared" si="1"/>
        <v>43956</v>
      </c>
      <c r="C1073" s="33" t="s">
        <v>16</v>
      </c>
      <c r="D1073" s="4" t="s">
        <v>21</v>
      </c>
      <c r="E1073" s="4" t="s">
        <v>21</v>
      </c>
      <c r="F1073" s="4">
        <f t="shared" si="2"/>
        <v>19</v>
      </c>
    </row>
    <row r="1074">
      <c r="A1074" s="5">
        <v>43888.328564814816</v>
      </c>
      <c r="B1074" s="7">
        <f t="shared" si="1"/>
        <v>43888</v>
      </c>
      <c r="C1074" s="33" t="s">
        <v>16</v>
      </c>
      <c r="D1074" s="4" t="s">
        <v>21</v>
      </c>
      <c r="E1074" s="4" t="s">
        <v>21</v>
      </c>
      <c r="F1074" s="4">
        <f t="shared" si="2"/>
        <v>9</v>
      </c>
    </row>
    <row r="1075">
      <c r="A1075" s="5">
        <v>43914.42244212963</v>
      </c>
      <c r="B1075" s="7">
        <f t="shared" si="1"/>
        <v>43914</v>
      </c>
      <c r="C1075" s="33" t="s">
        <v>16</v>
      </c>
      <c r="D1075" s="4" t="s">
        <v>21</v>
      </c>
      <c r="E1075" s="4" t="s">
        <v>21</v>
      </c>
      <c r="F1075" s="4">
        <f t="shared" si="2"/>
        <v>13</v>
      </c>
    </row>
    <row r="1076">
      <c r="A1076" s="5">
        <v>43810.54699074074</v>
      </c>
      <c r="B1076" s="7">
        <f t="shared" si="1"/>
        <v>43810</v>
      </c>
      <c r="C1076" s="33" t="s">
        <v>16</v>
      </c>
      <c r="D1076" s="4" t="s">
        <v>21</v>
      </c>
      <c r="E1076" s="4" t="s">
        <v>21</v>
      </c>
      <c r="F1076" s="4">
        <f t="shared" si="2"/>
        <v>50</v>
      </c>
    </row>
    <row r="1077">
      <c r="A1077" s="5">
        <v>43742.06439814815</v>
      </c>
      <c r="B1077" s="7">
        <f t="shared" si="1"/>
        <v>43742</v>
      </c>
      <c r="C1077" s="33" t="s">
        <v>16</v>
      </c>
      <c r="D1077" s="4" t="s">
        <v>21</v>
      </c>
      <c r="E1077" s="4" t="s">
        <v>21</v>
      </c>
      <c r="F1077" s="4">
        <f t="shared" si="2"/>
        <v>40</v>
      </c>
    </row>
    <row r="1078">
      <c r="A1078" s="5">
        <v>43803.37017361111</v>
      </c>
      <c r="B1078" s="7">
        <f t="shared" si="1"/>
        <v>43803</v>
      </c>
      <c r="C1078" s="33" t="s">
        <v>16</v>
      </c>
      <c r="D1078" s="4" t="s">
        <v>21</v>
      </c>
      <c r="E1078" s="4" t="s">
        <v>21</v>
      </c>
      <c r="F1078" s="4">
        <f t="shared" si="2"/>
        <v>49</v>
      </c>
    </row>
    <row r="1079">
      <c r="A1079" s="5">
        <v>43805.34600694444</v>
      </c>
      <c r="B1079" s="7">
        <f t="shared" si="1"/>
        <v>43805</v>
      </c>
      <c r="C1079" s="33" t="s">
        <v>16</v>
      </c>
      <c r="D1079" s="4" t="s">
        <v>21</v>
      </c>
      <c r="E1079" s="4" t="s">
        <v>21</v>
      </c>
      <c r="F1079" s="4">
        <f t="shared" si="2"/>
        <v>49</v>
      </c>
    </row>
    <row r="1080">
      <c r="A1080" s="5">
        <v>43808.40484953704</v>
      </c>
      <c r="B1080" s="7">
        <f t="shared" si="1"/>
        <v>43808</v>
      </c>
      <c r="C1080" s="33" t="s">
        <v>16</v>
      </c>
      <c r="D1080" s="4" t="s">
        <v>21</v>
      </c>
      <c r="E1080" s="4" t="s">
        <v>21</v>
      </c>
      <c r="F1080" s="4">
        <f t="shared" si="2"/>
        <v>50</v>
      </c>
    </row>
    <row r="1081">
      <c r="A1081" s="5">
        <v>43746.62096064815</v>
      </c>
      <c r="B1081" s="7">
        <f t="shared" si="1"/>
        <v>43746</v>
      </c>
      <c r="C1081" s="33" t="s">
        <v>16</v>
      </c>
      <c r="D1081" s="4" t="s">
        <v>21</v>
      </c>
      <c r="E1081" s="4" t="s">
        <v>21</v>
      </c>
      <c r="F1081" s="4">
        <f t="shared" si="2"/>
        <v>41</v>
      </c>
    </row>
    <row r="1082">
      <c r="A1082" s="5">
        <v>43810.55976851852</v>
      </c>
      <c r="B1082" s="7">
        <f t="shared" si="1"/>
        <v>43810</v>
      </c>
      <c r="C1082" s="33" t="s">
        <v>16</v>
      </c>
      <c r="D1082" s="4" t="s">
        <v>21</v>
      </c>
      <c r="E1082" s="4" t="s">
        <v>21</v>
      </c>
      <c r="F1082" s="4">
        <f t="shared" si="2"/>
        <v>50</v>
      </c>
    </row>
    <row r="1083">
      <c r="A1083" s="5">
        <v>43916.45686342593</v>
      </c>
      <c r="B1083" s="7">
        <f t="shared" si="1"/>
        <v>43916</v>
      </c>
      <c r="C1083" s="33" t="s">
        <v>16</v>
      </c>
      <c r="D1083" s="4" t="s">
        <v>21</v>
      </c>
      <c r="E1083" s="4" t="s">
        <v>21</v>
      </c>
      <c r="F1083" s="4">
        <f t="shared" si="2"/>
        <v>13</v>
      </c>
    </row>
    <row r="1084">
      <c r="A1084" s="5">
        <v>43991.61032407408</v>
      </c>
      <c r="B1084" s="7">
        <f t="shared" si="1"/>
        <v>43991</v>
      </c>
      <c r="C1084" s="33" t="s">
        <v>16</v>
      </c>
      <c r="D1084" s="4" t="s">
        <v>21</v>
      </c>
      <c r="E1084" s="4" t="s">
        <v>21</v>
      </c>
      <c r="F1084" s="4">
        <f t="shared" si="2"/>
        <v>24</v>
      </c>
    </row>
    <row r="1085">
      <c r="A1085" s="5">
        <v>43885.551875</v>
      </c>
      <c r="B1085" s="7">
        <f t="shared" si="1"/>
        <v>43885</v>
      </c>
      <c r="C1085" s="33" t="s">
        <v>16</v>
      </c>
      <c r="D1085" s="4" t="s">
        <v>21</v>
      </c>
      <c r="E1085" s="4" t="s">
        <v>21</v>
      </c>
      <c r="F1085" s="4">
        <f t="shared" si="2"/>
        <v>9</v>
      </c>
    </row>
    <row r="1086">
      <c r="A1086" s="5">
        <v>43808.348657407405</v>
      </c>
      <c r="B1086" s="7">
        <f t="shared" si="1"/>
        <v>43808</v>
      </c>
      <c r="C1086" s="33" t="s">
        <v>16</v>
      </c>
      <c r="D1086" s="4" t="s">
        <v>21</v>
      </c>
      <c r="E1086" s="4" t="s">
        <v>21</v>
      </c>
      <c r="F1086" s="4">
        <f t="shared" si="2"/>
        <v>50</v>
      </c>
    </row>
    <row r="1087">
      <c r="A1087" s="5">
        <v>43808.36238425926</v>
      </c>
      <c r="B1087" s="7">
        <f t="shared" si="1"/>
        <v>43808</v>
      </c>
      <c r="C1087" s="33" t="s">
        <v>16</v>
      </c>
      <c r="D1087" s="4" t="s">
        <v>21</v>
      </c>
      <c r="E1087" s="4" t="s">
        <v>21</v>
      </c>
      <c r="F1087" s="4">
        <f t="shared" si="2"/>
        <v>50</v>
      </c>
    </row>
    <row r="1088">
      <c r="A1088" s="5">
        <v>43808.38737268518</v>
      </c>
      <c r="B1088" s="7">
        <f t="shared" si="1"/>
        <v>43808</v>
      </c>
      <c r="C1088" s="33" t="s">
        <v>16</v>
      </c>
      <c r="D1088" s="4" t="s">
        <v>21</v>
      </c>
      <c r="E1088" s="4" t="s">
        <v>21</v>
      </c>
      <c r="F1088" s="4">
        <f t="shared" si="2"/>
        <v>50</v>
      </c>
    </row>
    <row r="1089">
      <c r="A1089" s="5">
        <v>43901.420625</v>
      </c>
      <c r="B1089" s="7">
        <f t="shared" si="1"/>
        <v>43901</v>
      </c>
      <c r="C1089" s="33" t="s">
        <v>16</v>
      </c>
      <c r="D1089" s="4" t="s">
        <v>21</v>
      </c>
      <c r="E1089" s="4" t="s">
        <v>21</v>
      </c>
      <c r="F1089" s="4">
        <f t="shared" si="2"/>
        <v>11</v>
      </c>
    </row>
    <row r="1090">
      <c r="A1090" s="5">
        <v>43966.52019675926</v>
      </c>
      <c r="B1090" s="7">
        <f t="shared" si="1"/>
        <v>43966</v>
      </c>
      <c r="C1090" s="33" t="s">
        <v>16</v>
      </c>
      <c r="D1090" s="4" t="s">
        <v>21</v>
      </c>
      <c r="E1090" s="4" t="s">
        <v>21</v>
      </c>
      <c r="F1090" s="4">
        <f t="shared" si="2"/>
        <v>20</v>
      </c>
    </row>
    <row r="1091">
      <c r="A1091" s="5">
        <v>43812.431805555556</v>
      </c>
      <c r="B1091" s="7">
        <f t="shared" si="1"/>
        <v>43812</v>
      </c>
      <c r="C1091" s="33" t="s">
        <v>16</v>
      </c>
      <c r="D1091" s="4" t="s">
        <v>21</v>
      </c>
      <c r="E1091" s="4" t="s">
        <v>21</v>
      </c>
      <c r="F1091" s="4">
        <f t="shared" si="2"/>
        <v>50</v>
      </c>
    </row>
    <row r="1092">
      <c r="A1092" s="5">
        <v>43798.31302083333</v>
      </c>
      <c r="B1092" s="7">
        <f t="shared" si="1"/>
        <v>43798</v>
      </c>
      <c r="C1092" s="33" t="s">
        <v>16</v>
      </c>
      <c r="D1092" s="4" t="s">
        <v>21</v>
      </c>
      <c r="E1092" s="4" t="s">
        <v>21</v>
      </c>
      <c r="F1092" s="4">
        <f t="shared" si="2"/>
        <v>48</v>
      </c>
    </row>
    <row r="1093">
      <c r="A1093" s="5">
        <v>43915.523194444446</v>
      </c>
      <c r="B1093" s="7">
        <f t="shared" si="1"/>
        <v>43915</v>
      </c>
      <c r="C1093" s="33" t="s">
        <v>16</v>
      </c>
      <c r="D1093" s="4" t="s">
        <v>21</v>
      </c>
      <c r="E1093" s="4" t="s">
        <v>21</v>
      </c>
      <c r="F1093" s="4">
        <f t="shared" si="2"/>
        <v>13</v>
      </c>
    </row>
    <row r="1094">
      <c r="A1094" s="5">
        <v>43808.40719907408</v>
      </c>
      <c r="B1094" s="7">
        <f t="shared" si="1"/>
        <v>43808</v>
      </c>
      <c r="C1094" s="33" t="s">
        <v>16</v>
      </c>
      <c r="D1094" s="4" t="s">
        <v>21</v>
      </c>
      <c r="E1094" s="4" t="s">
        <v>21</v>
      </c>
      <c r="F1094" s="4">
        <f t="shared" si="2"/>
        <v>50</v>
      </c>
    </row>
    <row r="1095">
      <c r="A1095" s="5">
        <v>43808.418032407404</v>
      </c>
      <c r="B1095" s="7">
        <f t="shared" si="1"/>
        <v>43808</v>
      </c>
      <c r="C1095" s="33" t="s">
        <v>16</v>
      </c>
      <c r="D1095" s="4" t="s">
        <v>21</v>
      </c>
      <c r="E1095" s="4" t="s">
        <v>21</v>
      </c>
      <c r="F1095" s="4">
        <f t="shared" si="2"/>
        <v>50</v>
      </c>
    </row>
    <row r="1096">
      <c r="A1096" s="5">
        <v>43923.40515046296</v>
      </c>
      <c r="B1096" s="7">
        <f t="shared" si="1"/>
        <v>43923</v>
      </c>
      <c r="C1096" s="33" t="s">
        <v>16</v>
      </c>
      <c r="D1096" s="4" t="s">
        <v>21</v>
      </c>
      <c r="E1096" s="4" t="s">
        <v>21</v>
      </c>
      <c r="F1096" s="4">
        <f t="shared" si="2"/>
        <v>14</v>
      </c>
    </row>
    <row r="1097">
      <c r="A1097" s="5">
        <v>43923.532546296294</v>
      </c>
      <c r="B1097" s="7">
        <f t="shared" si="1"/>
        <v>43923</v>
      </c>
      <c r="C1097" s="33" t="s">
        <v>16</v>
      </c>
      <c r="D1097" s="4" t="s">
        <v>21</v>
      </c>
      <c r="E1097" s="4" t="s">
        <v>21</v>
      </c>
      <c r="F1097" s="4">
        <f t="shared" si="2"/>
        <v>14</v>
      </c>
    </row>
    <row r="1098">
      <c r="A1098" s="5">
        <v>43790.39662037037</v>
      </c>
      <c r="B1098" s="7">
        <f t="shared" si="1"/>
        <v>43790</v>
      </c>
      <c r="C1098" s="33" t="s">
        <v>16</v>
      </c>
      <c r="D1098" s="4" t="s">
        <v>21</v>
      </c>
      <c r="E1098" s="4" t="s">
        <v>21</v>
      </c>
      <c r="F1098" s="4">
        <f t="shared" si="2"/>
        <v>47</v>
      </c>
    </row>
    <row r="1099">
      <c r="A1099" s="5">
        <v>43809.444652777776</v>
      </c>
      <c r="B1099" s="7">
        <f t="shared" si="1"/>
        <v>43809</v>
      </c>
      <c r="C1099" s="33" t="s">
        <v>16</v>
      </c>
      <c r="D1099" s="4" t="s">
        <v>21</v>
      </c>
      <c r="E1099" s="4" t="s">
        <v>21</v>
      </c>
      <c r="F1099" s="4">
        <f t="shared" si="2"/>
        <v>50</v>
      </c>
    </row>
    <row r="1100">
      <c r="A1100" s="5">
        <v>43867.510659722226</v>
      </c>
      <c r="B1100" s="7">
        <f t="shared" si="1"/>
        <v>43867</v>
      </c>
      <c r="C1100" s="33" t="s">
        <v>16</v>
      </c>
      <c r="D1100" s="4" t="s">
        <v>21</v>
      </c>
      <c r="E1100" s="4" t="s">
        <v>21</v>
      </c>
      <c r="F1100" s="4">
        <f t="shared" si="2"/>
        <v>6</v>
      </c>
    </row>
    <row r="1101">
      <c r="A1101" s="5">
        <v>43908.440358796295</v>
      </c>
      <c r="B1101" s="7">
        <f t="shared" si="1"/>
        <v>43908</v>
      </c>
      <c r="C1101" s="33" t="s">
        <v>16</v>
      </c>
      <c r="D1101" s="4" t="s">
        <v>21</v>
      </c>
      <c r="E1101" s="4" t="s">
        <v>21</v>
      </c>
      <c r="F1101" s="4">
        <f t="shared" si="2"/>
        <v>12</v>
      </c>
    </row>
    <row r="1102">
      <c r="A1102" s="5">
        <v>43915.52302083333</v>
      </c>
      <c r="B1102" s="7">
        <f t="shared" si="1"/>
        <v>43915</v>
      </c>
      <c r="C1102" s="33" t="s">
        <v>16</v>
      </c>
      <c r="D1102" s="4" t="s">
        <v>21</v>
      </c>
      <c r="E1102" s="4" t="s">
        <v>21</v>
      </c>
      <c r="F1102" s="4">
        <f t="shared" si="2"/>
        <v>13</v>
      </c>
    </row>
    <row r="1103">
      <c r="A1103" s="5">
        <v>43915.52309027778</v>
      </c>
      <c r="B1103" s="7">
        <f t="shared" si="1"/>
        <v>43915</v>
      </c>
      <c r="C1103" s="33" t="s">
        <v>16</v>
      </c>
      <c r="D1103" s="4" t="s">
        <v>21</v>
      </c>
      <c r="E1103" s="4" t="s">
        <v>21</v>
      </c>
      <c r="F1103" s="4">
        <f t="shared" si="2"/>
        <v>13</v>
      </c>
    </row>
    <row r="1104">
      <c r="A1104" s="5">
        <v>43745.4178125</v>
      </c>
      <c r="B1104" s="7">
        <f t="shared" si="1"/>
        <v>43745</v>
      </c>
      <c r="C1104" s="33" t="s">
        <v>16</v>
      </c>
      <c r="D1104" s="4" t="s">
        <v>21</v>
      </c>
      <c r="E1104" s="4" t="s">
        <v>21</v>
      </c>
      <c r="F1104" s="4">
        <f t="shared" si="2"/>
        <v>41</v>
      </c>
    </row>
    <row r="1105">
      <c r="A1105" s="5">
        <v>43940.076875</v>
      </c>
      <c r="B1105" s="7">
        <f t="shared" si="1"/>
        <v>43940</v>
      </c>
      <c r="C1105" s="33" t="s">
        <v>16</v>
      </c>
      <c r="D1105" s="4" t="s">
        <v>21</v>
      </c>
      <c r="E1105" s="4" t="s">
        <v>21</v>
      </c>
      <c r="F1105" s="4">
        <f t="shared" si="2"/>
        <v>17</v>
      </c>
    </row>
    <row r="1106">
      <c r="A1106" s="5">
        <v>43957.65430555555</v>
      </c>
      <c r="B1106" s="7">
        <f t="shared" si="1"/>
        <v>43957</v>
      </c>
      <c r="C1106" s="33" t="s">
        <v>16</v>
      </c>
      <c r="D1106" s="4" t="s">
        <v>21</v>
      </c>
      <c r="E1106" s="4" t="s">
        <v>21</v>
      </c>
      <c r="F1106" s="4">
        <f t="shared" si="2"/>
        <v>19</v>
      </c>
    </row>
    <row r="1107">
      <c r="A1107" s="5">
        <v>43882.598807870374</v>
      </c>
      <c r="B1107" s="7">
        <f t="shared" si="1"/>
        <v>43882</v>
      </c>
      <c r="C1107" s="33" t="s">
        <v>16</v>
      </c>
      <c r="D1107" s="4" t="s">
        <v>21</v>
      </c>
      <c r="E1107" s="4" t="s">
        <v>21</v>
      </c>
      <c r="F1107" s="4">
        <f t="shared" si="2"/>
        <v>8</v>
      </c>
    </row>
    <row r="1108">
      <c r="A1108" s="5">
        <v>43865.56997685185</v>
      </c>
      <c r="B1108" s="7">
        <f t="shared" si="1"/>
        <v>43865</v>
      </c>
      <c r="C1108" s="33" t="s">
        <v>16</v>
      </c>
      <c r="D1108" s="4" t="s">
        <v>21</v>
      </c>
      <c r="E1108" s="4" t="s">
        <v>21</v>
      </c>
      <c r="F1108" s="4">
        <f t="shared" si="2"/>
        <v>6</v>
      </c>
    </row>
    <row r="1109">
      <c r="A1109" s="5">
        <v>43937.35586805556</v>
      </c>
      <c r="B1109" s="7">
        <f t="shared" si="1"/>
        <v>43937</v>
      </c>
      <c r="C1109" s="33" t="s">
        <v>16</v>
      </c>
      <c r="D1109" s="4" t="s">
        <v>21</v>
      </c>
      <c r="E1109" s="4" t="s">
        <v>21</v>
      </c>
      <c r="F1109" s="4">
        <f t="shared" si="2"/>
        <v>16</v>
      </c>
    </row>
    <row r="1110">
      <c r="A1110" s="5">
        <v>43857.67412037037</v>
      </c>
      <c r="B1110" s="7">
        <f t="shared" si="1"/>
        <v>43857</v>
      </c>
      <c r="C1110" s="33" t="s">
        <v>16</v>
      </c>
      <c r="D1110" s="4" t="s">
        <v>21</v>
      </c>
      <c r="E1110" s="4" t="s">
        <v>23</v>
      </c>
      <c r="F1110" s="4">
        <f t="shared" si="2"/>
        <v>5</v>
      </c>
    </row>
    <row r="1111">
      <c r="A1111" s="5">
        <v>43888.70208333333</v>
      </c>
      <c r="B1111" s="7">
        <f t="shared" si="1"/>
        <v>43888</v>
      </c>
      <c r="C1111" s="33" t="s">
        <v>16</v>
      </c>
      <c r="D1111" s="4" t="s">
        <v>21</v>
      </c>
      <c r="E1111" s="4" t="s">
        <v>21</v>
      </c>
      <c r="F1111" s="4">
        <f t="shared" si="2"/>
        <v>9</v>
      </c>
    </row>
    <row r="1112">
      <c r="A1112" s="5">
        <v>43888.717002314814</v>
      </c>
      <c r="B1112" s="7">
        <f t="shared" si="1"/>
        <v>43888</v>
      </c>
      <c r="C1112" s="33" t="s">
        <v>16</v>
      </c>
      <c r="D1112" s="4" t="s">
        <v>21</v>
      </c>
      <c r="E1112" s="4" t="s">
        <v>21</v>
      </c>
      <c r="F1112" s="4">
        <f t="shared" si="2"/>
        <v>9</v>
      </c>
    </row>
    <row r="1113">
      <c r="A1113" s="5">
        <v>43910.299722222226</v>
      </c>
      <c r="B1113" s="7">
        <f t="shared" si="1"/>
        <v>43910</v>
      </c>
      <c r="C1113" s="33" t="s">
        <v>16</v>
      </c>
      <c r="D1113" s="4" t="s">
        <v>21</v>
      </c>
      <c r="E1113" s="4" t="s">
        <v>21</v>
      </c>
      <c r="F1113" s="4">
        <f t="shared" si="2"/>
        <v>12</v>
      </c>
    </row>
    <row r="1114">
      <c r="A1114" s="5">
        <v>43924.37825231482</v>
      </c>
      <c r="B1114" s="7">
        <f t="shared" si="1"/>
        <v>43924</v>
      </c>
      <c r="C1114" s="33" t="s">
        <v>16</v>
      </c>
      <c r="D1114" s="4" t="s">
        <v>21</v>
      </c>
      <c r="E1114" s="4" t="s">
        <v>21</v>
      </c>
      <c r="F1114" s="4">
        <f t="shared" si="2"/>
        <v>14</v>
      </c>
    </row>
    <row r="1115">
      <c r="A1115" s="5">
        <v>43987.28575231481</v>
      </c>
      <c r="B1115" s="7">
        <f t="shared" si="1"/>
        <v>43987</v>
      </c>
      <c r="C1115" s="33" t="s">
        <v>16</v>
      </c>
      <c r="D1115" s="4" t="s">
        <v>21</v>
      </c>
      <c r="E1115" s="4" t="s">
        <v>21</v>
      </c>
      <c r="F1115" s="4">
        <f t="shared" si="2"/>
        <v>23</v>
      </c>
    </row>
    <row r="1116">
      <c r="A1116" s="5">
        <v>43850.826875</v>
      </c>
      <c r="B1116" s="7">
        <f t="shared" si="1"/>
        <v>43850</v>
      </c>
      <c r="C1116" s="33" t="s">
        <v>16</v>
      </c>
      <c r="D1116" s="4" t="s">
        <v>21</v>
      </c>
      <c r="E1116" s="4" t="s">
        <v>21</v>
      </c>
      <c r="F1116" s="4">
        <f t="shared" si="2"/>
        <v>4</v>
      </c>
    </row>
    <row r="1117">
      <c r="A1117" s="5">
        <v>43887.963113425925</v>
      </c>
      <c r="B1117" s="7">
        <f t="shared" si="1"/>
        <v>43887</v>
      </c>
      <c r="C1117" s="33" t="s">
        <v>16</v>
      </c>
      <c r="D1117" s="4" t="s">
        <v>21</v>
      </c>
      <c r="E1117" s="4" t="s">
        <v>21</v>
      </c>
      <c r="F1117" s="4">
        <f t="shared" si="2"/>
        <v>9</v>
      </c>
    </row>
    <row r="1118">
      <c r="A1118" s="5">
        <v>43938.486712962964</v>
      </c>
      <c r="B1118" s="7">
        <f t="shared" si="1"/>
        <v>43938</v>
      </c>
      <c r="C1118" s="33" t="s">
        <v>16</v>
      </c>
      <c r="D1118" s="4" t="s">
        <v>21</v>
      </c>
      <c r="E1118" s="4" t="s">
        <v>21</v>
      </c>
      <c r="F1118" s="4">
        <f t="shared" si="2"/>
        <v>16</v>
      </c>
    </row>
    <row r="1119">
      <c r="A1119" s="5">
        <v>43784.57340277778</v>
      </c>
      <c r="B1119" s="7">
        <f t="shared" si="1"/>
        <v>43784</v>
      </c>
      <c r="C1119" s="33" t="s">
        <v>16</v>
      </c>
      <c r="D1119" s="4" t="s">
        <v>21</v>
      </c>
      <c r="E1119" s="4" t="s">
        <v>21</v>
      </c>
      <c r="F1119" s="4">
        <f t="shared" si="2"/>
        <v>46</v>
      </c>
    </row>
    <row r="1120">
      <c r="A1120" s="5">
        <v>43809.40665509259</v>
      </c>
      <c r="B1120" s="7">
        <f t="shared" si="1"/>
        <v>43809</v>
      </c>
      <c r="C1120" s="33" t="s">
        <v>16</v>
      </c>
      <c r="D1120" s="4" t="s">
        <v>21</v>
      </c>
      <c r="E1120" s="4" t="s">
        <v>21</v>
      </c>
      <c r="F1120" s="4">
        <f t="shared" si="2"/>
        <v>50</v>
      </c>
    </row>
    <row r="1121">
      <c r="A1121" s="5">
        <v>43889.38416666666</v>
      </c>
      <c r="B1121" s="7">
        <f t="shared" si="1"/>
        <v>43889</v>
      </c>
      <c r="C1121" s="33" t="s">
        <v>16</v>
      </c>
      <c r="D1121" s="4" t="s">
        <v>21</v>
      </c>
      <c r="E1121" s="4" t="s">
        <v>21</v>
      </c>
      <c r="F1121" s="4">
        <f t="shared" si="2"/>
        <v>9</v>
      </c>
    </row>
    <row r="1122">
      <c r="A1122" s="5">
        <v>43901.44474537037</v>
      </c>
      <c r="B1122" s="7">
        <f t="shared" si="1"/>
        <v>43901</v>
      </c>
      <c r="C1122" s="33" t="s">
        <v>16</v>
      </c>
      <c r="D1122" s="4" t="s">
        <v>21</v>
      </c>
      <c r="E1122" s="4" t="s">
        <v>21</v>
      </c>
      <c r="F1122" s="4">
        <f t="shared" si="2"/>
        <v>11</v>
      </c>
    </row>
    <row r="1123">
      <c r="A1123" s="5">
        <v>43901.45857638889</v>
      </c>
      <c r="B1123" s="7">
        <f t="shared" si="1"/>
        <v>43901</v>
      </c>
      <c r="C1123" s="33" t="s">
        <v>16</v>
      </c>
      <c r="D1123" s="4" t="s">
        <v>21</v>
      </c>
      <c r="E1123" s="4" t="s">
        <v>21</v>
      </c>
      <c r="F1123" s="4">
        <f t="shared" si="2"/>
        <v>11</v>
      </c>
    </row>
    <row r="1124">
      <c r="A1124" s="5">
        <v>43969.45920138889</v>
      </c>
      <c r="B1124" s="7">
        <f t="shared" si="1"/>
        <v>43969</v>
      </c>
      <c r="C1124" s="33" t="s">
        <v>16</v>
      </c>
      <c r="D1124" s="4" t="s">
        <v>21</v>
      </c>
      <c r="E1124" s="4" t="s">
        <v>21</v>
      </c>
      <c r="F1124" s="4">
        <f t="shared" si="2"/>
        <v>21</v>
      </c>
    </row>
    <row r="1125">
      <c r="A1125" s="5">
        <v>43738.45159722222</v>
      </c>
      <c r="B1125" s="7">
        <f t="shared" si="1"/>
        <v>43738</v>
      </c>
      <c r="C1125" s="33" t="s">
        <v>16</v>
      </c>
      <c r="D1125" s="4" t="s">
        <v>21</v>
      </c>
      <c r="E1125" s="4" t="s">
        <v>21</v>
      </c>
      <c r="F1125" s="4">
        <f t="shared" si="2"/>
        <v>40</v>
      </c>
    </row>
    <row r="1126">
      <c r="A1126" s="5">
        <v>43851.64325231482</v>
      </c>
      <c r="B1126" s="7">
        <f t="shared" si="1"/>
        <v>43851</v>
      </c>
      <c r="C1126" s="33" t="s">
        <v>16</v>
      </c>
      <c r="D1126" s="4" t="s">
        <v>21</v>
      </c>
      <c r="E1126" s="4" t="s">
        <v>21</v>
      </c>
      <c r="F1126" s="4">
        <f t="shared" si="2"/>
        <v>4</v>
      </c>
    </row>
    <row r="1127">
      <c r="A1127" s="5">
        <v>43857.76594907408</v>
      </c>
      <c r="B1127" s="7">
        <f t="shared" si="1"/>
        <v>43857</v>
      </c>
      <c r="C1127" s="33" t="s">
        <v>16</v>
      </c>
      <c r="D1127" s="4" t="s">
        <v>21</v>
      </c>
      <c r="E1127" s="4" t="s">
        <v>23</v>
      </c>
      <c r="F1127" s="4">
        <f t="shared" si="2"/>
        <v>5</v>
      </c>
    </row>
    <row r="1128">
      <c r="A1128" s="5">
        <v>43990.56857638889</v>
      </c>
      <c r="B1128" s="7">
        <f t="shared" si="1"/>
        <v>43990</v>
      </c>
      <c r="C1128" s="33" t="s">
        <v>16</v>
      </c>
      <c r="D1128" s="4" t="s">
        <v>21</v>
      </c>
      <c r="E1128" s="4" t="s">
        <v>21</v>
      </c>
      <c r="F1128" s="4">
        <f t="shared" si="2"/>
        <v>24</v>
      </c>
    </row>
    <row r="1129">
      <c r="A1129" s="5">
        <v>43882.6628125</v>
      </c>
      <c r="B1129" s="7">
        <f t="shared" si="1"/>
        <v>43882</v>
      </c>
      <c r="C1129" s="33" t="s">
        <v>16</v>
      </c>
      <c r="D1129" s="4" t="s">
        <v>21</v>
      </c>
      <c r="E1129" s="4" t="s">
        <v>21</v>
      </c>
      <c r="F1129" s="4">
        <f t="shared" si="2"/>
        <v>8</v>
      </c>
    </row>
    <row r="1130">
      <c r="A1130" s="5">
        <v>43892.43125</v>
      </c>
      <c r="B1130" s="7">
        <f t="shared" si="1"/>
        <v>43892</v>
      </c>
      <c r="C1130" s="33" t="s">
        <v>16</v>
      </c>
      <c r="D1130" s="4" t="s">
        <v>21</v>
      </c>
      <c r="E1130" s="4" t="s">
        <v>21</v>
      </c>
      <c r="F1130" s="4">
        <f t="shared" si="2"/>
        <v>10</v>
      </c>
    </row>
    <row r="1131">
      <c r="A1131" s="5">
        <v>43990.330983796295</v>
      </c>
      <c r="B1131" s="7">
        <f t="shared" si="1"/>
        <v>43990</v>
      </c>
      <c r="C1131" s="33" t="s">
        <v>16</v>
      </c>
      <c r="D1131" s="4" t="s">
        <v>21</v>
      </c>
      <c r="E1131" s="4" t="s">
        <v>21</v>
      </c>
      <c r="F1131" s="4">
        <f t="shared" si="2"/>
        <v>24</v>
      </c>
    </row>
    <row r="1132">
      <c r="A1132" s="5">
        <v>43804.55626157407</v>
      </c>
      <c r="B1132" s="7">
        <f t="shared" si="1"/>
        <v>43804</v>
      </c>
      <c r="C1132" s="33" t="s">
        <v>16</v>
      </c>
      <c r="D1132" s="4" t="s">
        <v>21</v>
      </c>
      <c r="E1132" s="4" t="s">
        <v>21</v>
      </c>
      <c r="F1132" s="4">
        <f t="shared" si="2"/>
        <v>49</v>
      </c>
    </row>
    <row r="1133">
      <c r="A1133" s="5">
        <v>43993.48841435185</v>
      </c>
      <c r="B1133" s="7">
        <f t="shared" si="1"/>
        <v>43993</v>
      </c>
      <c r="C1133" s="33" t="s">
        <v>16</v>
      </c>
      <c r="D1133" s="4" t="s">
        <v>21</v>
      </c>
      <c r="E1133" s="4" t="s">
        <v>21</v>
      </c>
      <c r="F1133" s="4">
        <f t="shared" si="2"/>
        <v>24</v>
      </c>
    </row>
    <row r="1134">
      <c r="A1134" s="5">
        <v>43867.566469907404</v>
      </c>
      <c r="B1134" s="7">
        <f t="shared" si="1"/>
        <v>43867</v>
      </c>
      <c r="C1134" s="33" t="s">
        <v>16</v>
      </c>
      <c r="D1134" s="4" t="s">
        <v>21</v>
      </c>
      <c r="E1134" s="4" t="s">
        <v>21</v>
      </c>
      <c r="F1134" s="4">
        <f t="shared" si="2"/>
        <v>6</v>
      </c>
    </row>
    <row r="1135">
      <c r="A1135" s="5">
        <v>43957.90268518519</v>
      </c>
      <c r="B1135" s="7">
        <f t="shared" si="1"/>
        <v>43957</v>
      </c>
      <c r="C1135" s="33" t="s">
        <v>16</v>
      </c>
      <c r="D1135" s="4" t="s">
        <v>21</v>
      </c>
      <c r="E1135" s="4" t="s">
        <v>21</v>
      </c>
      <c r="F1135" s="4">
        <f t="shared" si="2"/>
        <v>19</v>
      </c>
    </row>
    <row r="1136">
      <c r="A1136" s="5">
        <v>43805.35621527778</v>
      </c>
      <c r="B1136" s="7">
        <f t="shared" si="1"/>
        <v>43805</v>
      </c>
      <c r="C1136" s="33" t="s">
        <v>16</v>
      </c>
      <c r="D1136" s="4" t="s">
        <v>21</v>
      </c>
      <c r="E1136" s="4" t="s">
        <v>21</v>
      </c>
      <c r="F1136" s="4">
        <f t="shared" si="2"/>
        <v>49</v>
      </c>
    </row>
    <row r="1137">
      <c r="A1137" s="5">
        <v>43805.45410879629</v>
      </c>
      <c r="B1137" s="7">
        <f t="shared" si="1"/>
        <v>43805</v>
      </c>
      <c r="C1137" s="33" t="s">
        <v>16</v>
      </c>
      <c r="D1137" s="4" t="s">
        <v>21</v>
      </c>
      <c r="E1137" s="4" t="s">
        <v>21</v>
      </c>
      <c r="F1137" s="4">
        <f t="shared" si="2"/>
        <v>49</v>
      </c>
    </row>
    <row r="1138">
      <c r="A1138" s="5">
        <v>43816.34820601852</v>
      </c>
      <c r="B1138" s="7">
        <f t="shared" si="1"/>
        <v>43816</v>
      </c>
      <c r="C1138" s="33" t="s">
        <v>16</v>
      </c>
      <c r="D1138" s="4" t="s">
        <v>21</v>
      </c>
      <c r="E1138" s="4" t="s">
        <v>21</v>
      </c>
      <c r="F1138" s="4">
        <f t="shared" si="2"/>
        <v>51</v>
      </c>
    </row>
    <row r="1139">
      <c r="A1139" s="5">
        <v>43852.39550925926</v>
      </c>
      <c r="B1139" s="7">
        <f t="shared" si="1"/>
        <v>43852</v>
      </c>
      <c r="C1139" s="33" t="s">
        <v>16</v>
      </c>
      <c r="D1139" s="4" t="s">
        <v>21</v>
      </c>
      <c r="E1139" s="4" t="s">
        <v>21</v>
      </c>
      <c r="F1139" s="4">
        <f t="shared" si="2"/>
        <v>4</v>
      </c>
    </row>
    <row r="1140">
      <c r="A1140" s="5">
        <v>43938.125127314815</v>
      </c>
      <c r="B1140" s="7">
        <f t="shared" si="1"/>
        <v>43938</v>
      </c>
      <c r="C1140" s="33" t="s">
        <v>16</v>
      </c>
      <c r="D1140" s="4" t="s">
        <v>21</v>
      </c>
      <c r="E1140" s="4" t="s">
        <v>21</v>
      </c>
      <c r="F1140" s="4">
        <f t="shared" si="2"/>
        <v>16</v>
      </c>
    </row>
    <row r="1141">
      <c r="A1141" s="5">
        <v>43997.550787037035</v>
      </c>
      <c r="B1141" s="7">
        <f t="shared" si="1"/>
        <v>43997</v>
      </c>
      <c r="C1141" s="33" t="s">
        <v>16</v>
      </c>
      <c r="D1141" s="4" t="s">
        <v>21</v>
      </c>
      <c r="E1141" s="4" t="s">
        <v>21</v>
      </c>
      <c r="F1141" s="4">
        <f t="shared" si="2"/>
        <v>25</v>
      </c>
    </row>
    <row r="1142">
      <c r="A1142" s="5">
        <v>43997.56518518519</v>
      </c>
      <c r="B1142" s="7">
        <f t="shared" si="1"/>
        <v>43997</v>
      </c>
      <c r="C1142" s="33" t="s">
        <v>16</v>
      </c>
      <c r="D1142" s="4" t="s">
        <v>21</v>
      </c>
      <c r="E1142" s="4" t="s">
        <v>21</v>
      </c>
      <c r="F1142" s="4">
        <f t="shared" si="2"/>
        <v>25</v>
      </c>
    </row>
    <row r="1143">
      <c r="A1143" s="5">
        <v>43993.456828703704</v>
      </c>
      <c r="B1143" s="7">
        <f t="shared" si="1"/>
        <v>43993</v>
      </c>
      <c r="C1143" s="33" t="s">
        <v>16</v>
      </c>
      <c r="D1143" s="4" t="s">
        <v>21</v>
      </c>
      <c r="E1143" s="4" t="s">
        <v>21</v>
      </c>
      <c r="F1143" s="4">
        <f t="shared" si="2"/>
        <v>24</v>
      </c>
    </row>
    <row r="1144">
      <c r="A1144" s="5">
        <v>43893.692777777775</v>
      </c>
      <c r="B1144" s="7">
        <f t="shared" si="1"/>
        <v>43893</v>
      </c>
      <c r="C1144" s="33" t="s">
        <v>16</v>
      </c>
      <c r="D1144" s="4" t="s">
        <v>21</v>
      </c>
      <c r="E1144" s="4" t="s">
        <v>21</v>
      </c>
      <c r="F1144" s="4">
        <f t="shared" si="2"/>
        <v>10</v>
      </c>
    </row>
    <row r="1145">
      <c r="A1145" s="5">
        <v>43801.67894675926</v>
      </c>
      <c r="B1145" s="7">
        <f t="shared" si="1"/>
        <v>43801</v>
      </c>
      <c r="C1145" s="33" t="s">
        <v>16</v>
      </c>
      <c r="D1145" s="4" t="s">
        <v>21</v>
      </c>
      <c r="E1145" s="4" t="s">
        <v>21</v>
      </c>
      <c r="F1145" s="4">
        <f t="shared" si="2"/>
        <v>49</v>
      </c>
    </row>
    <row r="1146">
      <c r="A1146" s="5">
        <v>43873.55535879629</v>
      </c>
      <c r="B1146" s="7">
        <f t="shared" si="1"/>
        <v>43873</v>
      </c>
      <c r="C1146" s="33" t="s">
        <v>16</v>
      </c>
      <c r="D1146" s="4" t="s">
        <v>21</v>
      </c>
      <c r="E1146" s="4" t="s">
        <v>21</v>
      </c>
      <c r="F1146" s="4">
        <f t="shared" si="2"/>
        <v>7</v>
      </c>
    </row>
    <row r="1147">
      <c r="A1147" s="5">
        <v>43738.417083333334</v>
      </c>
      <c r="B1147" s="7">
        <f t="shared" si="1"/>
        <v>43738</v>
      </c>
      <c r="C1147" s="33" t="s">
        <v>16</v>
      </c>
      <c r="D1147" s="4" t="s">
        <v>21</v>
      </c>
      <c r="E1147" s="4" t="s">
        <v>21</v>
      </c>
      <c r="F1147" s="4">
        <f t="shared" si="2"/>
        <v>40</v>
      </c>
    </row>
    <row r="1148">
      <c r="A1148" s="5">
        <v>43882.59894675926</v>
      </c>
      <c r="B1148" s="7">
        <f t="shared" si="1"/>
        <v>43882</v>
      </c>
      <c r="C1148" s="33" t="s">
        <v>16</v>
      </c>
      <c r="D1148" s="4" t="s">
        <v>21</v>
      </c>
      <c r="E1148" s="4" t="s">
        <v>21</v>
      </c>
      <c r="F1148" s="4">
        <f t="shared" si="2"/>
        <v>8</v>
      </c>
    </row>
    <row r="1149">
      <c r="A1149" s="5">
        <v>43752.51195601852</v>
      </c>
      <c r="B1149" s="7">
        <f t="shared" si="1"/>
        <v>43752</v>
      </c>
      <c r="C1149" s="33" t="s">
        <v>16</v>
      </c>
      <c r="D1149" s="4" t="s">
        <v>21</v>
      </c>
      <c r="E1149" s="4" t="s">
        <v>21</v>
      </c>
      <c r="F1149" s="4">
        <f t="shared" si="2"/>
        <v>42</v>
      </c>
    </row>
    <row r="1150">
      <c r="A1150" s="5">
        <v>43752.7178125</v>
      </c>
      <c r="B1150" s="7">
        <f t="shared" si="1"/>
        <v>43752</v>
      </c>
      <c r="C1150" s="33" t="s">
        <v>16</v>
      </c>
      <c r="D1150" s="4" t="s">
        <v>21</v>
      </c>
      <c r="E1150" s="4" t="s">
        <v>21</v>
      </c>
      <c r="F1150" s="4">
        <f t="shared" si="2"/>
        <v>42</v>
      </c>
    </row>
    <row r="1151">
      <c r="A1151" s="5">
        <v>43752.71789351852</v>
      </c>
      <c r="B1151" s="7">
        <f t="shared" si="1"/>
        <v>43752</v>
      </c>
      <c r="C1151" s="33" t="s">
        <v>16</v>
      </c>
      <c r="D1151" s="4" t="s">
        <v>21</v>
      </c>
      <c r="E1151" s="4" t="s">
        <v>21</v>
      </c>
      <c r="F1151" s="4">
        <f t="shared" si="2"/>
        <v>42</v>
      </c>
    </row>
    <row r="1152">
      <c r="A1152" s="5">
        <v>43752.71800925926</v>
      </c>
      <c r="B1152" s="7">
        <f t="shared" si="1"/>
        <v>43752</v>
      </c>
      <c r="C1152" s="33" t="s">
        <v>16</v>
      </c>
      <c r="D1152" s="4" t="s">
        <v>21</v>
      </c>
      <c r="E1152" s="4" t="s">
        <v>21</v>
      </c>
      <c r="F1152" s="4">
        <f t="shared" si="2"/>
        <v>42</v>
      </c>
    </row>
    <row r="1153">
      <c r="A1153" s="5">
        <v>43752.72039351852</v>
      </c>
      <c r="B1153" s="7">
        <f t="shared" si="1"/>
        <v>43752</v>
      </c>
      <c r="C1153" s="33" t="s">
        <v>16</v>
      </c>
      <c r="D1153" s="4" t="s">
        <v>21</v>
      </c>
      <c r="E1153" s="4" t="s">
        <v>21</v>
      </c>
      <c r="F1153" s="4">
        <f t="shared" si="2"/>
        <v>42</v>
      </c>
    </row>
    <row r="1154">
      <c r="A1154" s="5">
        <v>43752.7912037037</v>
      </c>
      <c r="B1154" s="7">
        <f t="shared" si="1"/>
        <v>43752</v>
      </c>
      <c r="C1154" s="33" t="s">
        <v>16</v>
      </c>
      <c r="D1154" s="4" t="s">
        <v>21</v>
      </c>
      <c r="E1154" s="4" t="s">
        <v>21</v>
      </c>
      <c r="F1154" s="4">
        <f t="shared" si="2"/>
        <v>42</v>
      </c>
    </row>
    <row r="1155">
      <c r="A1155" s="5">
        <v>43752.791284722225</v>
      </c>
      <c r="B1155" s="7">
        <f t="shared" si="1"/>
        <v>43752</v>
      </c>
      <c r="C1155" s="33" t="s">
        <v>16</v>
      </c>
      <c r="D1155" s="4" t="s">
        <v>21</v>
      </c>
      <c r="E1155" s="4" t="s">
        <v>21</v>
      </c>
      <c r="F1155" s="4">
        <f t="shared" si="2"/>
        <v>42</v>
      </c>
    </row>
    <row r="1156">
      <c r="A1156" s="5">
        <v>43752.79138888889</v>
      </c>
      <c r="B1156" s="7">
        <f t="shared" si="1"/>
        <v>43752</v>
      </c>
      <c r="C1156" s="33" t="s">
        <v>16</v>
      </c>
      <c r="D1156" s="4" t="s">
        <v>21</v>
      </c>
      <c r="E1156" s="4" t="s">
        <v>21</v>
      </c>
      <c r="F1156" s="4">
        <f t="shared" si="2"/>
        <v>42</v>
      </c>
    </row>
    <row r="1157">
      <c r="A1157" s="5">
        <v>43752.79145833333</v>
      </c>
      <c r="B1157" s="7">
        <f t="shared" si="1"/>
        <v>43752</v>
      </c>
      <c r="C1157" s="33" t="s">
        <v>16</v>
      </c>
      <c r="D1157" s="4" t="s">
        <v>21</v>
      </c>
      <c r="E1157" s="4" t="s">
        <v>21</v>
      </c>
      <c r="F1157" s="4">
        <f t="shared" si="2"/>
        <v>42</v>
      </c>
    </row>
    <row r="1158">
      <c r="A1158" s="5">
        <v>43802.31076388889</v>
      </c>
      <c r="B1158" s="7">
        <f t="shared" si="1"/>
        <v>43802</v>
      </c>
      <c r="C1158" s="33" t="s">
        <v>16</v>
      </c>
      <c r="D1158" s="4" t="s">
        <v>21</v>
      </c>
      <c r="E1158" s="4" t="s">
        <v>21</v>
      </c>
      <c r="F1158" s="4">
        <f t="shared" si="2"/>
        <v>49</v>
      </c>
    </row>
    <row r="1159">
      <c r="A1159" s="5">
        <v>43805.369467592594</v>
      </c>
      <c r="B1159" s="7">
        <f t="shared" si="1"/>
        <v>43805</v>
      </c>
      <c r="C1159" s="33" t="s">
        <v>16</v>
      </c>
      <c r="D1159" s="4" t="s">
        <v>21</v>
      </c>
      <c r="E1159" s="4" t="s">
        <v>21</v>
      </c>
      <c r="F1159" s="4">
        <f t="shared" si="2"/>
        <v>49</v>
      </c>
    </row>
    <row r="1160">
      <c r="A1160" s="5">
        <v>43879.43226851852</v>
      </c>
      <c r="B1160" s="7">
        <f t="shared" si="1"/>
        <v>43879</v>
      </c>
      <c r="C1160" s="33" t="s">
        <v>16</v>
      </c>
      <c r="D1160" s="4" t="s">
        <v>21</v>
      </c>
      <c r="E1160" s="4" t="s">
        <v>21</v>
      </c>
      <c r="F1160" s="4">
        <f t="shared" si="2"/>
        <v>8</v>
      </c>
    </row>
    <row r="1161">
      <c r="A1161" s="5">
        <v>43881.568449074075</v>
      </c>
      <c r="B1161" s="7">
        <f t="shared" si="1"/>
        <v>43881</v>
      </c>
      <c r="C1161" s="33" t="s">
        <v>16</v>
      </c>
      <c r="D1161" s="4" t="s">
        <v>21</v>
      </c>
      <c r="E1161" s="4" t="s">
        <v>21</v>
      </c>
      <c r="F1161" s="4">
        <f t="shared" si="2"/>
        <v>8</v>
      </c>
    </row>
    <row r="1162">
      <c r="A1162" s="5">
        <v>43905.52693287037</v>
      </c>
      <c r="B1162" s="7">
        <f t="shared" si="1"/>
        <v>43905</v>
      </c>
      <c r="C1162" s="33" t="s">
        <v>16</v>
      </c>
      <c r="D1162" s="4" t="s">
        <v>21</v>
      </c>
      <c r="E1162" s="4" t="s">
        <v>21</v>
      </c>
      <c r="F1162" s="4">
        <f t="shared" si="2"/>
        <v>12</v>
      </c>
    </row>
    <row r="1163">
      <c r="A1163" s="5">
        <v>43905.52701388889</v>
      </c>
      <c r="B1163" s="7">
        <f t="shared" si="1"/>
        <v>43905</v>
      </c>
      <c r="C1163" s="33" t="s">
        <v>16</v>
      </c>
      <c r="D1163" s="4" t="s">
        <v>21</v>
      </c>
      <c r="E1163" s="4" t="s">
        <v>21</v>
      </c>
      <c r="F1163" s="4">
        <f t="shared" si="2"/>
        <v>12</v>
      </c>
    </row>
    <row r="1164">
      <c r="A1164" s="5">
        <v>43905.52715277778</v>
      </c>
      <c r="B1164" s="7">
        <f t="shared" si="1"/>
        <v>43905</v>
      </c>
      <c r="C1164" s="33" t="s">
        <v>16</v>
      </c>
      <c r="D1164" s="4" t="s">
        <v>21</v>
      </c>
      <c r="E1164" s="4" t="s">
        <v>21</v>
      </c>
      <c r="F1164" s="4">
        <f t="shared" si="2"/>
        <v>12</v>
      </c>
    </row>
    <row r="1165">
      <c r="A1165" s="5">
        <v>43978.43751157408</v>
      </c>
      <c r="B1165" s="7">
        <f t="shared" si="1"/>
        <v>43978</v>
      </c>
      <c r="C1165" s="33" t="s">
        <v>16</v>
      </c>
      <c r="D1165" s="4" t="s">
        <v>21</v>
      </c>
      <c r="E1165" s="4" t="s">
        <v>21</v>
      </c>
      <c r="F1165" s="4">
        <f t="shared" si="2"/>
        <v>22</v>
      </c>
    </row>
    <row r="1166">
      <c r="A1166" s="5">
        <v>43978.43923611111</v>
      </c>
      <c r="B1166" s="7">
        <f t="shared" si="1"/>
        <v>43978</v>
      </c>
      <c r="C1166" s="33" t="s">
        <v>16</v>
      </c>
      <c r="D1166" s="4" t="s">
        <v>21</v>
      </c>
      <c r="E1166" s="4" t="s">
        <v>21</v>
      </c>
      <c r="F1166" s="4">
        <f t="shared" si="2"/>
        <v>22</v>
      </c>
    </row>
    <row r="1167">
      <c r="A1167" s="5">
        <v>43818.244166666664</v>
      </c>
      <c r="B1167" s="7">
        <f t="shared" si="1"/>
        <v>43818</v>
      </c>
      <c r="C1167" s="33" t="s">
        <v>16</v>
      </c>
      <c r="D1167" s="4" t="s">
        <v>21</v>
      </c>
      <c r="E1167" s="4" t="s">
        <v>21</v>
      </c>
      <c r="F1167" s="4">
        <f t="shared" si="2"/>
        <v>51</v>
      </c>
    </row>
    <row r="1168">
      <c r="A1168" s="5">
        <v>43964.27559027778</v>
      </c>
      <c r="B1168" s="7">
        <f t="shared" si="1"/>
        <v>43964</v>
      </c>
      <c r="C1168" s="33" t="s">
        <v>16</v>
      </c>
      <c r="D1168" s="4" t="s">
        <v>21</v>
      </c>
      <c r="E1168" s="4" t="s">
        <v>21</v>
      </c>
      <c r="F1168" s="4">
        <f t="shared" si="2"/>
        <v>20</v>
      </c>
    </row>
    <row r="1169">
      <c r="A1169" s="5">
        <v>43866.05005787037</v>
      </c>
      <c r="B1169" s="7">
        <f t="shared" si="1"/>
        <v>43866</v>
      </c>
      <c r="C1169" s="33" t="s">
        <v>16</v>
      </c>
      <c r="D1169" s="4" t="s">
        <v>21</v>
      </c>
      <c r="E1169" s="4" t="s">
        <v>21</v>
      </c>
      <c r="F1169" s="4">
        <f t="shared" si="2"/>
        <v>6</v>
      </c>
    </row>
    <row r="1170">
      <c r="A1170" s="5">
        <v>43877.58059027778</v>
      </c>
      <c r="B1170" s="7">
        <f t="shared" si="1"/>
        <v>43877</v>
      </c>
      <c r="C1170" s="33" t="s">
        <v>16</v>
      </c>
      <c r="D1170" s="4" t="s">
        <v>21</v>
      </c>
      <c r="E1170" s="4" t="s">
        <v>21</v>
      </c>
      <c r="F1170" s="4">
        <f t="shared" si="2"/>
        <v>8</v>
      </c>
    </row>
    <row r="1171">
      <c r="A1171" s="5">
        <v>43936.04782407408</v>
      </c>
      <c r="B1171" s="7">
        <f t="shared" si="1"/>
        <v>43936</v>
      </c>
      <c r="C1171" s="33" t="s">
        <v>16</v>
      </c>
      <c r="D1171" s="4" t="s">
        <v>21</v>
      </c>
      <c r="E1171" s="4" t="s">
        <v>21</v>
      </c>
      <c r="F1171" s="4">
        <f t="shared" si="2"/>
        <v>16</v>
      </c>
    </row>
    <row r="1172">
      <c r="A1172" s="5">
        <v>43955.53417824074</v>
      </c>
      <c r="B1172" s="7">
        <f t="shared" si="1"/>
        <v>43955</v>
      </c>
      <c r="C1172" s="33" t="s">
        <v>16</v>
      </c>
      <c r="D1172" s="4" t="s">
        <v>21</v>
      </c>
      <c r="E1172" s="4" t="s">
        <v>21</v>
      </c>
      <c r="F1172" s="4">
        <f t="shared" si="2"/>
        <v>19</v>
      </c>
    </row>
    <row r="1173">
      <c r="A1173" s="5">
        <v>43951.332291666666</v>
      </c>
      <c r="B1173" s="7">
        <f t="shared" si="1"/>
        <v>43951</v>
      </c>
      <c r="C1173" s="33" t="s">
        <v>16</v>
      </c>
      <c r="D1173" s="4" t="s">
        <v>21</v>
      </c>
      <c r="E1173" s="4" t="s">
        <v>21</v>
      </c>
      <c r="F1173" s="4">
        <f t="shared" si="2"/>
        <v>18</v>
      </c>
    </row>
    <row r="1174">
      <c r="A1174" s="5">
        <v>43969.472905092596</v>
      </c>
      <c r="B1174" s="7">
        <f t="shared" si="1"/>
        <v>43969</v>
      </c>
      <c r="C1174" s="33" t="s">
        <v>16</v>
      </c>
      <c r="D1174" s="4" t="s">
        <v>21</v>
      </c>
      <c r="E1174" s="4" t="s">
        <v>21</v>
      </c>
      <c r="F1174" s="4">
        <f t="shared" si="2"/>
        <v>21</v>
      </c>
    </row>
    <row r="1175">
      <c r="A1175" s="5">
        <v>43999.50534722222</v>
      </c>
      <c r="B1175" s="7">
        <f t="shared" si="1"/>
        <v>43999</v>
      </c>
      <c r="C1175" s="33" t="s">
        <v>16</v>
      </c>
      <c r="D1175" s="4" t="s">
        <v>21</v>
      </c>
      <c r="E1175" s="4" t="s">
        <v>21</v>
      </c>
      <c r="F1175" s="4">
        <f t="shared" si="2"/>
        <v>25</v>
      </c>
    </row>
    <row r="1176">
      <c r="A1176" s="5">
        <v>43707.76163194444</v>
      </c>
      <c r="B1176" s="7">
        <f t="shared" si="1"/>
        <v>43707</v>
      </c>
      <c r="C1176" s="33" t="s">
        <v>16</v>
      </c>
      <c r="D1176" s="4" t="s">
        <v>21</v>
      </c>
      <c r="E1176" s="4" t="s">
        <v>21</v>
      </c>
      <c r="F1176" s="4">
        <f t="shared" si="2"/>
        <v>35</v>
      </c>
    </row>
    <row r="1177">
      <c r="A1177" s="5">
        <v>43757.755844907406</v>
      </c>
      <c r="B1177" s="7">
        <f t="shared" si="1"/>
        <v>43757</v>
      </c>
      <c r="C1177" s="33" t="s">
        <v>16</v>
      </c>
      <c r="D1177" s="4" t="s">
        <v>21</v>
      </c>
      <c r="E1177" s="4" t="s">
        <v>21</v>
      </c>
      <c r="F1177" s="4">
        <f t="shared" si="2"/>
        <v>42</v>
      </c>
    </row>
    <row r="1178">
      <c r="A1178" s="5">
        <v>43760.69527777778</v>
      </c>
      <c r="B1178" s="7">
        <f t="shared" si="1"/>
        <v>43760</v>
      </c>
      <c r="C1178" s="33" t="s">
        <v>16</v>
      </c>
      <c r="D1178" s="4" t="s">
        <v>21</v>
      </c>
      <c r="E1178" s="4" t="s">
        <v>21</v>
      </c>
      <c r="F1178" s="4">
        <f t="shared" si="2"/>
        <v>43</v>
      </c>
    </row>
    <row r="1179">
      <c r="A1179" s="5">
        <v>43767.820243055554</v>
      </c>
      <c r="B1179" s="7">
        <f t="shared" si="1"/>
        <v>43767</v>
      </c>
      <c r="C1179" s="33" t="s">
        <v>16</v>
      </c>
      <c r="D1179" s="4" t="s">
        <v>21</v>
      </c>
      <c r="E1179" s="4" t="s">
        <v>21</v>
      </c>
      <c r="F1179" s="4">
        <f t="shared" si="2"/>
        <v>44</v>
      </c>
    </row>
    <row r="1180">
      <c r="A1180" s="5">
        <v>43828.84539351852</v>
      </c>
      <c r="B1180" s="7">
        <f t="shared" si="1"/>
        <v>43828</v>
      </c>
      <c r="C1180" s="33" t="s">
        <v>16</v>
      </c>
      <c r="D1180" s="4" t="s">
        <v>23</v>
      </c>
      <c r="E1180" s="4" t="s">
        <v>21</v>
      </c>
      <c r="F1180" s="4">
        <f t="shared" si="2"/>
        <v>53</v>
      </c>
    </row>
    <row r="1181">
      <c r="A1181" s="5">
        <v>43872.666550925926</v>
      </c>
      <c r="B1181" s="7">
        <f t="shared" si="1"/>
        <v>43872</v>
      </c>
      <c r="C1181" s="33" t="s">
        <v>16</v>
      </c>
      <c r="D1181" s="4" t="s">
        <v>21</v>
      </c>
      <c r="E1181" s="4" t="s">
        <v>21</v>
      </c>
      <c r="F1181" s="4">
        <f t="shared" si="2"/>
        <v>7</v>
      </c>
    </row>
    <row r="1182">
      <c r="A1182" s="5">
        <v>43885.037881944445</v>
      </c>
      <c r="B1182" s="7">
        <f t="shared" si="1"/>
        <v>43885</v>
      </c>
      <c r="C1182" s="33" t="s">
        <v>16</v>
      </c>
      <c r="D1182" s="4" t="s">
        <v>21</v>
      </c>
      <c r="E1182" s="4" t="s">
        <v>21</v>
      </c>
      <c r="F1182" s="4">
        <f t="shared" si="2"/>
        <v>9</v>
      </c>
    </row>
    <row r="1183">
      <c r="A1183" s="5">
        <v>43914.77342592592</v>
      </c>
      <c r="B1183" s="7">
        <f t="shared" si="1"/>
        <v>43914</v>
      </c>
      <c r="C1183" s="33" t="s">
        <v>16</v>
      </c>
      <c r="D1183" s="4" t="s">
        <v>21</v>
      </c>
      <c r="E1183" s="4" t="s">
        <v>21</v>
      </c>
      <c r="F1183" s="4">
        <f t="shared" si="2"/>
        <v>13</v>
      </c>
    </row>
    <row r="1184">
      <c r="A1184" s="5">
        <v>43957.14438657407</v>
      </c>
      <c r="B1184" s="7">
        <f t="shared" si="1"/>
        <v>43957</v>
      </c>
      <c r="C1184" s="33" t="s">
        <v>16</v>
      </c>
      <c r="D1184" s="4" t="s">
        <v>21</v>
      </c>
      <c r="E1184" s="4" t="s">
        <v>21</v>
      </c>
      <c r="F1184" s="4">
        <f t="shared" si="2"/>
        <v>19</v>
      </c>
    </row>
    <row r="1185">
      <c r="A1185" s="5">
        <v>43931.15423611111</v>
      </c>
      <c r="B1185" s="7">
        <f t="shared" si="1"/>
        <v>43931</v>
      </c>
      <c r="C1185" s="33" t="s">
        <v>16</v>
      </c>
      <c r="D1185" s="4" t="s">
        <v>21</v>
      </c>
      <c r="E1185" s="4" t="s">
        <v>21</v>
      </c>
      <c r="F1185" s="4">
        <f t="shared" si="2"/>
        <v>15</v>
      </c>
    </row>
    <row r="1186">
      <c r="A1186" s="5">
        <v>43878.56452546296</v>
      </c>
      <c r="B1186" s="7">
        <f t="shared" si="1"/>
        <v>43878</v>
      </c>
      <c r="C1186" s="33" t="s">
        <v>16</v>
      </c>
      <c r="D1186" s="4" t="s">
        <v>21</v>
      </c>
      <c r="E1186" s="4" t="s">
        <v>21</v>
      </c>
      <c r="F1186" s="4">
        <f t="shared" si="2"/>
        <v>8</v>
      </c>
    </row>
    <row r="1187">
      <c r="A1187" s="5">
        <v>43836.12228009259</v>
      </c>
      <c r="B1187" s="7">
        <f t="shared" si="1"/>
        <v>43836</v>
      </c>
      <c r="C1187" s="33" t="s">
        <v>16</v>
      </c>
      <c r="D1187" s="4" t="s">
        <v>21</v>
      </c>
      <c r="E1187" s="4" t="s">
        <v>21</v>
      </c>
      <c r="F1187" s="4">
        <f t="shared" si="2"/>
        <v>2</v>
      </c>
    </row>
    <row r="1188">
      <c r="A1188" s="5">
        <v>43979.4428125</v>
      </c>
      <c r="B1188" s="7">
        <f t="shared" si="1"/>
        <v>43979</v>
      </c>
      <c r="C1188" s="33" t="s">
        <v>16</v>
      </c>
      <c r="D1188" s="4" t="s">
        <v>21</v>
      </c>
      <c r="E1188" s="4" t="s">
        <v>21</v>
      </c>
      <c r="F1188" s="4">
        <f t="shared" si="2"/>
        <v>22</v>
      </c>
    </row>
    <row r="1189">
      <c r="A1189" s="5">
        <v>43782.52143518518</v>
      </c>
      <c r="B1189" s="7">
        <f t="shared" si="1"/>
        <v>43782</v>
      </c>
      <c r="C1189" s="33" t="s">
        <v>16</v>
      </c>
      <c r="D1189" s="4" t="s">
        <v>21</v>
      </c>
      <c r="E1189" s="4" t="s">
        <v>21</v>
      </c>
      <c r="F1189" s="4">
        <f t="shared" si="2"/>
        <v>46</v>
      </c>
    </row>
    <row r="1190">
      <c r="A1190" s="5">
        <v>43837.75900462963</v>
      </c>
      <c r="B1190" s="7">
        <f t="shared" si="1"/>
        <v>43837</v>
      </c>
      <c r="C1190" s="33" t="s">
        <v>16</v>
      </c>
      <c r="D1190" s="4" t="s">
        <v>21</v>
      </c>
      <c r="E1190" s="4" t="s">
        <v>21</v>
      </c>
      <c r="F1190" s="4">
        <f t="shared" si="2"/>
        <v>2</v>
      </c>
    </row>
    <row r="1191">
      <c r="A1191" s="5">
        <v>43915.492256944446</v>
      </c>
      <c r="B1191" s="7">
        <f t="shared" si="1"/>
        <v>43915</v>
      </c>
      <c r="C1191" s="33" t="s">
        <v>16</v>
      </c>
      <c r="D1191" s="4" t="s">
        <v>21</v>
      </c>
      <c r="E1191" s="4" t="s">
        <v>21</v>
      </c>
      <c r="F1191" s="4">
        <f t="shared" si="2"/>
        <v>13</v>
      </c>
    </row>
    <row r="1192">
      <c r="A1192" s="5">
        <v>43952.893842592595</v>
      </c>
      <c r="B1192" s="7">
        <f t="shared" si="1"/>
        <v>43952</v>
      </c>
      <c r="C1192" s="33" t="s">
        <v>16</v>
      </c>
      <c r="D1192" s="4" t="s">
        <v>21</v>
      </c>
      <c r="E1192" s="4" t="s">
        <v>21</v>
      </c>
      <c r="F1192" s="4">
        <f t="shared" si="2"/>
        <v>18</v>
      </c>
    </row>
    <row r="1193">
      <c r="A1193" s="5">
        <v>43983.663125</v>
      </c>
      <c r="B1193" s="7">
        <f t="shared" si="1"/>
        <v>43983</v>
      </c>
      <c r="C1193" s="33" t="s">
        <v>16</v>
      </c>
      <c r="D1193" s="4" t="s">
        <v>21</v>
      </c>
      <c r="E1193" s="4" t="s">
        <v>21</v>
      </c>
      <c r="F1193" s="4">
        <f t="shared" si="2"/>
        <v>23</v>
      </c>
    </row>
    <row r="1194">
      <c r="A1194" s="5">
        <v>44004.50975694445</v>
      </c>
      <c r="B1194" s="7">
        <f t="shared" si="1"/>
        <v>44004</v>
      </c>
      <c r="C1194" s="33" t="s">
        <v>16</v>
      </c>
      <c r="D1194" s="4" t="s">
        <v>21</v>
      </c>
      <c r="E1194" s="4" t="s">
        <v>21</v>
      </c>
      <c r="F1194" s="4">
        <f t="shared" si="2"/>
        <v>26</v>
      </c>
    </row>
    <row r="1195">
      <c r="A1195" s="5">
        <v>43871.63685185185</v>
      </c>
      <c r="B1195" s="7">
        <f t="shared" si="1"/>
        <v>43871</v>
      </c>
      <c r="C1195" s="33" t="s">
        <v>16</v>
      </c>
      <c r="D1195" s="4" t="s">
        <v>21</v>
      </c>
      <c r="E1195" s="4" t="s">
        <v>21</v>
      </c>
      <c r="F1195" s="4">
        <f t="shared" si="2"/>
        <v>7</v>
      </c>
    </row>
    <row r="1196">
      <c r="A1196" s="5">
        <v>43816.36042824074</v>
      </c>
      <c r="B1196" s="7">
        <f t="shared" si="1"/>
        <v>43816</v>
      </c>
      <c r="C1196" s="33" t="s">
        <v>16</v>
      </c>
      <c r="D1196" s="4" t="s">
        <v>21</v>
      </c>
      <c r="E1196" s="4" t="s">
        <v>21</v>
      </c>
      <c r="F1196" s="4">
        <f t="shared" si="2"/>
        <v>51</v>
      </c>
    </row>
    <row r="1197">
      <c r="A1197" s="5">
        <v>43881.43819444445</v>
      </c>
      <c r="B1197" s="7">
        <f t="shared" si="1"/>
        <v>43881</v>
      </c>
      <c r="C1197" s="33" t="s">
        <v>16</v>
      </c>
      <c r="D1197" s="4" t="s">
        <v>21</v>
      </c>
      <c r="E1197" s="4" t="s">
        <v>21</v>
      </c>
      <c r="F1197" s="4">
        <f t="shared" si="2"/>
        <v>8</v>
      </c>
    </row>
    <row r="1198">
      <c r="A1198" s="5">
        <v>43928.3975462963</v>
      </c>
      <c r="B1198" s="7">
        <f t="shared" si="1"/>
        <v>43928</v>
      </c>
      <c r="C1198" s="33" t="s">
        <v>16</v>
      </c>
      <c r="D1198" s="4" t="s">
        <v>21</v>
      </c>
      <c r="E1198" s="4" t="s">
        <v>21</v>
      </c>
      <c r="F1198" s="4">
        <f t="shared" si="2"/>
        <v>15</v>
      </c>
    </row>
    <row r="1199">
      <c r="A1199" s="5">
        <v>43928.47788194445</v>
      </c>
      <c r="B1199" s="7">
        <f t="shared" si="1"/>
        <v>43928</v>
      </c>
      <c r="C1199" s="33" t="s">
        <v>16</v>
      </c>
      <c r="D1199" s="4" t="s">
        <v>21</v>
      </c>
      <c r="E1199" s="4" t="s">
        <v>21</v>
      </c>
      <c r="F1199" s="4">
        <f t="shared" si="2"/>
        <v>15</v>
      </c>
    </row>
    <row r="1200">
      <c r="A1200" s="5">
        <v>43957.56711805556</v>
      </c>
      <c r="B1200" s="7">
        <f t="shared" si="1"/>
        <v>43957</v>
      </c>
      <c r="C1200" s="33" t="s">
        <v>16</v>
      </c>
      <c r="D1200" s="4" t="s">
        <v>21</v>
      </c>
      <c r="E1200" s="4" t="s">
        <v>21</v>
      </c>
      <c r="F1200" s="4">
        <f t="shared" si="2"/>
        <v>19</v>
      </c>
    </row>
    <row r="1201">
      <c r="A1201" s="5">
        <v>43963.4721412037</v>
      </c>
      <c r="B1201" s="7">
        <f t="shared" si="1"/>
        <v>43963</v>
      </c>
      <c r="C1201" s="33" t="s">
        <v>16</v>
      </c>
      <c r="D1201" s="4" t="s">
        <v>21</v>
      </c>
      <c r="E1201" s="4" t="s">
        <v>21</v>
      </c>
      <c r="F1201" s="4">
        <f t="shared" si="2"/>
        <v>20</v>
      </c>
    </row>
    <row r="1202">
      <c r="A1202" s="5">
        <v>43964.81270833333</v>
      </c>
      <c r="B1202" s="7">
        <f t="shared" si="1"/>
        <v>43964</v>
      </c>
      <c r="C1202" s="33" t="s">
        <v>16</v>
      </c>
      <c r="D1202" s="4" t="s">
        <v>21</v>
      </c>
      <c r="E1202" s="4" t="s">
        <v>21</v>
      </c>
      <c r="F1202" s="4">
        <f t="shared" si="2"/>
        <v>20</v>
      </c>
    </row>
    <row r="1203">
      <c r="A1203" s="5">
        <v>43991.436574074076</v>
      </c>
      <c r="B1203" s="7">
        <f t="shared" si="1"/>
        <v>43991</v>
      </c>
      <c r="C1203" s="33" t="s">
        <v>16</v>
      </c>
      <c r="D1203" s="4" t="s">
        <v>21</v>
      </c>
      <c r="E1203" s="4" t="s">
        <v>21</v>
      </c>
      <c r="F1203" s="4">
        <f t="shared" si="2"/>
        <v>24</v>
      </c>
    </row>
    <row r="1204">
      <c r="A1204" s="5">
        <v>43957.37835648148</v>
      </c>
      <c r="B1204" s="7">
        <f t="shared" si="1"/>
        <v>43957</v>
      </c>
      <c r="C1204" s="33" t="s">
        <v>16</v>
      </c>
      <c r="D1204" s="4" t="s">
        <v>21</v>
      </c>
      <c r="E1204" s="4" t="s">
        <v>21</v>
      </c>
      <c r="F1204" s="4">
        <f t="shared" si="2"/>
        <v>19</v>
      </c>
    </row>
    <row r="1205">
      <c r="A1205" s="5">
        <v>43896.73755787037</v>
      </c>
      <c r="B1205" s="7">
        <f t="shared" si="1"/>
        <v>43896</v>
      </c>
      <c r="C1205" s="33" t="s">
        <v>16</v>
      </c>
      <c r="D1205" s="4" t="s">
        <v>21</v>
      </c>
      <c r="E1205" s="4" t="s">
        <v>21</v>
      </c>
      <c r="F1205" s="4">
        <f t="shared" si="2"/>
        <v>10</v>
      </c>
    </row>
    <row r="1206">
      <c r="A1206" s="5">
        <v>43929.24872685185</v>
      </c>
      <c r="B1206" s="7">
        <f t="shared" si="1"/>
        <v>43929</v>
      </c>
      <c r="C1206" s="33" t="s">
        <v>16</v>
      </c>
      <c r="D1206" s="4" t="s">
        <v>21</v>
      </c>
      <c r="E1206" s="4" t="s">
        <v>21</v>
      </c>
      <c r="F1206" s="4">
        <f t="shared" si="2"/>
        <v>15</v>
      </c>
    </row>
    <row r="1207">
      <c r="A1207" s="5">
        <v>43731.56354166667</v>
      </c>
      <c r="B1207" s="7">
        <f t="shared" si="1"/>
        <v>43731</v>
      </c>
      <c r="C1207" s="33" t="s">
        <v>16</v>
      </c>
      <c r="D1207" s="4" t="s">
        <v>21</v>
      </c>
      <c r="E1207" s="4" t="s">
        <v>21</v>
      </c>
      <c r="F1207" s="4">
        <f t="shared" si="2"/>
        <v>39</v>
      </c>
    </row>
    <row r="1208">
      <c r="A1208" s="5">
        <v>43731.563622685186</v>
      </c>
      <c r="B1208" s="7">
        <f t="shared" si="1"/>
        <v>43731</v>
      </c>
      <c r="C1208" s="33" t="s">
        <v>16</v>
      </c>
      <c r="D1208" s="4" t="s">
        <v>21</v>
      </c>
      <c r="E1208" s="4" t="s">
        <v>21</v>
      </c>
      <c r="F1208" s="4">
        <f t="shared" si="2"/>
        <v>39</v>
      </c>
    </row>
    <row r="1209">
      <c r="A1209" s="5">
        <v>43731.56369212963</v>
      </c>
      <c r="B1209" s="7">
        <f t="shared" si="1"/>
        <v>43731</v>
      </c>
      <c r="C1209" s="33" t="s">
        <v>16</v>
      </c>
      <c r="D1209" s="4" t="s">
        <v>21</v>
      </c>
      <c r="E1209" s="4" t="s">
        <v>21</v>
      </c>
      <c r="F1209" s="4">
        <f t="shared" si="2"/>
        <v>39</v>
      </c>
    </row>
    <row r="1210">
      <c r="A1210" s="5">
        <v>43731.56387731482</v>
      </c>
      <c r="B1210" s="7">
        <f t="shared" si="1"/>
        <v>43731</v>
      </c>
      <c r="C1210" s="33" t="s">
        <v>16</v>
      </c>
      <c r="D1210" s="4" t="s">
        <v>21</v>
      </c>
      <c r="E1210" s="4" t="s">
        <v>21</v>
      </c>
      <c r="F1210" s="4">
        <f t="shared" si="2"/>
        <v>39</v>
      </c>
    </row>
    <row r="1211">
      <c r="A1211" s="5">
        <v>43731.56400462963</v>
      </c>
      <c r="B1211" s="7">
        <f t="shared" si="1"/>
        <v>43731</v>
      </c>
      <c r="C1211" s="33" t="s">
        <v>16</v>
      </c>
      <c r="D1211" s="4" t="s">
        <v>21</v>
      </c>
      <c r="E1211" s="4" t="s">
        <v>21</v>
      </c>
      <c r="F1211" s="4">
        <f t="shared" si="2"/>
        <v>39</v>
      </c>
    </row>
    <row r="1212">
      <c r="A1212" s="5">
        <v>43731.56417824074</v>
      </c>
      <c r="B1212" s="7">
        <f t="shared" si="1"/>
        <v>43731</v>
      </c>
      <c r="C1212" s="33" t="s">
        <v>16</v>
      </c>
      <c r="D1212" s="4" t="s">
        <v>21</v>
      </c>
      <c r="E1212" s="4" t="s">
        <v>21</v>
      </c>
      <c r="F1212" s="4">
        <f t="shared" si="2"/>
        <v>39</v>
      </c>
    </row>
    <row r="1213">
      <c r="A1213" s="5">
        <v>43759.51422453704</v>
      </c>
      <c r="B1213" s="7">
        <f t="shared" si="1"/>
        <v>43759</v>
      </c>
      <c r="C1213" s="33" t="s">
        <v>16</v>
      </c>
      <c r="D1213" s="4" t="s">
        <v>21</v>
      </c>
      <c r="E1213" s="4" t="s">
        <v>21</v>
      </c>
      <c r="F1213" s="4">
        <f t="shared" si="2"/>
        <v>43</v>
      </c>
    </row>
    <row r="1214">
      <c r="A1214" s="5">
        <v>43759.51429398148</v>
      </c>
      <c r="B1214" s="7">
        <f t="shared" si="1"/>
        <v>43759</v>
      </c>
      <c r="C1214" s="33" t="s">
        <v>16</v>
      </c>
      <c r="D1214" s="4" t="s">
        <v>21</v>
      </c>
      <c r="E1214" s="4" t="s">
        <v>21</v>
      </c>
      <c r="F1214" s="4">
        <f t="shared" si="2"/>
        <v>43</v>
      </c>
    </row>
    <row r="1215">
      <c r="A1215" s="5">
        <v>43759.51440972222</v>
      </c>
      <c r="B1215" s="7">
        <f t="shared" si="1"/>
        <v>43759</v>
      </c>
      <c r="C1215" s="33" t="s">
        <v>16</v>
      </c>
      <c r="D1215" s="4" t="s">
        <v>21</v>
      </c>
      <c r="E1215" s="4" t="s">
        <v>21</v>
      </c>
      <c r="F1215" s="4">
        <f t="shared" si="2"/>
        <v>43</v>
      </c>
    </row>
    <row r="1216">
      <c r="A1216" s="5">
        <v>43759.51449074074</v>
      </c>
      <c r="B1216" s="7">
        <f t="shared" si="1"/>
        <v>43759</v>
      </c>
      <c r="C1216" s="33" t="s">
        <v>16</v>
      </c>
      <c r="D1216" s="4" t="s">
        <v>21</v>
      </c>
      <c r="E1216" s="4" t="s">
        <v>21</v>
      </c>
      <c r="F1216" s="4">
        <f t="shared" si="2"/>
        <v>43</v>
      </c>
    </row>
    <row r="1217">
      <c r="A1217" s="5">
        <v>43759.514652777776</v>
      </c>
      <c r="B1217" s="7">
        <f t="shared" si="1"/>
        <v>43759</v>
      </c>
      <c r="C1217" s="33" t="s">
        <v>16</v>
      </c>
      <c r="D1217" s="4" t="s">
        <v>21</v>
      </c>
      <c r="E1217" s="4" t="s">
        <v>21</v>
      </c>
      <c r="F1217" s="4">
        <f t="shared" si="2"/>
        <v>43</v>
      </c>
    </row>
    <row r="1218">
      <c r="A1218" s="5">
        <v>43759.51472222222</v>
      </c>
      <c r="B1218" s="7">
        <f t="shared" si="1"/>
        <v>43759</v>
      </c>
      <c r="C1218" s="33" t="s">
        <v>16</v>
      </c>
      <c r="D1218" s="4" t="s">
        <v>21</v>
      </c>
      <c r="E1218" s="4" t="s">
        <v>21</v>
      </c>
      <c r="F1218" s="4">
        <f t="shared" si="2"/>
        <v>43</v>
      </c>
    </row>
    <row r="1219">
      <c r="A1219" s="5">
        <v>43759.51488425926</v>
      </c>
      <c r="B1219" s="7">
        <f t="shared" si="1"/>
        <v>43759</v>
      </c>
      <c r="C1219" s="33" t="s">
        <v>16</v>
      </c>
      <c r="D1219" s="4" t="s">
        <v>21</v>
      </c>
      <c r="E1219" s="4" t="s">
        <v>21</v>
      </c>
      <c r="F1219" s="4">
        <f t="shared" si="2"/>
        <v>43</v>
      </c>
    </row>
    <row r="1220">
      <c r="A1220" s="5">
        <v>43759.51495370371</v>
      </c>
      <c r="B1220" s="7">
        <f t="shared" si="1"/>
        <v>43759</v>
      </c>
      <c r="C1220" s="33" t="s">
        <v>16</v>
      </c>
      <c r="D1220" s="4" t="s">
        <v>21</v>
      </c>
      <c r="E1220" s="4" t="s">
        <v>21</v>
      </c>
      <c r="F1220" s="4">
        <f t="shared" si="2"/>
        <v>43</v>
      </c>
    </row>
    <row r="1221">
      <c r="A1221" s="5">
        <v>43759.51503472222</v>
      </c>
      <c r="B1221" s="7">
        <f t="shared" si="1"/>
        <v>43759</v>
      </c>
      <c r="C1221" s="33" t="s">
        <v>16</v>
      </c>
      <c r="D1221" s="4" t="s">
        <v>21</v>
      </c>
      <c r="E1221" s="4" t="s">
        <v>21</v>
      </c>
      <c r="F1221" s="4">
        <f t="shared" si="2"/>
        <v>43</v>
      </c>
    </row>
    <row r="1222">
      <c r="A1222" s="5">
        <v>43759.51510416667</v>
      </c>
      <c r="B1222" s="7">
        <f t="shared" si="1"/>
        <v>43759</v>
      </c>
      <c r="C1222" s="33" t="s">
        <v>16</v>
      </c>
      <c r="D1222" s="4" t="s">
        <v>21</v>
      </c>
      <c r="E1222" s="4" t="s">
        <v>21</v>
      </c>
      <c r="F1222" s="4">
        <f t="shared" si="2"/>
        <v>43</v>
      </c>
    </row>
    <row r="1223">
      <c r="A1223" s="5">
        <v>43759.515173611115</v>
      </c>
      <c r="B1223" s="7">
        <f t="shared" si="1"/>
        <v>43759</v>
      </c>
      <c r="C1223" s="33" t="s">
        <v>16</v>
      </c>
      <c r="D1223" s="4" t="s">
        <v>21</v>
      </c>
      <c r="E1223" s="4" t="s">
        <v>21</v>
      </c>
      <c r="F1223" s="4">
        <f t="shared" si="2"/>
        <v>43</v>
      </c>
    </row>
    <row r="1224">
      <c r="A1224" s="5">
        <v>43759.51530092592</v>
      </c>
      <c r="B1224" s="7">
        <f t="shared" si="1"/>
        <v>43759</v>
      </c>
      <c r="C1224" s="33" t="s">
        <v>16</v>
      </c>
      <c r="D1224" s="4" t="s">
        <v>21</v>
      </c>
      <c r="E1224" s="4" t="s">
        <v>21</v>
      </c>
      <c r="F1224" s="4">
        <f t="shared" si="2"/>
        <v>43</v>
      </c>
    </row>
    <row r="1225">
      <c r="A1225" s="5">
        <v>43759.51537037037</v>
      </c>
      <c r="B1225" s="7">
        <f t="shared" si="1"/>
        <v>43759</v>
      </c>
      <c r="C1225" s="33" t="s">
        <v>16</v>
      </c>
      <c r="D1225" s="4" t="s">
        <v>21</v>
      </c>
      <c r="E1225" s="4" t="s">
        <v>21</v>
      </c>
      <c r="F1225" s="4">
        <f t="shared" si="2"/>
        <v>43</v>
      </c>
    </row>
    <row r="1226">
      <c r="A1226" s="5">
        <v>43759.515439814815</v>
      </c>
      <c r="B1226" s="7">
        <f t="shared" si="1"/>
        <v>43759</v>
      </c>
      <c r="C1226" s="33" t="s">
        <v>16</v>
      </c>
      <c r="D1226" s="4" t="s">
        <v>21</v>
      </c>
      <c r="E1226" s="4" t="s">
        <v>21</v>
      </c>
      <c r="F1226" s="4">
        <f t="shared" si="2"/>
        <v>43</v>
      </c>
    </row>
    <row r="1227">
      <c r="A1227" s="5">
        <v>43818.97554398148</v>
      </c>
      <c r="B1227" s="7">
        <f t="shared" si="1"/>
        <v>43818</v>
      </c>
      <c r="C1227" s="33" t="s">
        <v>16</v>
      </c>
      <c r="D1227" s="4" t="s">
        <v>21</v>
      </c>
      <c r="E1227" s="4" t="s">
        <v>21</v>
      </c>
      <c r="F1227" s="4">
        <f t="shared" si="2"/>
        <v>51</v>
      </c>
    </row>
    <row r="1228">
      <c r="A1228" s="5">
        <v>43843.38453703704</v>
      </c>
      <c r="B1228" s="7">
        <f t="shared" si="1"/>
        <v>43843</v>
      </c>
      <c r="C1228" s="33" t="s">
        <v>16</v>
      </c>
      <c r="D1228" s="4" t="s">
        <v>21</v>
      </c>
      <c r="E1228" s="4" t="s">
        <v>21</v>
      </c>
      <c r="F1228" s="4">
        <f t="shared" si="2"/>
        <v>3</v>
      </c>
    </row>
    <row r="1229">
      <c r="A1229" s="5">
        <v>43843.384675925925</v>
      </c>
      <c r="B1229" s="7">
        <f t="shared" si="1"/>
        <v>43843</v>
      </c>
      <c r="C1229" s="33" t="s">
        <v>16</v>
      </c>
      <c r="D1229" s="4" t="s">
        <v>21</v>
      </c>
      <c r="E1229" s="4" t="s">
        <v>21</v>
      </c>
      <c r="F1229" s="4">
        <f t="shared" si="2"/>
        <v>3</v>
      </c>
    </row>
    <row r="1230">
      <c r="A1230" s="5">
        <v>43843.38474537037</v>
      </c>
      <c r="B1230" s="7">
        <f t="shared" si="1"/>
        <v>43843</v>
      </c>
      <c r="C1230" s="33" t="s">
        <v>16</v>
      </c>
      <c r="D1230" s="4" t="s">
        <v>21</v>
      </c>
      <c r="E1230" s="4" t="s">
        <v>21</v>
      </c>
      <c r="F1230" s="4">
        <f t="shared" si="2"/>
        <v>3</v>
      </c>
    </row>
    <row r="1231">
      <c r="A1231" s="5">
        <v>43861.639699074076</v>
      </c>
      <c r="B1231" s="7">
        <f t="shared" si="1"/>
        <v>43861</v>
      </c>
      <c r="C1231" s="33" t="s">
        <v>16</v>
      </c>
      <c r="D1231" s="4" t="s">
        <v>21</v>
      </c>
      <c r="E1231" s="4" t="s">
        <v>23</v>
      </c>
      <c r="F1231" s="4">
        <f t="shared" si="2"/>
        <v>5</v>
      </c>
    </row>
    <row r="1232">
      <c r="A1232" s="5">
        <v>43865.64203703704</v>
      </c>
      <c r="B1232" s="7">
        <f t="shared" si="1"/>
        <v>43865</v>
      </c>
      <c r="C1232" s="33" t="s">
        <v>16</v>
      </c>
      <c r="D1232" s="4" t="s">
        <v>21</v>
      </c>
      <c r="E1232" s="4" t="s">
        <v>21</v>
      </c>
      <c r="F1232" s="4">
        <f t="shared" si="2"/>
        <v>6</v>
      </c>
    </row>
    <row r="1233">
      <c r="A1233" s="5">
        <v>43880.554560185185</v>
      </c>
      <c r="B1233" s="7">
        <f t="shared" si="1"/>
        <v>43880</v>
      </c>
      <c r="C1233" s="33" t="s">
        <v>16</v>
      </c>
      <c r="D1233" s="4" t="s">
        <v>21</v>
      </c>
      <c r="E1233" s="4" t="s">
        <v>21</v>
      </c>
      <c r="F1233" s="4">
        <f t="shared" si="2"/>
        <v>8</v>
      </c>
    </row>
    <row r="1234">
      <c r="A1234" s="5">
        <v>43880.5546412037</v>
      </c>
      <c r="B1234" s="7">
        <f t="shared" si="1"/>
        <v>43880</v>
      </c>
      <c r="C1234" s="33" t="s">
        <v>16</v>
      </c>
      <c r="D1234" s="4" t="s">
        <v>21</v>
      </c>
      <c r="E1234" s="4" t="s">
        <v>21</v>
      </c>
      <c r="F1234" s="4">
        <f t="shared" si="2"/>
        <v>8</v>
      </c>
    </row>
    <row r="1235">
      <c r="A1235" s="5">
        <v>43880.55480324074</v>
      </c>
      <c r="B1235" s="7">
        <f t="shared" si="1"/>
        <v>43880</v>
      </c>
      <c r="C1235" s="33" t="s">
        <v>16</v>
      </c>
      <c r="D1235" s="4" t="s">
        <v>21</v>
      </c>
      <c r="E1235" s="4" t="s">
        <v>21</v>
      </c>
      <c r="F1235" s="4">
        <f t="shared" si="2"/>
        <v>8</v>
      </c>
    </row>
    <row r="1236">
      <c r="A1236" s="5">
        <v>43880.554872685185</v>
      </c>
      <c r="B1236" s="7">
        <f t="shared" si="1"/>
        <v>43880</v>
      </c>
      <c r="C1236" s="33" t="s">
        <v>16</v>
      </c>
      <c r="D1236" s="4" t="s">
        <v>21</v>
      </c>
      <c r="E1236" s="4" t="s">
        <v>21</v>
      </c>
      <c r="F1236" s="4">
        <f t="shared" si="2"/>
        <v>8</v>
      </c>
    </row>
    <row r="1237">
      <c r="A1237" s="5">
        <v>43880.55503472222</v>
      </c>
      <c r="B1237" s="7">
        <f t="shared" si="1"/>
        <v>43880</v>
      </c>
      <c r="C1237" s="33" t="s">
        <v>16</v>
      </c>
      <c r="D1237" s="4" t="s">
        <v>21</v>
      </c>
      <c r="E1237" s="4" t="s">
        <v>21</v>
      </c>
      <c r="F1237" s="4">
        <f t="shared" si="2"/>
        <v>8</v>
      </c>
    </row>
    <row r="1238">
      <c r="A1238" s="5">
        <v>43880.55510416667</v>
      </c>
      <c r="B1238" s="7">
        <f t="shared" si="1"/>
        <v>43880</v>
      </c>
      <c r="C1238" s="33" t="s">
        <v>16</v>
      </c>
      <c r="D1238" s="4" t="s">
        <v>21</v>
      </c>
      <c r="E1238" s="4" t="s">
        <v>21</v>
      </c>
      <c r="F1238" s="4">
        <f t="shared" si="2"/>
        <v>8</v>
      </c>
    </row>
    <row r="1239">
      <c r="A1239" s="5">
        <v>43880.5580787037</v>
      </c>
      <c r="B1239" s="7">
        <f t="shared" si="1"/>
        <v>43880</v>
      </c>
      <c r="C1239" s="33" t="s">
        <v>16</v>
      </c>
      <c r="D1239" s="4" t="s">
        <v>21</v>
      </c>
      <c r="E1239" s="4" t="s">
        <v>21</v>
      </c>
      <c r="F1239" s="4">
        <f t="shared" si="2"/>
        <v>8</v>
      </c>
    </row>
    <row r="1240">
      <c r="A1240" s="5">
        <v>43880.65355324074</v>
      </c>
      <c r="B1240" s="7">
        <f t="shared" si="1"/>
        <v>43880</v>
      </c>
      <c r="C1240" s="33" t="s">
        <v>16</v>
      </c>
      <c r="D1240" s="4" t="s">
        <v>21</v>
      </c>
      <c r="E1240" s="4" t="s">
        <v>21</v>
      </c>
      <c r="F1240" s="4">
        <f t="shared" si="2"/>
        <v>8</v>
      </c>
    </row>
    <row r="1241">
      <c r="A1241" s="5">
        <v>43880.65363425926</v>
      </c>
      <c r="B1241" s="7">
        <f t="shared" si="1"/>
        <v>43880</v>
      </c>
      <c r="C1241" s="33" t="s">
        <v>16</v>
      </c>
      <c r="D1241" s="4" t="s">
        <v>21</v>
      </c>
      <c r="E1241" s="4" t="s">
        <v>21</v>
      </c>
      <c r="F1241" s="4">
        <f t="shared" si="2"/>
        <v>8</v>
      </c>
    </row>
    <row r="1242">
      <c r="A1242" s="5">
        <v>43880.653761574074</v>
      </c>
      <c r="B1242" s="7">
        <f t="shared" si="1"/>
        <v>43880</v>
      </c>
      <c r="C1242" s="33" t="s">
        <v>16</v>
      </c>
      <c r="D1242" s="4" t="s">
        <v>21</v>
      </c>
      <c r="E1242" s="4" t="s">
        <v>21</v>
      </c>
      <c r="F1242" s="4">
        <f t="shared" si="2"/>
        <v>8</v>
      </c>
    </row>
    <row r="1243">
      <c r="A1243" s="5">
        <v>43880.65383101852</v>
      </c>
      <c r="B1243" s="7">
        <f t="shared" si="1"/>
        <v>43880</v>
      </c>
      <c r="C1243" s="33" t="s">
        <v>16</v>
      </c>
      <c r="D1243" s="4" t="s">
        <v>21</v>
      </c>
      <c r="E1243" s="4" t="s">
        <v>21</v>
      </c>
      <c r="F1243" s="4">
        <f t="shared" si="2"/>
        <v>8</v>
      </c>
    </row>
    <row r="1244">
      <c r="A1244" s="5">
        <v>43880.654016203705</v>
      </c>
      <c r="B1244" s="7">
        <f t="shared" si="1"/>
        <v>43880</v>
      </c>
      <c r="C1244" s="33" t="s">
        <v>16</v>
      </c>
      <c r="D1244" s="4" t="s">
        <v>21</v>
      </c>
      <c r="E1244" s="4" t="s">
        <v>21</v>
      </c>
      <c r="F1244" s="4">
        <f t="shared" si="2"/>
        <v>8</v>
      </c>
    </row>
    <row r="1245">
      <c r="A1245" s="5">
        <v>43880.65408564815</v>
      </c>
      <c r="B1245" s="7">
        <f t="shared" si="1"/>
        <v>43880</v>
      </c>
      <c r="C1245" s="33" t="s">
        <v>16</v>
      </c>
      <c r="D1245" s="4" t="s">
        <v>21</v>
      </c>
      <c r="E1245" s="4" t="s">
        <v>21</v>
      </c>
      <c r="F1245" s="4">
        <f t="shared" si="2"/>
        <v>8</v>
      </c>
    </row>
    <row r="1246">
      <c r="A1246" s="5">
        <v>43880.65422453704</v>
      </c>
      <c r="B1246" s="7">
        <f t="shared" si="1"/>
        <v>43880</v>
      </c>
      <c r="C1246" s="33" t="s">
        <v>16</v>
      </c>
      <c r="D1246" s="4" t="s">
        <v>21</v>
      </c>
      <c r="E1246" s="4" t="s">
        <v>21</v>
      </c>
      <c r="F1246" s="4">
        <f t="shared" si="2"/>
        <v>8</v>
      </c>
    </row>
    <row r="1247">
      <c r="A1247" s="5">
        <v>43880.65429398148</v>
      </c>
      <c r="B1247" s="7">
        <f t="shared" si="1"/>
        <v>43880</v>
      </c>
      <c r="C1247" s="33" t="s">
        <v>16</v>
      </c>
      <c r="D1247" s="4" t="s">
        <v>21</v>
      </c>
      <c r="E1247" s="4" t="s">
        <v>21</v>
      </c>
      <c r="F1247" s="4">
        <f t="shared" si="2"/>
        <v>8</v>
      </c>
    </row>
    <row r="1248">
      <c r="A1248" s="5">
        <v>43880.654444444444</v>
      </c>
      <c r="B1248" s="7">
        <f t="shared" si="1"/>
        <v>43880</v>
      </c>
      <c r="C1248" s="33" t="s">
        <v>16</v>
      </c>
      <c r="D1248" s="4" t="s">
        <v>21</v>
      </c>
      <c r="E1248" s="4" t="s">
        <v>21</v>
      </c>
      <c r="F1248" s="4">
        <f t="shared" si="2"/>
        <v>8</v>
      </c>
    </row>
    <row r="1249">
      <c r="A1249" s="5">
        <v>43880.654594907406</v>
      </c>
      <c r="B1249" s="7">
        <f t="shared" si="1"/>
        <v>43880</v>
      </c>
      <c r="C1249" s="33" t="s">
        <v>16</v>
      </c>
      <c r="D1249" s="4" t="s">
        <v>21</v>
      </c>
      <c r="E1249" s="4" t="s">
        <v>21</v>
      </c>
      <c r="F1249" s="4">
        <f t="shared" si="2"/>
        <v>8</v>
      </c>
    </row>
    <row r="1250">
      <c r="A1250" s="5">
        <v>43880.654652777775</v>
      </c>
      <c r="B1250" s="7">
        <f t="shared" si="1"/>
        <v>43880</v>
      </c>
      <c r="C1250" s="33" t="s">
        <v>16</v>
      </c>
      <c r="D1250" s="4" t="s">
        <v>21</v>
      </c>
      <c r="E1250" s="4" t="s">
        <v>21</v>
      </c>
      <c r="F1250" s="4">
        <f t="shared" si="2"/>
        <v>8</v>
      </c>
    </row>
    <row r="1251">
      <c r="A1251" s="5">
        <v>43880.65480324074</v>
      </c>
      <c r="B1251" s="7">
        <f t="shared" si="1"/>
        <v>43880</v>
      </c>
      <c r="C1251" s="33" t="s">
        <v>16</v>
      </c>
      <c r="D1251" s="4" t="s">
        <v>21</v>
      </c>
      <c r="E1251" s="4" t="s">
        <v>21</v>
      </c>
      <c r="F1251" s="4">
        <f t="shared" si="2"/>
        <v>8</v>
      </c>
    </row>
    <row r="1252">
      <c r="A1252" s="5">
        <v>43880.65497685185</v>
      </c>
      <c r="B1252" s="7">
        <f t="shared" si="1"/>
        <v>43880</v>
      </c>
      <c r="C1252" s="33" t="s">
        <v>16</v>
      </c>
      <c r="D1252" s="4" t="s">
        <v>21</v>
      </c>
      <c r="E1252" s="4" t="s">
        <v>21</v>
      </c>
      <c r="F1252" s="4">
        <f t="shared" si="2"/>
        <v>8</v>
      </c>
    </row>
    <row r="1253">
      <c r="A1253" s="5">
        <v>43880.65511574074</v>
      </c>
      <c r="B1253" s="7">
        <f t="shared" si="1"/>
        <v>43880</v>
      </c>
      <c r="C1253" s="33" t="s">
        <v>16</v>
      </c>
      <c r="D1253" s="4" t="s">
        <v>21</v>
      </c>
      <c r="E1253" s="4" t="s">
        <v>21</v>
      </c>
      <c r="F1253" s="4">
        <f t="shared" si="2"/>
        <v>8</v>
      </c>
    </row>
    <row r="1254">
      <c r="A1254" s="5">
        <v>43880.65520833333</v>
      </c>
      <c r="B1254" s="7">
        <f t="shared" si="1"/>
        <v>43880</v>
      </c>
      <c r="C1254" s="33" t="s">
        <v>16</v>
      </c>
      <c r="D1254" s="4" t="s">
        <v>21</v>
      </c>
      <c r="E1254" s="4" t="s">
        <v>21</v>
      </c>
      <c r="F1254" s="4">
        <f t="shared" si="2"/>
        <v>8</v>
      </c>
    </row>
    <row r="1255">
      <c r="A1255" s="5">
        <v>43880.655277777776</v>
      </c>
      <c r="B1255" s="7">
        <f t="shared" si="1"/>
        <v>43880</v>
      </c>
      <c r="C1255" s="33" t="s">
        <v>16</v>
      </c>
      <c r="D1255" s="4" t="s">
        <v>21</v>
      </c>
      <c r="E1255" s="4" t="s">
        <v>21</v>
      </c>
      <c r="F1255" s="4">
        <f t="shared" si="2"/>
        <v>8</v>
      </c>
    </row>
    <row r="1256">
      <c r="A1256" s="5">
        <v>43880.65534722222</v>
      </c>
      <c r="B1256" s="7">
        <f t="shared" si="1"/>
        <v>43880</v>
      </c>
      <c r="C1256" s="33" t="s">
        <v>16</v>
      </c>
      <c r="D1256" s="4" t="s">
        <v>21</v>
      </c>
      <c r="E1256" s="4" t="s">
        <v>21</v>
      </c>
      <c r="F1256" s="4">
        <f t="shared" si="2"/>
        <v>8</v>
      </c>
    </row>
    <row r="1257">
      <c r="A1257" s="5">
        <v>43880.65556712963</v>
      </c>
      <c r="B1257" s="7">
        <f t="shared" si="1"/>
        <v>43880</v>
      </c>
      <c r="C1257" s="33" t="s">
        <v>16</v>
      </c>
      <c r="D1257" s="4" t="s">
        <v>21</v>
      </c>
      <c r="E1257" s="4" t="s">
        <v>21</v>
      </c>
      <c r="F1257" s="4">
        <f t="shared" si="2"/>
        <v>8</v>
      </c>
    </row>
    <row r="1258">
      <c r="A1258" s="5">
        <v>43880.65577546296</v>
      </c>
      <c r="B1258" s="7">
        <f t="shared" si="1"/>
        <v>43880</v>
      </c>
      <c r="C1258" s="33" t="s">
        <v>16</v>
      </c>
      <c r="D1258" s="4" t="s">
        <v>21</v>
      </c>
      <c r="E1258" s="4" t="s">
        <v>21</v>
      </c>
      <c r="F1258" s="4">
        <f t="shared" si="2"/>
        <v>8</v>
      </c>
    </row>
    <row r="1259">
      <c r="A1259" s="5">
        <v>43880.65584490741</v>
      </c>
      <c r="B1259" s="7">
        <f t="shared" si="1"/>
        <v>43880</v>
      </c>
      <c r="C1259" s="33" t="s">
        <v>16</v>
      </c>
      <c r="D1259" s="4" t="s">
        <v>21</v>
      </c>
      <c r="E1259" s="4" t="s">
        <v>21</v>
      </c>
      <c r="F1259" s="4">
        <f t="shared" si="2"/>
        <v>8</v>
      </c>
    </row>
    <row r="1260">
      <c r="A1260" s="5">
        <v>43880.6559837963</v>
      </c>
      <c r="B1260" s="7">
        <f t="shared" si="1"/>
        <v>43880</v>
      </c>
      <c r="C1260" s="33" t="s">
        <v>16</v>
      </c>
      <c r="D1260" s="4" t="s">
        <v>21</v>
      </c>
      <c r="E1260" s="4" t="s">
        <v>21</v>
      </c>
      <c r="F1260" s="4">
        <f t="shared" si="2"/>
        <v>8</v>
      </c>
    </row>
    <row r="1261">
      <c r="A1261" s="5">
        <v>43880.65608796296</v>
      </c>
      <c r="B1261" s="7">
        <f t="shared" si="1"/>
        <v>43880</v>
      </c>
      <c r="C1261" s="33" t="s">
        <v>16</v>
      </c>
      <c r="D1261" s="4" t="s">
        <v>21</v>
      </c>
      <c r="E1261" s="4" t="s">
        <v>21</v>
      </c>
      <c r="F1261" s="4">
        <f t="shared" si="2"/>
        <v>8</v>
      </c>
    </row>
    <row r="1262">
      <c r="A1262" s="5">
        <v>43880.65630787037</v>
      </c>
      <c r="B1262" s="7">
        <f t="shared" si="1"/>
        <v>43880</v>
      </c>
      <c r="C1262" s="33" t="s">
        <v>16</v>
      </c>
      <c r="D1262" s="4" t="s">
        <v>21</v>
      </c>
      <c r="E1262" s="4" t="s">
        <v>21</v>
      </c>
      <c r="F1262" s="4">
        <f t="shared" si="2"/>
        <v>8</v>
      </c>
    </row>
    <row r="1263">
      <c r="A1263" s="5">
        <v>43880.65642361111</v>
      </c>
      <c r="B1263" s="7">
        <f t="shared" si="1"/>
        <v>43880</v>
      </c>
      <c r="C1263" s="33" t="s">
        <v>16</v>
      </c>
      <c r="D1263" s="4" t="s">
        <v>21</v>
      </c>
      <c r="E1263" s="4" t="s">
        <v>21</v>
      </c>
      <c r="F1263" s="4">
        <f t="shared" si="2"/>
        <v>8</v>
      </c>
    </row>
    <row r="1264">
      <c r="A1264" s="5">
        <v>43880.65650462963</v>
      </c>
      <c r="B1264" s="7">
        <f t="shared" si="1"/>
        <v>43880</v>
      </c>
      <c r="C1264" s="33" t="s">
        <v>16</v>
      </c>
      <c r="D1264" s="4" t="s">
        <v>21</v>
      </c>
      <c r="E1264" s="4" t="s">
        <v>21</v>
      </c>
      <c r="F1264" s="4">
        <f t="shared" si="2"/>
        <v>8</v>
      </c>
    </row>
    <row r="1265">
      <c r="A1265" s="5">
        <v>43880.65666666667</v>
      </c>
      <c r="B1265" s="7">
        <f t="shared" si="1"/>
        <v>43880</v>
      </c>
      <c r="C1265" s="33" t="s">
        <v>16</v>
      </c>
      <c r="D1265" s="4" t="s">
        <v>21</v>
      </c>
      <c r="E1265" s="4" t="s">
        <v>21</v>
      </c>
      <c r="F1265" s="4">
        <f t="shared" si="2"/>
        <v>8</v>
      </c>
    </row>
    <row r="1266">
      <c r="A1266" s="5">
        <v>43880.65673611111</v>
      </c>
      <c r="B1266" s="7">
        <f t="shared" si="1"/>
        <v>43880</v>
      </c>
      <c r="C1266" s="33" t="s">
        <v>16</v>
      </c>
      <c r="D1266" s="4" t="s">
        <v>21</v>
      </c>
      <c r="E1266" s="4" t="s">
        <v>21</v>
      </c>
      <c r="F1266" s="4">
        <f t="shared" si="2"/>
        <v>8</v>
      </c>
    </row>
    <row r="1267">
      <c r="A1267" s="5">
        <v>43880.656851851854</v>
      </c>
      <c r="B1267" s="7">
        <f t="shared" si="1"/>
        <v>43880</v>
      </c>
      <c r="C1267" s="33" t="s">
        <v>16</v>
      </c>
      <c r="D1267" s="4" t="s">
        <v>21</v>
      </c>
      <c r="E1267" s="4" t="s">
        <v>21</v>
      </c>
      <c r="F1267" s="4">
        <f t="shared" si="2"/>
        <v>8</v>
      </c>
    </row>
    <row r="1268">
      <c r="A1268" s="5">
        <v>43880.65692129629</v>
      </c>
      <c r="B1268" s="7">
        <f t="shared" si="1"/>
        <v>43880</v>
      </c>
      <c r="C1268" s="33" t="s">
        <v>16</v>
      </c>
      <c r="D1268" s="4" t="s">
        <v>21</v>
      </c>
      <c r="E1268" s="4" t="s">
        <v>21</v>
      </c>
      <c r="F1268" s="4">
        <f t="shared" si="2"/>
        <v>8</v>
      </c>
    </row>
    <row r="1269">
      <c r="A1269" s="5">
        <v>43880.65709490741</v>
      </c>
      <c r="B1269" s="7">
        <f t="shared" si="1"/>
        <v>43880</v>
      </c>
      <c r="C1269" s="33" t="s">
        <v>16</v>
      </c>
      <c r="D1269" s="4" t="s">
        <v>21</v>
      </c>
      <c r="E1269" s="4" t="s">
        <v>21</v>
      </c>
      <c r="F1269" s="4">
        <f t="shared" si="2"/>
        <v>8</v>
      </c>
    </row>
    <row r="1270">
      <c r="A1270" s="5">
        <v>43880.657164351855</v>
      </c>
      <c r="B1270" s="7">
        <f t="shared" si="1"/>
        <v>43880</v>
      </c>
      <c r="C1270" s="33" t="s">
        <v>16</v>
      </c>
      <c r="D1270" s="4" t="s">
        <v>21</v>
      </c>
      <c r="E1270" s="4" t="s">
        <v>21</v>
      </c>
      <c r="F1270" s="4">
        <f t="shared" si="2"/>
        <v>8</v>
      </c>
    </row>
    <row r="1271">
      <c r="A1271" s="5">
        <v>43880.65728009259</v>
      </c>
      <c r="B1271" s="7">
        <f t="shared" si="1"/>
        <v>43880</v>
      </c>
      <c r="C1271" s="33" t="s">
        <v>16</v>
      </c>
      <c r="D1271" s="4" t="s">
        <v>21</v>
      </c>
      <c r="E1271" s="4" t="s">
        <v>21</v>
      </c>
      <c r="F1271" s="4">
        <f t="shared" si="2"/>
        <v>8</v>
      </c>
    </row>
    <row r="1272">
      <c r="A1272" s="5">
        <v>43880.65734953704</v>
      </c>
      <c r="B1272" s="7">
        <f t="shared" si="1"/>
        <v>43880</v>
      </c>
      <c r="C1272" s="33" t="s">
        <v>16</v>
      </c>
      <c r="D1272" s="4" t="s">
        <v>21</v>
      </c>
      <c r="E1272" s="4" t="s">
        <v>21</v>
      </c>
      <c r="F1272" s="4">
        <f t="shared" si="2"/>
        <v>8</v>
      </c>
    </row>
    <row r="1273">
      <c r="A1273" s="5">
        <v>43880.657476851855</v>
      </c>
      <c r="B1273" s="7">
        <f t="shared" si="1"/>
        <v>43880</v>
      </c>
      <c r="C1273" s="33" t="s">
        <v>16</v>
      </c>
      <c r="D1273" s="4" t="s">
        <v>21</v>
      </c>
      <c r="E1273" s="4" t="s">
        <v>21</v>
      </c>
      <c r="F1273" s="4">
        <f t="shared" si="2"/>
        <v>8</v>
      </c>
    </row>
    <row r="1274">
      <c r="A1274" s="5">
        <v>43880.657534722224</v>
      </c>
      <c r="B1274" s="7">
        <f t="shared" si="1"/>
        <v>43880</v>
      </c>
      <c r="C1274" s="33" t="s">
        <v>16</v>
      </c>
      <c r="D1274" s="4" t="s">
        <v>21</v>
      </c>
      <c r="E1274" s="4" t="s">
        <v>21</v>
      </c>
      <c r="F1274" s="4">
        <f t="shared" si="2"/>
        <v>8</v>
      </c>
    </row>
    <row r="1275">
      <c r="A1275" s="5">
        <v>43880.65770833333</v>
      </c>
      <c r="B1275" s="7">
        <f t="shared" si="1"/>
        <v>43880</v>
      </c>
      <c r="C1275" s="33" t="s">
        <v>16</v>
      </c>
      <c r="D1275" s="4" t="s">
        <v>21</v>
      </c>
      <c r="E1275" s="4" t="s">
        <v>21</v>
      </c>
      <c r="F1275" s="4">
        <f t="shared" si="2"/>
        <v>8</v>
      </c>
    </row>
    <row r="1276">
      <c r="A1276" s="5">
        <v>43880.65783564815</v>
      </c>
      <c r="B1276" s="7">
        <f t="shared" si="1"/>
        <v>43880</v>
      </c>
      <c r="C1276" s="33" t="s">
        <v>16</v>
      </c>
      <c r="D1276" s="4" t="s">
        <v>21</v>
      </c>
      <c r="E1276" s="4" t="s">
        <v>21</v>
      </c>
      <c r="F1276" s="4">
        <f t="shared" si="2"/>
        <v>8</v>
      </c>
    </row>
    <row r="1277">
      <c r="A1277" s="5">
        <v>43880.657905092594</v>
      </c>
      <c r="B1277" s="7">
        <f t="shared" si="1"/>
        <v>43880</v>
      </c>
      <c r="C1277" s="33" t="s">
        <v>16</v>
      </c>
      <c r="D1277" s="4" t="s">
        <v>21</v>
      </c>
      <c r="E1277" s="4" t="s">
        <v>21</v>
      </c>
      <c r="F1277" s="4">
        <f t="shared" si="2"/>
        <v>8</v>
      </c>
    </row>
    <row r="1278">
      <c r="A1278" s="5">
        <v>43880.658055555556</v>
      </c>
      <c r="B1278" s="7">
        <f t="shared" si="1"/>
        <v>43880</v>
      </c>
      <c r="C1278" s="33" t="s">
        <v>16</v>
      </c>
      <c r="D1278" s="4" t="s">
        <v>21</v>
      </c>
      <c r="E1278" s="4" t="s">
        <v>21</v>
      </c>
      <c r="F1278" s="4">
        <f t="shared" si="2"/>
        <v>8</v>
      </c>
    </row>
    <row r="1279">
      <c r="A1279" s="5">
        <v>43880.658125</v>
      </c>
      <c r="B1279" s="7">
        <f t="shared" si="1"/>
        <v>43880</v>
      </c>
      <c r="C1279" s="33" t="s">
        <v>16</v>
      </c>
      <c r="D1279" s="4" t="s">
        <v>21</v>
      </c>
      <c r="E1279" s="4" t="s">
        <v>21</v>
      </c>
      <c r="F1279" s="4">
        <f t="shared" si="2"/>
        <v>8</v>
      </c>
    </row>
    <row r="1280">
      <c r="A1280" s="5">
        <v>43880.658229166664</v>
      </c>
      <c r="B1280" s="7">
        <f t="shared" si="1"/>
        <v>43880</v>
      </c>
      <c r="C1280" s="33" t="s">
        <v>16</v>
      </c>
      <c r="D1280" s="4" t="s">
        <v>21</v>
      </c>
      <c r="E1280" s="4" t="s">
        <v>21</v>
      </c>
      <c r="F1280" s="4">
        <f t="shared" si="2"/>
        <v>8</v>
      </c>
    </row>
    <row r="1281">
      <c r="A1281" s="5">
        <v>43880.65828703704</v>
      </c>
      <c r="B1281" s="7">
        <f t="shared" si="1"/>
        <v>43880</v>
      </c>
      <c r="C1281" s="33" t="s">
        <v>16</v>
      </c>
      <c r="D1281" s="4" t="s">
        <v>21</v>
      </c>
      <c r="E1281" s="4" t="s">
        <v>21</v>
      </c>
      <c r="F1281" s="4">
        <f t="shared" si="2"/>
        <v>8</v>
      </c>
    </row>
    <row r="1282">
      <c r="A1282" s="5">
        <v>43880.65835648148</v>
      </c>
      <c r="B1282" s="7">
        <f t="shared" si="1"/>
        <v>43880</v>
      </c>
      <c r="C1282" s="33" t="s">
        <v>16</v>
      </c>
      <c r="D1282" s="4" t="s">
        <v>21</v>
      </c>
      <c r="E1282" s="4" t="s">
        <v>21</v>
      </c>
      <c r="F1282" s="4">
        <f t="shared" si="2"/>
        <v>8</v>
      </c>
    </row>
    <row r="1283">
      <c r="A1283" s="5">
        <v>43880.65850694444</v>
      </c>
      <c r="B1283" s="7">
        <f t="shared" si="1"/>
        <v>43880</v>
      </c>
      <c r="C1283" s="33" t="s">
        <v>16</v>
      </c>
      <c r="D1283" s="4" t="s">
        <v>21</v>
      </c>
      <c r="E1283" s="4" t="s">
        <v>21</v>
      </c>
      <c r="F1283" s="4">
        <f t="shared" si="2"/>
        <v>8</v>
      </c>
    </row>
    <row r="1284">
      <c r="A1284" s="5">
        <v>43880.65857638889</v>
      </c>
      <c r="B1284" s="7">
        <f t="shared" si="1"/>
        <v>43880</v>
      </c>
      <c r="C1284" s="33" t="s">
        <v>16</v>
      </c>
      <c r="D1284" s="4" t="s">
        <v>21</v>
      </c>
      <c r="E1284" s="4" t="s">
        <v>21</v>
      </c>
      <c r="F1284" s="4">
        <f t="shared" si="2"/>
        <v>8</v>
      </c>
    </row>
    <row r="1285">
      <c r="A1285" s="5">
        <v>43880.65872685185</v>
      </c>
      <c r="B1285" s="7">
        <f t="shared" si="1"/>
        <v>43880</v>
      </c>
      <c r="C1285" s="33" t="s">
        <v>16</v>
      </c>
      <c r="D1285" s="4" t="s">
        <v>21</v>
      </c>
      <c r="E1285" s="4" t="s">
        <v>21</v>
      </c>
      <c r="F1285" s="4">
        <f t="shared" si="2"/>
        <v>8</v>
      </c>
    </row>
    <row r="1286">
      <c r="A1286" s="5">
        <v>43880.65892361111</v>
      </c>
      <c r="B1286" s="7">
        <f t="shared" si="1"/>
        <v>43880</v>
      </c>
      <c r="C1286" s="33" t="s">
        <v>16</v>
      </c>
      <c r="D1286" s="4" t="s">
        <v>21</v>
      </c>
      <c r="E1286" s="4" t="s">
        <v>21</v>
      </c>
      <c r="F1286" s="4">
        <f t="shared" si="2"/>
        <v>8</v>
      </c>
    </row>
    <row r="1287">
      <c r="A1287" s="5">
        <v>43880.65898148148</v>
      </c>
      <c r="B1287" s="7">
        <f t="shared" si="1"/>
        <v>43880</v>
      </c>
      <c r="C1287" s="33" t="s">
        <v>16</v>
      </c>
      <c r="D1287" s="4" t="s">
        <v>21</v>
      </c>
      <c r="E1287" s="4" t="s">
        <v>21</v>
      </c>
      <c r="F1287" s="4">
        <f t="shared" si="2"/>
        <v>8</v>
      </c>
    </row>
    <row r="1288">
      <c r="A1288" s="5">
        <v>43880.65912037037</v>
      </c>
      <c r="B1288" s="7">
        <f t="shared" si="1"/>
        <v>43880</v>
      </c>
      <c r="C1288" s="33" t="s">
        <v>16</v>
      </c>
      <c r="D1288" s="4" t="s">
        <v>21</v>
      </c>
      <c r="E1288" s="4" t="s">
        <v>21</v>
      </c>
      <c r="F1288" s="4">
        <f t="shared" si="2"/>
        <v>8</v>
      </c>
    </row>
    <row r="1289">
      <c r="A1289" s="5">
        <v>43880.659317129626</v>
      </c>
      <c r="B1289" s="7">
        <f t="shared" si="1"/>
        <v>43880</v>
      </c>
      <c r="C1289" s="33" t="s">
        <v>16</v>
      </c>
      <c r="D1289" s="4" t="s">
        <v>21</v>
      </c>
      <c r="E1289" s="4" t="s">
        <v>21</v>
      </c>
      <c r="F1289" s="4">
        <f t="shared" si="2"/>
        <v>8</v>
      </c>
    </row>
    <row r="1290">
      <c r="A1290" s="5">
        <v>43880.659375</v>
      </c>
      <c r="B1290" s="7">
        <f t="shared" si="1"/>
        <v>43880</v>
      </c>
      <c r="C1290" s="33" t="s">
        <v>16</v>
      </c>
      <c r="D1290" s="4" t="s">
        <v>21</v>
      </c>
      <c r="E1290" s="4" t="s">
        <v>21</v>
      </c>
      <c r="F1290" s="4">
        <f t="shared" si="2"/>
        <v>8</v>
      </c>
    </row>
    <row r="1291">
      <c r="A1291" s="5">
        <v>43880.659525462965</v>
      </c>
      <c r="B1291" s="7">
        <f t="shared" si="1"/>
        <v>43880</v>
      </c>
      <c r="C1291" s="33" t="s">
        <v>16</v>
      </c>
      <c r="D1291" s="4" t="s">
        <v>21</v>
      </c>
      <c r="E1291" s="4" t="s">
        <v>21</v>
      </c>
      <c r="F1291" s="4">
        <f t="shared" si="2"/>
        <v>8</v>
      </c>
    </row>
    <row r="1292">
      <c r="A1292" s="5">
        <v>43880.65959490741</v>
      </c>
      <c r="B1292" s="7">
        <f t="shared" si="1"/>
        <v>43880</v>
      </c>
      <c r="C1292" s="33" t="s">
        <v>16</v>
      </c>
      <c r="D1292" s="4" t="s">
        <v>21</v>
      </c>
      <c r="E1292" s="4" t="s">
        <v>21</v>
      </c>
      <c r="F1292" s="4">
        <f t="shared" si="2"/>
        <v>8</v>
      </c>
    </row>
    <row r="1293">
      <c r="A1293" s="5">
        <v>43880.659780092596</v>
      </c>
      <c r="B1293" s="7">
        <f t="shared" si="1"/>
        <v>43880</v>
      </c>
      <c r="C1293" s="33" t="s">
        <v>16</v>
      </c>
      <c r="D1293" s="4" t="s">
        <v>21</v>
      </c>
      <c r="E1293" s="4" t="s">
        <v>21</v>
      </c>
      <c r="F1293" s="4">
        <f t="shared" si="2"/>
        <v>8</v>
      </c>
    </row>
    <row r="1294">
      <c r="A1294" s="5">
        <v>43880.659849537034</v>
      </c>
      <c r="B1294" s="7">
        <f t="shared" si="1"/>
        <v>43880</v>
      </c>
      <c r="C1294" s="33" t="s">
        <v>16</v>
      </c>
      <c r="D1294" s="4" t="s">
        <v>21</v>
      </c>
      <c r="E1294" s="4" t="s">
        <v>21</v>
      </c>
      <c r="F1294" s="4">
        <f t="shared" si="2"/>
        <v>8</v>
      </c>
    </row>
    <row r="1295">
      <c r="A1295" s="5">
        <v>43881.38217592592</v>
      </c>
      <c r="B1295" s="7">
        <f t="shared" si="1"/>
        <v>43881</v>
      </c>
      <c r="C1295" s="33" t="s">
        <v>16</v>
      </c>
      <c r="D1295" s="4" t="s">
        <v>21</v>
      </c>
      <c r="E1295" s="4" t="s">
        <v>21</v>
      </c>
      <c r="F1295" s="4">
        <f t="shared" si="2"/>
        <v>8</v>
      </c>
    </row>
    <row r="1296">
      <c r="A1296" s="5">
        <v>43881.382268518515</v>
      </c>
      <c r="B1296" s="7">
        <f t="shared" si="1"/>
        <v>43881</v>
      </c>
      <c r="C1296" s="33" t="s">
        <v>16</v>
      </c>
      <c r="D1296" s="4" t="s">
        <v>21</v>
      </c>
      <c r="E1296" s="4" t="s">
        <v>21</v>
      </c>
      <c r="F1296" s="4">
        <f t="shared" si="2"/>
        <v>8</v>
      </c>
    </row>
    <row r="1297">
      <c r="A1297" s="5">
        <v>43899.57896990741</v>
      </c>
      <c r="B1297" s="7">
        <f t="shared" si="1"/>
        <v>43899</v>
      </c>
      <c r="C1297" s="33" t="s">
        <v>16</v>
      </c>
      <c r="D1297" s="4" t="s">
        <v>21</v>
      </c>
      <c r="E1297" s="4" t="s">
        <v>21</v>
      </c>
      <c r="F1297" s="4">
        <f t="shared" si="2"/>
        <v>11</v>
      </c>
    </row>
    <row r="1298">
      <c r="A1298" s="5">
        <v>43906.35899305555</v>
      </c>
      <c r="B1298" s="7">
        <f t="shared" si="1"/>
        <v>43906</v>
      </c>
      <c r="C1298" s="33" t="s">
        <v>16</v>
      </c>
      <c r="D1298" s="4" t="s">
        <v>21</v>
      </c>
      <c r="E1298" s="4" t="s">
        <v>21</v>
      </c>
      <c r="F1298" s="4">
        <f t="shared" si="2"/>
        <v>12</v>
      </c>
    </row>
    <row r="1299">
      <c r="A1299" s="5">
        <v>43906.359189814815</v>
      </c>
      <c r="B1299" s="7">
        <f t="shared" si="1"/>
        <v>43906</v>
      </c>
      <c r="C1299" s="33" t="s">
        <v>16</v>
      </c>
      <c r="D1299" s="4" t="s">
        <v>21</v>
      </c>
      <c r="E1299" s="4" t="s">
        <v>21</v>
      </c>
      <c r="F1299" s="4">
        <f t="shared" si="2"/>
        <v>12</v>
      </c>
    </row>
    <row r="1300">
      <c r="A1300" s="5">
        <v>43906.35927083333</v>
      </c>
      <c r="B1300" s="7">
        <f t="shared" si="1"/>
        <v>43906</v>
      </c>
      <c r="C1300" s="33" t="s">
        <v>16</v>
      </c>
      <c r="D1300" s="4" t="s">
        <v>21</v>
      </c>
      <c r="E1300" s="4" t="s">
        <v>21</v>
      </c>
      <c r="F1300" s="4">
        <f t="shared" si="2"/>
        <v>12</v>
      </c>
    </row>
    <row r="1301">
      <c r="A1301" s="5">
        <v>43906.359351851854</v>
      </c>
      <c r="B1301" s="7">
        <f t="shared" si="1"/>
        <v>43906</v>
      </c>
      <c r="C1301" s="33" t="s">
        <v>16</v>
      </c>
      <c r="D1301" s="4" t="s">
        <v>21</v>
      </c>
      <c r="E1301" s="4" t="s">
        <v>21</v>
      </c>
      <c r="F1301" s="4">
        <f t="shared" si="2"/>
        <v>12</v>
      </c>
    </row>
    <row r="1302">
      <c r="A1302" s="5">
        <v>43906.35943287037</v>
      </c>
      <c r="B1302" s="7">
        <f t="shared" si="1"/>
        <v>43906</v>
      </c>
      <c r="C1302" s="33" t="s">
        <v>16</v>
      </c>
      <c r="D1302" s="4" t="s">
        <v>21</v>
      </c>
      <c r="E1302" s="4" t="s">
        <v>21</v>
      </c>
      <c r="F1302" s="4">
        <f t="shared" si="2"/>
        <v>12</v>
      </c>
    </row>
    <row r="1303">
      <c r="A1303" s="5">
        <v>43906.359502314815</v>
      </c>
      <c r="B1303" s="7">
        <f t="shared" si="1"/>
        <v>43906</v>
      </c>
      <c r="C1303" s="33" t="s">
        <v>16</v>
      </c>
      <c r="D1303" s="4" t="s">
        <v>21</v>
      </c>
      <c r="E1303" s="4" t="s">
        <v>21</v>
      </c>
      <c r="F1303" s="4">
        <f t="shared" si="2"/>
        <v>12</v>
      </c>
    </row>
    <row r="1304">
      <c r="A1304" s="5">
        <v>43906.359618055554</v>
      </c>
      <c r="B1304" s="7">
        <f t="shared" si="1"/>
        <v>43906</v>
      </c>
      <c r="C1304" s="33" t="s">
        <v>16</v>
      </c>
      <c r="D1304" s="4" t="s">
        <v>21</v>
      </c>
      <c r="E1304" s="4" t="s">
        <v>21</v>
      </c>
      <c r="F1304" s="4">
        <f t="shared" si="2"/>
        <v>12</v>
      </c>
    </row>
    <row r="1305">
      <c r="A1305" s="5">
        <v>43906.35969907408</v>
      </c>
      <c r="B1305" s="7">
        <f t="shared" si="1"/>
        <v>43906</v>
      </c>
      <c r="C1305" s="33" t="s">
        <v>16</v>
      </c>
      <c r="D1305" s="4" t="s">
        <v>21</v>
      </c>
      <c r="E1305" s="4" t="s">
        <v>21</v>
      </c>
      <c r="F1305" s="4">
        <f t="shared" si="2"/>
        <v>12</v>
      </c>
    </row>
    <row r="1306">
      <c r="A1306" s="5">
        <v>43906.50561342593</v>
      </c>
      <c r="B1306" s="7">
        <f t="shared" si="1"/>
        <v>43906</v>
      </c>
      <c r="C1306" s="33" t="s">
        <v>16</v>
      </c>
      <c r="D1306" s="4" t="s">
        <v>21</v>
      </c>
      <c r="E1306" s="4" t="s">
        <v>21</v>
      </c>
      <c r="F1306" s="4">
        <f t="shared" si="2"/>
        <v>12</v>
      </c>
    </row>
    <row r="1307">
      <c r="A1307" s="5">
        <v>43930.34462962963</v>
      </c>
      <c r="B1307" s="7">
        <f t="shared" si="1"/>
        <v>43930</v>
      </c>
      <c r="C1307" s="33" t="s">
        <v>16</v>
      </c>
      <c r="D1307" s="4" t="s">
        <v>21</v>
      </c>
      <c r="E1307" s="4" t="s">
        <v>21</v>
      </c>
      <c r="F1307" s="4">
        <f t="shared" si="2"/>
        <v>15</v>
      </c>
    </row>
    <row r="1308">
      <c r="A1308" s="5">
        <v>43930.34469907408</v>
      </c>
      <c r="B1308" s="7">
        <f t="shared" si="1"/>
        <v>43930</v>
      </c>
      <c r="C1308" s="33" t="s">
        <v>16</v>
      </c>
      <c r="D1308" s="4" t="s">
        <v>21</v>
      </c>
      <c r="E1308" s="4" t="s">
        <v>21</v>
      </c>
      <c r="F1308" s="4">
        <f t="shared" si="2"/>
        <v>15</v>
      </c>
    </row>
    <row r="1309">
      <c r="A1309" s="5">
        <v>43930.34478009259</v>
      </c>
      <c r="B1309" s="7">
        <f t="shared" si="1"/>
        <v>43930</v>
      </c>
      <c r="C1309" s="33" t="s">
        <v>16</v>
      </c>
      <c r="D1309" s="4" t="s">
        <v>21</v>
      </c>
      <c r="E1309" s="4" t="s">
        <v>21</v>
      </c>
      <c r="F1309" s="4">
        <f t="shared" si="2"/>
        <v>15</v>
      </c>
    </row>
    <row r="1310">
      <c r="A1310" s="5">
        <v>43930.34484953704</v>
      </c>
      <c r="B1310" s="7">
        <f t="shared" si="1"/>
        <v>43930</v>
      </c>
      <c r="C1310" s="33" t="s">
        <v>16</v>
      </c>
      <c r="D1310" s="4" t="s">
        <v>21</v>
      </c>
      <c r="E1310" s="4" t="s">
        <v>21</v>
      </c>
      <c r="F1310" s="4">
        <f t="shared" si="2"/>
        <v>15</v>
      </c>
    </row>
    <row r="1311">
      <c r="A1311" s="5">
        <v>43930.344930555555</v>
      </c>
      <c r="B1311" s="7">
        <f t="shared" si="1"/>
        <v>43930</v>
      </c>
      <c r="C1311" s="33" t="s">
        <v>16</v>
      </c>
      <c r="D1311" s="4" t="s">
        <v>21</v>
      </c>
      <c r="E1311" s="4" t="s">
        <v>21</v>
      </c>
      <c r="F1311" s="4">
        <f t="shared" si="2"/>
        <v>15</v>
      </c>
    </row>
    <row r="1312">
      <c r="A1312" s="5">
        <v>43930.345</v>
      </c>
      <c r="B1312" s="7">
        <f t="shared" si="1"/>
        <v>43930</v>
      </c>
      <c r="C1312" s="33" t="s">
        <v>16</v>
      </c>
      <c r="D1312" s="4" t="s">
        <v>21</v>
      </c>
      <c r="E1312" s="4" t="s">
        <v>21</v>
      </c>
      <c r="F1312" s="4">
        <f t="shared" si="2"/>
        <v>15</v>
      </c>
    </row>
    <row r="1313">
      <c r="A1313" s="5">
        <v>43976.78596064815</v>
      </c>
      <c r="B1313" s="7">
        <f t="shared" si="1"/>
        <v>43976</v>
      </c>
      <c r="C1313" s="33" t="s">
        <v>16</v>
      </c>
      <c r="D1313" s="4" t="s">
        <v>21</v>
      </c>
      <c r="E1313" s="4" t="s">
        <v>21</v>
      </c>
      <c r="F1313" s="4">
        <f t="shared" si="2"/>
        <v>22</v>
      </c>
    </row>
    <row r="1314">
      <c r="A1314" s="5">
        <v>43761.578194444446</v>
      </c>
      <c r="B1314" s="7">
        <f t="shared" si="1"/>
        <v>43761</v>
      </c>
      <c r="C1314" s="33" t="s">
        <v>16</v>
      </c>
      <c r="D1314" s="4" t="s">
        <v>21</v>
      </c>
      <c r="E1314" s="4" t="s">
        <v>21</v>
      </c>
      <c r="F1314" s="4">
        <f t="shared" si="2"/>
        <v>43</v>
      </c>
    </row>
    <row r="1315">
      <c r="A1315" s="5">
        <v>43865.290289351855</v>
      </c>
      <c r="B1315" s="7">
        <f t="shared" si="1"/>
        <v>43865</v>
      </c>
      <c r="C1315" s="33" t="s">
        <v>16</v>
      </c>
      <c r="D1315" s="4" t="s">
        <v>21</v>
      </c>
      <c r="E1315" s="4" t="s">
        <v>21</v>
      </c>
      <c r="F1315" s="4">
        <f t="shared" si="2"/>
        <v>6</v>
      </c>
    </row>
    <row r="1316">
      <c r="A1316" s="5">
        <v>43887.407013888886</v>
      </c>
      <c r="B1316" s="7">
        <f t="shared" si="1"/>
        <v>43887</v>
      </c>
      <c r="C1316" s="33" t="s">
        <v>16</v>
      </c>
      <c r="D1316" s="4" t="s">
        <v>21</v>
      </c>
      <c r="E1316" s="4" t="s">
        <v>21</v>
      </c>
      <c r="F1316" s="4">
        <f t="shared" si="2"/>
        <v>9</v>
      </c>
    </row>
    <row r="1317">
      <c r="A1317" s="5">
        <v>43991.85701388889</v>
      </c>
      <c r="B1317" s="7">
        <f t="shared" si="1"/>
        <v>43991</v>
      </c>
      <c r="C1317" s="33" t="s">
        <v>16</v>
      </c>
      <c r="D1317" s="4" t="s">
        <v>21</v>
      </c>
      <c r="E1317" s="4" t="s">
        <v>21</v>
      </c>
      <c r="F1317" s="4">
        <f t="shared" si="2"/>
        <v>24</v>
      </c>
    </row>
    <row r="1318">
      <c r="A1318" s="5">
        <v>43992.38873842593</v>
      </c>
      <c r="B1318" s="7">
        <f t="shared" si="1"/>
        <v>43992</v>
      </c>
      <c r="C1318" s="33" t="s">
        <v>16</v>
      </c>
      <c r="D1318" s="4" t="s">
        <v>21</v>
      </c>
      <c r="E1318" s="4" t="s">
        <v>21</v>
      </c>
      <c r="F1318" s="4">
        <f t="shared" si="2"/>
        <v>24</v>
      </c>
    </row>
    <row r="1319">
      <c r="A1319" s="5">
        <v>43811.11</v>
      </c>
      <c r="B1319" s="7">
        <f t="shared" si="1"/>
        <v>43811</v>
      </c>
      <c r="C1319" s="33" t="s">
        <v>16</v>
      </c>
      <c r="D1319" s="4" t="s">
        <v>21</v>
      </c>
      <c r="E1319" s="4" t="s">
        <v>21</v>
      </c>
      <c r="F1319" s="4">
        <f t="shared" si="2"/>
        <v>50</v>
      </c>
    </row>
    <row r="1320">
      <c r="A1320" s="5">
        <v>43837.28527777778</v>
      </c>
      <c r="B1320" s="7">
        <f t="shared" si="1"/>
        <v>43837</v>
      </c>
      <c r="C1320" s="33" t="s">
        <v>16</v>
      </c>
      <c r="D1320" s="4" t="s">
        <v>21</v>
      </c>
      <c r="E1320" s="4" t="s">
        <v>21</v>
      </c>
      <c r="F1320" s="4">
        <f t="shared" si="2"/>
        <v>2</v>
      </c>
    </row>
    <row r="1321">
      <c r="A1321" s="5">
        <v>43857.730833333335</v>
      </c>
      <c r="B1321" s="7">
        <f t="shared" si="1"/>
        <v>43857</v>
      </c>
      <c r="C1321" s="33" t="s">
        <v>16</v>
      </c>
      <c r="D1321" s="4" t="s">
        <v>21</v>
      </c>
      <c r="E1321" s="4" t="s">
        <v>23</v>
      </c>
      <c r="F1321" s="4">
        <f t="shared" si="2"/>
        <v>5</v>
      </c>
    </row>
    <row r="1322">
      <c r="A1322" s="5">
        <v>43880.50607638889</v>
      </c>
      <c r="B1322" s="7">
        <f t="shared" si="1"/>
        <v>43880</v>
      </c>
      <c r="C1322" s="33" t="s">
        <v>16</v>
      </c>
      <c r="D1322" s="4" t="s">
        <v>21</v>
      </c>
      <c r="E1322" s="4" t="s">
        <v>21</v>
      </c>
      <c r="F1322" s="4">
        <f t="shared" si="2"/>
        <v>8</v>
      </c>
    </row>
    <row r="1323">
      <c r="A1323" s="5">
        <v>43881.65642361111</v>
      </c>
      <c r="B1323" s="7">
        <f t="shared" si="1"/>
        <v>43881</v>
      </c>
      <c r="C1323" s="33" t="s">
        <v>16</v>
      </c>
      <c r="D1323" s="4" t="s">
        <v>21</v>
      </c>
      <c r="E1323" s="4" t="s">
        <v>21</v>
      </c>
      <c r="F1323" s="4">
        <f t="shared" si="2"/>
        <v>8</v>
      </c>
    </row>
    <row r="1324">
      <c r="A1324" s="5">
        <v>43886.10402777778</v>
      </c>
      <c r="B1324" s="7">
        <f t="shared" si="1"/>
        <v>43886</v>
      </c>
      <c r="C1324" s="33" t="s">
        <v>16</v>
      </c>
      <c r="D1324" s="4" t="s">
        <v>21</v>
      </c>
      <c r="E1324" s="4" t="s">
        <v>21</v>
      </c>
      <c r="F1324" s="4">
        <f t="shared" si="2"/>
        <v>9</v>
      </c>
    </row>
    <row r="1325">
      <c r="A1325" s="5">
        <v>43887.0953125</v>
      </c>
      <c r="B1325" s="7">
        <f t="shared" si="1"/>
        <v>43887</v>
      </c>
      <c r="C1325" s="33" t="s">
        <v>16</v>
      </c>
      <c r="D1325" s="4" t="s">
        <v>21</v>
      </c>
      <c r="E1325" s="4" t="s">
        <v>21</v>
      </c>
      <c r="F1325" s="4">
        <f t="shared" si="2"/>
        <v>9</v>
      </c>
    </row>
    <row r="1326">
      <c r="A1326" s="5">
        <v>43938.65508101852</v>
      </c>
      <c r="B1326" s="7">
        <f t="shared" si="1"/>
        <v>43938</v>
      </c>
      <c r="C1326" s="33" t="s">
        <v>16</v>
      </c>
      <c r="D1326" s="4" t="s">
        <v>21</v>
      </c>
      <c r="E1326" s="4" t="s">
        <v>21</v>
      </c>
      <c r="F1326" s="4">
        <f t="shared" si="2"/>
        <v>16</v>
      </c>
    </row>
    <row r="1327">
      <c r="A1327" s="5">
        <v>43962.57606481481</v>
      </c>
      <c r="B1327" s="7">
        <f t="shared" si="1"/>
        <v>43962</v>
      </c>
      <c r="C1327" s="33" t="s">
        <v>16</v>
      </c>
      <c r="D1327" s="4" t="s">
        <v>21</v>
      </c>
      <c r="E1327" s="4" t="s">
        <v>21</v>
      </c>
      <c r="F1327" s="4">
        <f t="shared" si="2"/>
        <v>20</v>
      </c>
    </row>
    <row r="1328">
      <c r="A1328" s="5">
        <v>43837.94521990741</v>
      </c>
      <c r="B1328" s="7">
        <f t="shared" si="1"/>
        <v>43837</v>
      </c>
      <c r="C1328" s="33" t="s">
        <v>16</v>
      </c>
      <c r="D1328" s="4" t="s">
        <v>21</v>
      </c>
      <c r="E1328" s="4" t="s">
        <v>21</v>
      </c>
      <c r="F1328" s="4">
        <f t="shared" si="2"/>
        <v>2</v>
      </c>
    </row>
    <row r="1329">
      <c r="A1329" s="5">
        <v>43971.428136574075</v>
      </c>
      <c r="B1329" s="7">
        <f t="shared" si="1"/>
        <v>43971</v>
      </c>
      <c r="C1329" s="33" t="s">
        <v>16</v>
      </c>
      <c r="D1329" s="4" t="s">
        <v>21</v>
      </c>
      <c r="E1329" s="4" t="s">
        <v>21</v>
      </c>
      <c r="F1329" s="4">
        <f t="shared" si="2"/>
        <v>21</v>
      </c>
    </row>
    <row r="1330">
      <c r="A1330" s="5">
        <v>43997.59337962963</v>
      </c>
      <c r="B1330" s="7">
        <f t="shared" si="1"/>
        <v>43997</v>
      </c>
      <c r="C1330" s="33" t="s">
        <v>16</v>
      </c>
      <c r="D1330" s="4" t="s">
        <v>21</v>
      </c>
      <c r="E1330" s="4" t="s">
        <v>21</v>
      </c>
      <c r="F1330" s="4">
        <f t="shared" si="2"/>
        <v>25</v>
      </c>
    </row>
    <row r="1331">
      <c r="A1331" s="5">
        <v>43997.59511574074</v>
      </c>
      <c r="B1331" s="7">
        <f t="shared" si="1"/>
        <v>43997</v>
      </c>
      <c r="C1331" s="33" t="s">
        <v>16</v>
      </c>
      <c r="D1331" s="4" t="s">
        <v>21</v>
      </c>
      <c r="E1331" s="4" t="s">
        <v>21</v>
      </c>
      <c r="F1331" s="4">
        <f t="shared" si="2"/>
        <v>25</v>
      </c>
    </row>
    <row r="1332">
      <c r="A1332" s="5">
        <v>43997.59988425926</v>
      </c>
      <c r="B1332" s="7">
        <f t="shared" si="1"/>
        <v>43997</v>
      </c>
      <c r="C1332" s="33" t="s">
        <v>16</v>
      </c>
      <c r="D1332" s="4" t="s">
        <v>21</v>
      </c>
      <c r="E1332" s="4" t="s">
        <v>21</v>
      </c>
      <c r="F1332" s="4">
        <f t="shared" si="2"/>
        <v>25</v>
      </c>
    </row>
    <row r="1333">
      <c r="A1333" s="5">
        <v>43998.547106481485</v>
      </c>
      <c r="B1333" s="7">
        <f t="shared" si="1"/>
        <v>43998</v>
      </c>
      <c r="C1333" s="33" t="s">
        <v>16</v>
      </c>
      <c r="D1333" s="4" t="s">
        <v>21</v>
      </c>
      <c r="E1333" s="4" t="s">
        <v>21</v>
      </c>
      <c r="F1333" s="4">
        <f t="shared" si="2"/>
        <v>25</v>
      </c>
    </row>
    <row r="1334">
      <c r="A1334" s="5">
        <v>43998.54851851852</v>
      </c>
      <c r="B1334" s="7">
        <f t="shared" si="1"/>
        <v>43998</v>
      </c>
      <c r="C1334" s="33" t="s">
        <v>16</v>
      </c>
      <c r="D1334" s="4" t="s">
        <v>21</v>
      </c>
      <c r="E1334" s="4" t="s">
        <v>21</v>
      </c>
      <c r="F1334" s="4">
        <f t="shared" si="2"/>
        <v>25</v>
      </c>
    </row>
    <row r="1335">
      <c r="A1335" s="5">
        <v>43998.5487037037</v>
      </c>
      <c r="B1335" s="7">
        <f t="shared" si="1"/>
        <v>43998</v>
      </c>
      <c r="C1335" s="33" t="s">
        <v>16</v>
      </c>
      <c r="D1335" s="4" t="s">
        <v>21</v>
      </c>
      <c r="E1335" s="4" t="s">
        <v>21</v>
      </c>
      <c r="F1335" s="4">
        <f t="shared" si="2"/>
        <v>25</v>
      </c>
    </row>
    <row r="1336">
      <c r="A1336" s="5">
        <v>43998.54949074074</v>
      </c>
      <c r="B1336" s="7">
        <f t="shared" si="1"/>
        <v>43998</v>
      </c>
      <c r="C1336" s="33" t="s">
        <v>16</v>
      </c>
      <c r="D1336" s="4" t="s">
        <v>21</v>
      </c>
      <c r="E1336" s="4" t="s">
        <v>21</v>
      </c>
      <c r="F1336" s="4">
        <f t="shared" si="2"/>
        <v>25</v>
      </c>
    </row>
    <row r="1337">
      <c r="A1337" s="5">
        <v>43998.55152777778</v>
      </c>
      <c r="B1337" s="7">
        <f t="shared" si="1"/>
        <v>43998</v>
      </c>
      <c r="C1337" s="33" t="s">
        <v>16</v>
      </c>
      <c r="D1337" s="4" t="s">
        <v>21</v>
      </c>
      <c r="E1337" s="4" t="s">
        <v>21</v>
      </c>
      <c r="F1337" s="4">
        <f t="shared" si="2"/>
        <v>25</v>
      </c>
    </row>
    <row r="1338">
      <c r="A1338" s="5">
        <v>43998.551712962966</v>
      </c>
      <c r="B1338" s="7">
        <f t="shared" si="1"/>
        <v>43998</v>
      </c>
      <c r="C1338" s="33" t="s">
        <v>16</v>
      </c>
      <c r="D1338" s="4" t="s">
        <v>21</v>
      </c>
      <c r="E1338" s="4" t="s">
        <v>21</v>
      </c>
      <c r="F1338" s="4">
        <f t="shared" si="2"/>
        <v>25</v>
      </c>
    </row>
    <row r="1339">
      <c r="A1339" s="5">
        <v>43998.55322916667</v>
      </c>
      <c r="B1339" s="7">
        <f t="shared" si="1"/>
        <v>43998</v>
      </c>
      <c r="C1339" s="33" t="s">
        <v>16</v>
      </c>
      <c r="D1339" s="4" t="s">
        <v>21</v>
      </c>
      <c r="E1339" s="4" t="s">
        <v>21</v>
      </c>
      <c r="F1339" s="4">
        <f t="shared" si="2"/>
        <v>25</v>
      </c>
    </row>
    <row r="1340">
      <c r="A1340" s="5">
        <v>43998.5537962963</v>
      </c>
      <c r="B1340" s="7">
        <f t="shared" si="1"/>
        <v>43998</v>
      </c>
      <c r="C1340" s="33" t="s">
        <v>16</v>
      </c>
      <c r="D1340" s="4" t="s">
        <v>21</v>
      </c>
      <c r="E1340" s="4" t="s">
        <v>21</v>
      </c>
      <c r="F1340" s="4">
        <f t="shared" si="2"/>
        <v>25</v>
      </c>
    </row>
    <row r="1341">
      <c r="A1341" s="5">
        <v>43840.43377314815</v>
      </c>
      <c r="B1341" s="7">
        <f t="shared" si="1"/>
        <v>43840</v>
      </c>
      <c r="C1341" s="33" t="s">
        <v>16</v>
      </c>
      <c r="D1341" s="4" t="s">
        <v>21</v>
      </c>
      <c r="E1341" s="4" t="s">
        <v>21</v>
      </c>
      <c r="F1341" s="4">
        <f t="shared" si="2"/>
        <v>2</v>
      </c>
    </row>
    <row r="1342">
      <c r="A1342" s="5">
        <v>43943.889918981484</v>
      </c>
      <c r="B1342" s="7">
        <f t="shared" si="1"/>
        <v>43943</v>
      </c>
      <c r="C1342" s="33" t="s">
        <v>16</v>
      </c>
      <c r="D1342" s="4" t="s">
        <v>21</v>
      </c>
      <c r="E1342" s="4" t="s">
        <v>21</v>
      </c>
      <c r="F1342" s="4">
        <f t="shared" si="2"/>
        <v>17</v>
      </c>
    </row>
    <row r="1343">
      <c r="A1343" s="5">
        <v>43957.62037037037</v>
      </c>
      <c r="B1343" s="7">
        <f t="shared" si="1"/>
        <v>43957</v>
      </c>
      <c r="C1343" s="33" t="s">
        <v>16</v>
      </c>
      <c r="D1343" s="4" t="s">
        <v>21</v>
      </c>
      <c r="E1343" s="4" t="s">
        <v>21</v>
      </c>
      <c r="F1343" s="4">
        <f t="shared" si="2"/>
        <v>19</v>
      </c>
    </row>
    <row r="1344">
      <c r="A1344" s="5">
        <v>43991.4074537037</v>
      </c>
      <c r="B1344" s="7">
        <f t="shared" si="1"/>
        <v>43991</v>
      </c>
      <c r="C1344" s="33" t="s">
        <v>16</v>
      </c>
      <c r="D1344" s="4" t="s">
        <v>21</v>
      </c>
      <c r="E1344" s="4" t="s">
        <v>21</v>
      </c>
      <c r="F1344" s="4">
        <f t="shared" si="2"/>
        <v>24</v>
      </c>
    </row>
    <row r="1345">
      <c r="A1345" s="5">
        <v>43819.57288194444</v>
      </c>
      <c r="B1345" s="7">
        <f t="shared" si="1"/>
        <v>43819</v>
      </c>
      <c r="C1345" s="33" t="s">
        <v>16</v>
      </c>
      <c r="D1345" s="4" t="s">
        <v>21</v>
      </c>
      <c r="E1345" s="4" t="s">
        <v>21</v>
      </c>
      <c r="F1345" s="4">
        <f t="shared" si="2"/>
        <v>51</v>
      </c>
    </row>
    <row r="1346">
      <c r="A1346" s="5">
        <v>43879.529861111114</v>
      </c>
      <c r="B1346" s="7">
        <f t="shared" si="1"/>
        <v>43879</v>
      </c>
      <c r="C1346" s="33" t="s">
        <v>16</v>
      </c>
      <c r="D1346" s="4" t="s">
        <v>21</v>
      </c>
      <c r="E1346" s="4" t="s">
        <v>21</v>
      </c>
      <c r="F1346" s="4">
        <f t="shared" si="2"/>
        <v>8</v>
      </c>
    </row>
    <row r="1347">
      <c r="A1347" s="5">
        <v>43879.7130787037</v>
      </c>
      <c r="B1347" s="7">
        <f t="shared" si="1"/>
        <v>43879</v>
      </c>
      <c r="C1347" s="33" t="s">
        <v>16</v>
      </c>
      <c r="D1347" s="4" t="s">
        <v>21</v>
      </c>
      <c r="E1347" s="4" t="s">
        <v>21</v>
      </c>
      <c r="F1347" s="4">
        <f t="shared" si="2"/>
        <v>8</v>
      </c>
    </row>
    <row r="1348">
      <c r="A1348" s="5">
        <v>43879.713159722225</v>
      </c>
      <c r="B1348" s="7">
        <f t="shared" si="1"/>
        <v>43879</v>
      </c>
      <c r="C1348" s="33" t="s">
        <v>16</v>
      </c>
      <c r="D1348" s="4" t="s">
        <v>21</v>
      </c>
      <c r="E1348" s="4" t="s">
        <v>21</v>
      </c>
      <c r="F1348" s="4">
        <f t="shared" si="2"/>
        <v>8</v>
      </c>
    </row>
    <row r="1349">
      <c r="A1349" s="5">
        <v>43879.71324074074</v>
      </c>
      <c r="B1349" s="7">
        <f t="shared" si="1"/>
        <v>43879</v>
      </c>
      <c r="C1349" s="33" t="s">
        <v>16</v>
      </c>
      <c r="D1349" s="4" t="s">
        <v>21</v>
      </c>
      <c r="E1349" s="4" t="s">
        <v>21</v>
      </c>
      <c r="F1349" s="4">
        <f t="shared" si="2"/>
        <v>8</v>
      </c>
    </row>
    <row r="1350">
      <c r="A1350" s="5">
        <v>43879.713321759256</v>
      </c>
      <c r="B1350" s="7">
        <f t="shared" si="1"/>
        <v>43879</v>
      </c>
      <c r="C1350" s="33" t="s">
        <v>16</v>
      </c>
      <c r="D1350" s="4" t="s">
        <v>21</v>
      </c>
      <c r="E1350" s="4" t="s">
        <v>21</v>
      </c>
      <c r="F1350" s="4">
        <f t="shared" si="2"/>
        <v>8</v>
      </c>
    </row>
    <row r="1351">
      <c r="A1351" s="5">
        <v>43879.71341435185</v>
      </c>
      <c r="B1351" s="7">
        <f t="shared" si="1"/>
        <v>43879</v>
      </c>
      <c r="C1351" s="33" t="s">
        <v>16</v>
      </c>
      <c r="D1351" s="4" t="s">
        <v>21</v>
      </c>
      <c r="E1351" s="4" t="s">
        <v>21</v>
      </c>
      <c r="F1351" s="4">
        <f t="shared" si="2"/>
        <v>8</v>
      </c>
    </row>
    <row r="1352">
      <c r="A1352" s="5">
        <v>43879.71350694444</v>
      </c>
      <c r="B1352" s="7">
        <f t="shared" si="1"/>
        <v>43879</v>
      </c>
      <c r="C1352" s="33" t="s">
        <v>16</v>
      </c>
      <c r="D1352" s="4" t="s">
        <v>21</v>
      </c>
      <c r="E1352" s="4" t="s">
        <v>21</v>
      </c>
      <c r="F1352" s="4">
        <f t="shared" si="2"/>
        <v>8</v>
      </c>
    </row>
    <row r="1353">
      <c r="A1353" s="5">
        <v>43879.713587962964</v>
      </c>
      <c r="B1353" s="7">
        <f t="shared" si="1"/>
        <v>43879</v>
      </c>
      <c r="C1353" s="33" t="s">
        <v>16</v>
      </c>
      <c r="D1353" s="4" t="s">
        <v>21</v>
      </c>
      <c r="E1353" s="4" t="s">
        <v>21</v>
      </c>
      <c r="F1353" s="4">
        <f t="shared" si="2"/>
        <v>8</v>
      </c>
    </row>
    <row r="1354">
      <c r="A1354" s="5">
        <v>43879.71366898148</v>
      </c>
      <c r="B1354" s="7">
        <f t="shared" si="1"/>
        <v>43879</v>
      </c>
      <c r="C1354" s="33" t="s">
        <v>16</v>
      </c>
      <c r="D1354" s="4" t="s">
        <v>21</v>
      </c>
      <c r="E1354" s="4" t="s">
        <v>21</v>
      </c>
      <c r="F1354" s="4">
        <f t="shared" si="2"/>
        <v>8</v>
      </c>
    </row>
    <row r="1355">
      <c r="A1355" s="5">
        <v>43879.71375</v>
      </c>
      <c r="B1355" s="7">
        <f t="shared" si="1"/>
        <v>43879</v>
      </c>
      <c r="C1355" s="33" t="s">
        <v>16</v>
      </c>
      <c r="D1355" s="4" t="s">
        <v>21</v>
      </c>
      <c r="E1355" s="4" t="s">
        <v>21</v>
      </c>
      <c r="F1355" s="4">
        <f t="shared" si="2"/>
        <v>8</v>
      </c>
    </row>
    <row r="1356">
      <c r="A1356" s="5">
        <v>43879.71383101852</v>
      </c>
      <c r="B1356" s="7">
        <f t="shared" si="1"/>
        <v>43879</v>
      </c>
      <c r="C1356" s="33" t="s">
        <v>16</v>
      </c>
      <c r="D1356" s="4" t="s">
        <v>21</v>
      </c>
      <c r="E1356" s="4" t="s">
        <v>21</v>
      </c>
      <c r="F1356" s="4">
        <f t="shared" si="2"/>
        <v>8</v>
      </c>
    </row>
    <row r="1357">
      <c r="A1357" s="5">
        <v>43879.713900462964</v>
      </c>
      <c r="B1357" s="7">
        <f t="shared" si="1"/>
        <v>43879</v>
      </c>
      <c r="C1357" s="33" t="s">
        <v>16</v>
      </c>
      <c r="D1357" s="4" t="s">
        <v>21</v>
      </c>
      <c r="E1357" s="4" t="s">
        <v>21</v>
      </c>
      <c r="F1357" s="4">
        <f t="shared" si="2"/>
        <v>8</v>
      </c>
    </row>
    <row r="1358">
      <c r="A1358" s="5">
        <v>43879.71398148148</v>
      </c>
      <c r="B1358" s="7">
        <f t="shared" si="1"/>
        <v>43879</v>
      </c>
      <c r="C1358" s="33" t="s">
        <v>16</v>
      </c>
      <c r="D1358" s="4" t="s">
        <v>21</v>
      </c>
      <c r="E1358" s="4" t="s">
        <v>21</v>
      </c>
      <c r="F1358" s="4">
        <f t="shared" si="2"/>
        <v>8</v>
      </c>
    </row>
    <row r="1359">
      <c r="A1359" s="5">
        <v>43879.71407407407</v>
      </c>
      <c r="B1359" s="7">
        <f t="shared" si="1"/>
        <v>43879</v>
      </c>
      <c r="C1359" s="33" t="s">
        <v>16</v>
      </c>
      <c r="D1359" s="4" t="s">
        <v>21</v>
      </c>
      <c r="E1359" s="4" t="s">
        <v>21</v>
      </c>
      <c r="F1359" s="4">
        <f t="shared" si="2"/>
        <v>8</v>
      </c>
    </row>
    <row r="1360">
      <c r="A1360" s="5">
        <v>43879.71414351852</v>
      </c>
      <c r="B1360" s="7">
        <f t="shared" si="1"/>
        <v>43879</v>
      </c>
      <c r="C1360" s="33" t="s">
        <v>16</v>
      </c>
      <c r="D1360" s="4" t="s">
        <v>21</v>
      </c>
      <c r="E1360" s="4" t="s">
        <v>21</v>
      </c>
      <c r="F1360" s="4">
        <f t="shared" si="2"/>
        <v>8</v>
      </c>
    </row>
    <row r="1361">
      <c r="A1361" s="5">
        <v>43879.714224537034</v>
      </c>
      <c r="B1361" s="7">
        <f t="shared" si="1"/>
        <v>43879</v>
      </c>
      <c r="C1361" s="33" t="s">
        <v>16</v>
      </c>
      <c r="D1361" s="4" t="s">
        <v>21</v>
      </c>
      <c r="E1361" s="4" t="s">
        <v>21</v>
      </c>
      <c r="F1361" s="4">
        <f t="shared" si="2"/>
        <v>8</v>
      </c>
    </row>
    <row r="1362">
      <c r="A1362" s="5">
        <v>43879.71431712963</v>
      </c>
      <c r="B1362" s="7">
        <f t="shared" si="1"/>
        <v>43879</v>
      </c>
      <c r="C1362" s="33" t="s">
        <v>16</v>
      </c>
      <c r="D1362" s="4" t="s">
        <v>21</v>
      </c>
      <c r="E1362" s="4" t="s">
        <v>21</v>
      </c>
      <c r="F1362" s="4">
        <f t="shared" si="2"/>
        <v>8</v>
      </c>
    </row>
    <row r="1363">
      <c r="A1363" s="5">
        <v>43879.71438657407</v>
      </c>
      <c r="B1363" s="7">
        <f t="shared" si="1"/>
        <v>43879</v>
      </c>
      <c r="C1363" s="33" t="s">
        <v>16</v>
      </c>
      <c r="D1363" s="4" t="s">
        <v>21</v>
      </c>
      <c r="E1363" s="4" t="s">
        <v>21</v>
      </c>
      <c r="F1363" s="4">
        <f t="shared" si="2"/>
        <v>8</v>
      </c>
    </row>
    <row r="1364">
      <c r="A1364" s="5">
        <v>43879.714467592596</v>
      </c>
      <c r="B1364" s="7">
        <f t="shared" si="1"/>
        <v>43879</v>
      </c>
      <c r="C1364" s="33" t="s">
        <v>16</v>
      </c>
      <c r="D1364" s="4" t="s">
        <v>21</v>
      </c>
      <c r="E1364" s="4" t="s">
        <v>21</v>
      </c>
      <c r="F1364" s="4">
        <f t="shared" si="2"/>
        <v>8</v>
      </c>
    </row>
    <row r="1365">
      <c r="A1365" s="5">
        <v>43879.71576388889</v>
      </c>
      <c r="B1365" s="7">
        <f t="shared" si="1"/>
        <v>43879</v>
      </c>
      <c r="C1365" s="33" t="s">
        <v>16</v>
      </c>
      <c r="D1365" s="4" t="s">
        <v>21</v>
      </c>
      <c r="E1365" s="4" t="s">
        <v>21</v>
      </c>
      <c r="F1365" s="4">
        <f t="shared" si="2"/>
        <v>8</v>
      </c>
    </row>
    <row r="1366">
      <c r="A1366" s="5">
        <v>43879.715844907405</v>
      </c>
      <c r="B1366" s="7">
        <f t="shared" si="1"/>
        <v>43879</v>
      </c>
      <c r="C1366" s="33" t="s">
        <v>16</v>
      </c>
      <c r="D1366" s="4" t="s">
        <v>21</v>
      </c>
      <c r="E1366" s="4" t="s">
        <v>21</v>
      </c>
      <c r="F1366" s="4">
        <f t="shared" si="2"/>
        <v>8</v>
      </c>
    </row>
    <row r="1367">
      <c r="A1367" s="5">
        <v>43879.71592592593</v>
      </c>
      <c r="B1367" s="7">
        <f t="shared" si="1"/>
        <v>43879</v>
      </c>
      <c r="C1367" s="33" t="s">
        <v>16</v>
      </c>
      <c r="D1367" s="4" t="s">
        <v>21</v>
      </c>
      <c r="E1367" s="4" t="s">
        <v>21</v>
      </c>
      <c r="F1367" s="4">
        <f t="shared" si="2"/>
        <v>8</v>
      </c>
    </row>
    <row r="1368">
      <c r="A1368" s="5">
        <v>43879.715995370374</v>
      </c>
      <c r="B1368" s="7">
        <f t="shared" si="1"/>
        <v>43879</v>
      </c>
      <c r="C1368" s="33" t="s">
        <v>16</v>
      </c>
      <c r="D1368" s="4" t="s">
        <v>21</v>
      </c>
      <c r="E1368" s="4" t="s">
        <v>21</v>
      </c>
      <c r="F1368" s="4">
        <f t="shared" si="2"/>
        <v>8</v>
      </c>
    </row>
    <row r="1369">
      <c r="A1369" s="5">
        <v>43879.71611111111</v>
      </c>
      <c r="B1369" s="7">
        <f t="shared" si="1"/>
        <v>43879</v>
      </c>
      <c r="C1369" s="33" t="s">
        <v>16</v>
      </c>
      <c r="D1369" s="4" t="s">
        <v>21</v>
      </c>
      <c r="E1369" s="4" t="s">
        <v>21</v>
      </c>
      <c r="F1369" s="4">
        <f t="shared" si="2"/>
        <v>8</v>
      </c>
    </row>
    <row r="1370">
      <c r="A1370" s="5">
        <v>43879.71619212963</v>
      </c>
      <c r="B1370" s="7">
        <f t="shared" si="1"/>
        <v>43879</v>
      </c>
      <c r="C1370" s="33" t="s">
        <v>16</v>
      </c>
      <c r="D1370" s="4" t="s">
        <v>21</v>
      </c>
      <c r="E1370" s="4" t="s">
        <v>21</v>
      </c>
      <c r="F1370" s="4">
        <f t="shared" si="2"/>
        <v>8</v>
      </c>
    </row>
    <row r="1371">
      <c r="A1371" s="5">
        <v>43879.71627314815</v>
      </c>
      <c r="B1371" s="7">
        <f t="shared" si="1"/>
        <v>43879</v>
      </c>
      <c r="C1371" s="33" t="s">
        <v>16</v>
      </c>
      <c r="D1371" s="4" t="s">
        <v>21</v>
      </c>
      <c r="E1371" s="4" t="s">
        <v>21</v>
      </c>
      <c r="F1371" s="4">
        <f t="shared" si="2"/>
        <v>8</v>
      </c>
    </row>
    <row r="1372">
      <c r="A1372" s="5">
        <v>43879.71635416667</v>
      </c>
      <c r="B1372" s="7">
        <f t="shared" si="1"/>
        <v>43879</v>
      </c>
      <c r="C1372" s="33" t="s">
        <v>16</v>
      </c>
      <c r="D1372" s="4" t="s">
        <v>21</v>
      </c>
      <c r="E1372" s="4" t="s">
        <v>21</v>
      </c>
      <c r="F1372" s="4">
        <f t="shared" si="2"/>
        <v>8</v>
      </c>
    </row>
    <row r="1373">
      <c r="A1373" s="5">
        <v>43880.684907407405</v>
      </c>
      <c r="B1373" s="7">
        <f t="shared" si="1"/>
        <v>43880</v>
      </c>
      <c r="C1373" s="33" t="s">
        <v>16</v>
      </c>
      <c r="D1373" s="4" t="s">
        <v>21</v>
      </c>
      <c r="E1373" s="4" t="s">
        <v>21</v>
      </c>
      <c r="F1373" s="4">
        <f t="shared" si="2"/>
        <v>8</v>
      </c>
    </row>
    <row r="1374">
      <c r="A1374" s="5">
        <v>43881.76261574074</v>
      </c>
      <c r="B1374" s="7">
        <f t="shared" si="1"/>
        <v>43881</v>
      </c>
      <c r="C1374" s="33" t="s">
        <v>16</v>
      </c>
      <c r="D1374" s="4" t="s">
        <v>21</v>
      </c>
      <c r="E1374" s="4" t="s">
        <v>21</v>
      </c>
      <c r="F1374" s="4">
        <f t="shared" si="2"/>
        <v>8</v>
      </c>
    </row>
    <row r="1375">
      <c r="A1375" s="5">
        <v>43949.44467592592</v>
      </c>
      <c r="B1375" s="7">
        <f t="shared" si="1"/>
        <v>43949</v>
      </c>
      <c r="C1375" s="33" t="s">
        <v>16</v>
      </c>
      <c r="D1375" s="4" t="s">
        <v>21</v>
      </c>
      <c r="E1375" s="4" t="s">
        <v>21</v>
      </c>
      <c r="F1375" s="4">
        <f t="shared" si="2"/>
        <v>18</v>
      </c>
    </row>
    <row r="1376">
      <c r="A1376" s="5">
        <v>43955.5425</v>
      </c>
      <c r="B1376" s="7">
        <f t="shared" si="1"/>
        <v>43955</v>
      </c>
      <c r="C1376" s="33" t="s">
        <v>16</v>
      </c>
      <c r="D1376" s="4" t="s">
        <v>21</v>
      </c>
      <c r="E1376" s="4" t="s">
        <v>21</v>
      </c>
      <c r="F1376" s="4">
        <f t="shared" si="2"/>
        <v>19</v>
      </c>
    </row>
    <row r="1377">
      <c r="A1377" s="5">
        <v>43955.542592592596</v>
      </c>
      <c r="B1377" s="7">
        <f t="shared" si="1"/>
        <v>43955</v>
      </c>
      <c r="C1377" s="33" t="s">
        <v>16</v>
      </c>
      <c r="D1377" s="4" t="s">
        <v>21</v>
      </c>
      <c r="E1377" s="4" t="s">
        <v>21</v>
      </c>
      <c r="F1377" s="4">
        <f t="shared" si="2"/>
        <v>19</v>
      </c>
    </row>
    <row r="1378">
      <c r="A1378" s="5">
        <v>43955.543854166666</v>
      </c>
      <c r="B1378" s="7">
        <f t="shared" si="1"/>
        <v>43955</v>
      </c>
      <c r="C1378" s="33" t="s">
        <v>16</v>
      </c>
      <c r="D1378" s="4" t="s">
        <v>21</v>
      </c>
      <c r="E1378" s="4" t="s">
        <v>21</v>
      </c>
      <c r="F1378" s="4">
        <f t="shared" si="2"/>
        <v>19</v>
      </c>
    </row>
    <row r="1379">
      <c r="A1379" s="5">
        <v>43955.54393518518</v>
      </c>
      <c r="B1379" s="7">
        <f t="shared" si="1"/>
        <v>43955</v>
      </c>
      <c r="C1379" s="33" t="s">
        <v>16</v>
      </c>
      <c r="D1379" s="4" t="s">
        <v>21</v>
      </c>
      <c r="E1379" s="4" t="s">
        <v>21</v>
      </c>
      <c r="F1379" s="4">
        <f t="shared" si="2"/>
        <v>19</v>
      </c>
    </row>
    <row r="1380">
      <c r="A1380" s="5">
        <v>43955.544016203705</v>
      </c>
      <c r="B1380" s="7">
        <f t="shared" si="1"/>
        <v>43955</v>
      </c>
      <c r="C1380" s="33" t="s">
        <v>16</v>
      </c>
      <c r="D1380" s="4" t="s">
        <v>21</v>
      </c>
      <c r="E1380" s="4" t="s">
        <v>21</v>
      </c>
      <c r="F1380" s="4">
        <f t="shared" si="2"/>
        <v>19</v>
      </c>
    </row>
    <row r="1381">
      <c r="A1381" s="5">
        <v>43955.54409722222</v>
      </c>
      <c r="B1381" s="7">
        <f t="shared" si="1"/>
        <v>43955</v>
      </c>
      <c r="C1381" s="33" t="s">
        <v>16</v>
      </c>
      <c r="D1381" s="4" t="s">
        <v>21</v>
      </c>
      <c r="E1381" s="4" t="s">
        <v>21</v>
      </c>
      <c r="F1381" s="4">
        <f t="shared" si="2"/>
        <v>19</v>
      </c>
    </row>
    <row r="1382">
      <c r="A1382" s="5">
        <v>43955.54418981481</v>
      </c>
      <c r="B1382" s="7">
        <f t="shared" si="1"/>
        <v>43955</v>
      </c>
      <c r="C1382" s="33" t="s">
        <v>16</v>
      </c>
      <c r="D1382" s="4" t="s">
        <v>21</v>
      </c>
      <c r="E1382" s="4" t="s">
        <v>21</v>
      </c>
      <c r="F1382" s="4">
        <f t="shared" si="2"/>
        <v>19</v>
      </c>
    </row>
    <row r="1383">
      <c r="A1383" s="5">
        <v>43955.544270833336</v>
      </c>
      <c r="B1383" s="7">
        <f t="shared" si="1"/>
        <v>43955</v>
      </c>
      <c r="C1383" s="33" t="s">
        <v>16</v>
      </c>
      <c r="D1383" s="4" t="s">
        <v>21</v>
      </c>
      <c r="E1383" s="4" t="s">
        <v>21</v>
      </c>
      <c r="F1383" s="4">
        <f t="shared" si="2"/>
        <v>19</v>
      </c>
    </row>
    <row r="1384">
      <c r="A1384" s="5">
        <v>43957.535162037035</v>
      </c>
      <c r="B1384" s="7">
        <f t="shared" si="1"/>
        <v>43957</v>
      </c>
      <c r="C1384" s="33" t="s">
        <v>16</v>
      </c>
      <c r="D1384" s="4" t="s">
        <v>21</v>
      </c>
      <c r="E1384" s="4" t="s">
        <v>21</v>
      </c>
      <c r="F1384" s="4">
        <f t="shared" si="2"/>
        <v>19</v>
      </c>
    </row>
    <row r="1385">
      <c r="A1385" s="5">
        <v>43755.47087962963</v>
      </c>
      <c r="B1385" s="7">
        <f t="shared" si="1"/>
        <v>43755</v>
      </c>
      <c r="C1385" s="33" t="s">
        <v>16</v>
      </c>
      <c r="D1385" s="4" t="s">
        <v>21</v>
      </c>
      <c r="E1385" s="4" t="s">
        <v>21</v>
      </c>
      <c r="F1385" s="4">
        <f t="shared" si="2"/>
        <v>42</v>
      </c>
    </row>
    <row r="1386">
      <c r="A1386" s="5">
        <v>43770.37184027778</v>
      </c>
      <c r="B1386" s="7">
        <f t="shared" si="1"/>
        <v>43770</v>
      </c>
      <c r="C1386" s="33" t="s">
        <v>16</v>
      </c>
      <c r="D1386" s="4" t="s">
        <v>21</v>
      </c>
      <c r="E1386" s="4" t="s">
        <v>21</v>
      </c>
      <c r="F1386" s="4">
        <f t="shared" si="2"/>
        <v>44</v>
      </c>
    </row>
    <row r="1387">
      <c r="A1387" s="5">
        <v>43773.39813657408</v>
      </c>
      <c r="B1387" s="7">
        <f t="shared" si="1"/>
        <v>43773</v>
      </c>
      <c r="C1387" s="33" t="s">
        <v>16</v>
      </c>
      <c r="D1387" s="4" t="s">
        <v>21</v>
      </c>
      <c r="E1387" s="4" t="s">
        <v>21</v>
      </c>
      <c r="F1387" s="4">
        <f t="shared" si="2"/>
        <v>45</v>
      </c>
    </row>
    <row r="1388">
      <c r="A1388" s="5">
        <v>43773.46849537037</v>
      </c>
      <c r="B1388" s="7">
        <f t="shared" si="1"/>
        <v>43773</v>
      </c>
      <c r="C1388" s="33" t="s">
        <v>16</v>
      </c>
      <c r="D1388" s="4" t="s">
        <v>21</v>
      </c>
      <c r="E1388" s="4" t="s">
        <v>21</v>
      </c>
      <c r="F1388" s="4">
        <f t="shared" si="2"/>
        <v>45</v>
      </c>
    </row>
    <row r="1389">
      <c r="A1389" s="5">
        <v>43773.55244212963</v>
      </c>
      <c r="B1389" s="7">
        <f t="shared" si="1"/>
        <v>43773</v>
      </c>
      <c r="C1389" s="33" t="s">
        <v>16</v>
      </c>
      <c r="D1389" s="4" t="s">
        <v>21</v>
      </c>
      <c r="E1389" s="4" t="s">
        <v>21</v>
      </c>
      <c r="F1389" s="4">
        <f t="shared" si="2"/>
        <v>45</v>
      </c>
    </row>
    <row r="1390">
      <c r="A1390" s="5">
        <v>43844.466527777775</v>
      </c>
      <c r="B1390" s="7">
        <f t="shared" si="1"/>
        <v>43844</v>
      </c>
      <c r="C1390" s="33" t="s">
        <v>16</v>
      </c>
      <c r="D1390" s="4" t="s">
        <v>21</v>
      </c>
      <c r="E1390" s="4" t="s">
        <v>21</v>
      </c>
      <c r="F1390" s="4">
        <f t="shared" si="2"/>
        <v>3</v>
      </c>
    </row>
    <row r="1391">
      <c r="A1391" s="5">
        <v>43899.41619212963</v>
      </c>
      <c r="B1391" s="7">
        <f t="shared" si="1"/>
        <v>43899</v>
      </c>
      <c r="C1391" s="33" t="s">
        <v>16</v>
      </c>
      <c r="D1391" s="4" t="s">
        <v>21</v>
      </c>
      <c r="E1391" s="4" t="s">
        <v>21</v>
      </c>
      <c r="F1391" s="4">
        <f t="shared" si="2"/>
        <v>11</v>
      </c>
    </row>
    <row r="1392">
      <c r="A1392" s="5">
        <v>43913.44225694444</v>
      </c>
      <c r="B1392" s="7">
        <f t="shared" si="1"/>
        <v>43913</v>
      </c>
      <c r="C1392" s="33" t="s">
        <v>16</v>
      </c>
      <c r="D1392" s="4" t="s">
        <v>21</v>
      </c>
      <c r="E1392" s="4" t="s">
        <v>21</v>
      </c>
      <c r="F1392" s="4">
        <f t="shared" si="2"/>
        <v>13</v>
      </c>
    </row>
    <row r="1393">
      <c r="A1393" s="5">
        <v>43922.656273148146</v>
      </c>
      <c r="B1393" s="7">
        <f t="shared" si="1"/>
        <v>43922</v>
      </c>
      <c r="C1393" s="33" t="s">
        <v>16</v>
      </c>
      <c r="D1393" s="4" t="s">
        <v>21</v>
      </c>
      <c r="E1393" s="4" t="s">
        <v>21</v>
      </c>
      <c r="F1393" s="4">
        <f t="shared" si="2"/>
        <v>14</v>
      </c>
    </row>
    <row r="1394">
      <c r="A1394" s="5">
        <v>43928.63597222222</v>
      </c>
      <c r="B1394" s="7">
        <f t="shared" si="1"/>
        <v>43928</v>
      </c>
      <c r="C1394" s="33" t="s">
        <v>16</v>
      </c>
      <c r="D1394" s="4" t="s">
        <v>21</v>
      </c>
      <c r="E1394" s="4" t="s">
        <v>21</v>
      </c>
      <c r="F1394" s="4">
        <f t="shared" si="2"/>
        <v>15</v>
      </c>
    </row>
    <row r="1395">
      <c r="A1395" s="5">
        <v>43930.450474537036</v>
      </c>
      <c r="B1395" s="7">
        <f t="shared" si="1"/>
        <v>43930</v>
      </c>
      <c r="C1395" s="33" t="s">
        <v>16</v>
      </c>
      <c r="D1395" s="4" t="s">
        <v>21</v>
      </c>
      <c r="E1395" s="4" t="s">
        <v>21</v>
      </c>
      <c r="F1395" s="4">
        <f t="shared" si="2"/>
        <v>15</v>
      </c>
    </row>
    <row r="1396">
      <c r="A1396" s="5">
        <v>43915.33037037037</v>
      </c>
      <c r="B1396" s="7">
        <f t="shared" si="1"/>
        <v>43915</v>
      </c>
      <c r="C1396" s="33" t="s">
        <v>16</v>
      </c>
      <c r="D1396" s="4" t="s">
        <v>21</v>
      </c>
      <c r="E1396" s="4" t="s">
        <v>21</v>
      </c>
      <c r="F1396" s="4">
        <f t="shared" si="2"/>
        <v>13</v>
      </c>
    </row>
    <row r="1397">
      <c r="A1397" s="5">
        <v>43937.67138888889</v>
      </c>
      <c r="B1397" s="7">
        <f t="shared" si="1"/>
        <v>43937</v>
      </c>
      <c r="C1397" s="33" t="s">
        <v>16</v>
      </c>
      <c r="D1397" s="4" t="s">
        <v>21</v>
      </c>
      <c r="E1397" s="4" t="s">
        <v>21</v>
      </c>
      <c r="F1397" s="4">
        <f t="shared" si="2"/>
        <v>16</v>
      </c>
    </row>
    <row r="1398">
      <c r="A1398" s="5">
        <v>43955.515625</v>
      </c>
      <c r="B1398" s="7">
        <f t="shared" si="1"/>
        <v>43955</v>
      </c>
      <c r="C1398" s="33" t="s">
        <v>16</v>
      </c>
      <c r="D1398" s="4" t="s">
        <v>21</v>
      </c>
      <c r="E1398" s="4" t="s">
        <v>21</v>
      </c>
      <c r="F1398" s="4">
        <f t="shared" si="2"/>
        <v>19</v>
      </c>
    </row>
    <row r="1399">
      <c r="A1399" s="5">
        <v>44005.553402777776</v>
      </c>
      <c r="B1399" s="7">
        <f t="shared" si="1"/>
        <v>44005</v>
      </c>
      <c r="C1399" s="33" t="s">
        <v>16</v>
      </c>
      <c r="D1399" s="4" t="s">
        <v>21</v>
      </c>
      <c r="E1399" s="4" t="s">
        <v>21</v>
      </c>
      <c r="F1399" s="4">
        <f t="shared" si="2"/>
        <v>26</v>
      </c>
    </row>
    <row r="1400">
      <c r="A1400" s="5">
        <v>43878.75987268519</v>
      </c>
      <c r="B1400" s="7">
        <f t="shared" si="1"/>
        <v>43878</v>
      </c>
      <c r="C1400" s="33" t="s">
        <v>16</v>
      </c>
      <c r="D1400" s="4" t="s">
        <v>21</v>
      </c>
      <c r="E1400" s="4" t="s">
        <v>21</v>
      </c>
      <c r="F1400" s="4">
        <f t="shared" si="2"/>
        <v>8</v>
      </c>
    </row>
    <row r="1401">
      <c r="A1401" s="5">
        <v>43879.43203703704</v>
      </c>
      <c r="B1401" s="7">
        <f t="shared" si="1"/>
        <v>43879</v>
      </c>
      <c r="C1401" s="33" t="s">
        <v>16</v>
      </c>
      <c r="D1401" s="4" t="s">
        <v>21</v>
      </c>
      <c r="E1401" s="4" t="s">
        <v>21</v>
      </c>
      <c r="F1401" s="4">
        <f t="shared" si="2"/>
        <v>8</v>
      </c>
    </row>
    <row r="1402">
      <c r="A1402" s="5">
        <v>43909.73873842593</v>
      </c>
      <c r="B1402" s="7">
        <f t="shared" si="1"/>
        <v>43909</v>
      </c>
      <c r="C1402" s="33" t="s">
        <v>16</v>
      </c>
      <c r="D1402" s="4" t="s">
        <v>21</v>
      </c>
      <c r="E1402" s="4" t="s">
        <v>21</v>
      </c>
      <c r="F1402" s="4">
        <f t="shared" si="2"/>
        <v>12</v>
      </c>
    </row>
    <row r="1403">
      <c r="A1403" s="5">
        <v>43910.477175925924</v>
      </c>
      <c r="B1403" s="7">
        <f t="shared" si="1"/>
        <v>43910</v>
      </c>
      <c r="C1403" s="33" t="s">
        <v>16</v>
      </c>
      <c r="D1403" s="4" t="s">
        <v>21</v>
      </c>
      <c r="E1403" s="4" t="s">
        <v>21</v>
      </c>
      <c r="F1403" s="4">
        <f t="shared" si="2"/>
        <v>12</v>
      </c>
    </row>
    <row r="1404">
      <c r="A1404" s="5">
        <v>43921.80210648148</v>
      </c>
      <c r="B1404" s="7">
        <f t="shared" si="1"/>
        <v>43921</v>
      </c>
      <c r="C1404" s="33" t="s">
        <v>16</v>
      </c>
      <c r="D1404" s="4" t="s">
        <v>21</v>
      </c>
      <c r="E1404" s="4" t="s">
        <v>21</v>
      </c>
      <c r="F1404" s="4">
        <f t="shared" si="2"/>
        <v>14</v>
      </c>
    </row>
    <row r="1405">
      <c r="A1405" s="5">
        <v>43936.458344907405</v>
      </c>
      <c r="B1405" s="7">
        <f t="shared" si="1"/>
        <v>43936</v>
      </c>
      <c r="C1405" s="33" t="s">
        <v>16</v>
      </c>
      <c r="D1405" s="4" t="s">
        <v>21</v>
      </c>
      <c r="E1405" s="4" t="s">
        <v>21</v>
      </c>
      <c r="F1405" s="4">
        <f t="shared" si="2"/>
        <v>16</v>
      </c>
    </row>
    <row r="1406">
      <c r="A1406" s="5">
        <v>43963.67414351852</v>
      </c>
      <c r="B1406" s="7">
        <f t="shared" si="1"/>
        <v>43963</v>
      </c>
      <c r="C1406" s="33" t="s">
        <v>16</v>
      </c>
      <c r="D1406" s="4" t="s">
        <v>21</v>
      </c>
      <c r="E1406" s="4" t="s">
        <v>21</v>
      </c>
      <c r="F1406" s="4">
        <f t="shared" si="2"/>
        <v>20</v>
      </c>
    </row>
    <row r="1407">
      <c r="A1407" s="5">
        <v>43970.278912037036</v>
      </c>
      <c r="B1407" s="7">
        <f t="shared" si="1"/>
        <v>43970</v>
      </c>
      <c r="C1407" s="33" t="s">
        <v>16</v>
      </c>
      <c r="D1407" s="4" t="s">
        <v>21</v>
      </c>
      <c r="E1407" s="4" t="s">
        <v>21</v>
      </c>
      <c r="F1407" s="4">
        <f t="shared" si="2"/>
        <v>21</v>
      </c>
    </row>
    <row r="1408">
      <c r="A1408" s="5">
        <v>43780.38605324074</v>
      </c>
      <c r="B1408" s="7">
        <f t="shared" si="1"/>
        <v>43780</v>
      </c>
      <c r="C1408" s="33" t="s">
        <v>16</v>
      </c>
      <c r="D1408" s="4" t="s">
        <v>21</v>
      </c>
      <c r="E1408" s="4" t="s">
        <v>21</v>
      </c>
      <c r="F1408" s="4">
        <f t="shared" si="2"/>
        <v>46</v>
      </c>
    </row>
    <row r="1409">
      <c r="A1409" s="5">
        <v>43850.34756944444</v>
      </c>
      <c r="B1409" s="7">
        <f t="shared" si="1"/>
        <v>43850</v>
      </c>
      <c r="C1409" s="33" t="s">
        <v>16</v>
      </c>
      <c r="D1409" s="4" t="s">
        <v>21</v>
      </c>
      <c r="E1409" s="4" t="s">
        <v>21</v>
      </c>
      <c r="F1409" s="4">
        <f t="shared" si="2"/>
        <v>4</v>
      </c>
    </row>
    <row r="1410">
      <c r="A1410" s="5">
        <v>43861.688576388886</v>
      </c>
      <c r="B1410" s="7">
        <f t="shared" si="1"/>
        <v>43861</v>
      </c>
      <c r="C1410" s="33" t="s">
        <v>16</v>
      </c>
      <c r="D1410" s="4" t="s">
        <v>21</v>
      </c>
      <c r="E1410" s="4" t="s">
        <v>23</v>
      </c>
      <c r="F1410" s="4">
        <f t="shared" si="2"/>
        <v>5</v>
      </c>
    </row>
    <row r="1411">
      <c r="A1411" s="5">
        <v>43878.46690972222</v>
      </c>
      <c r="B1411" s="7">
        <f t="shared" si="1"/>
        <v>43878</v>
      </c>
      <c r="C1411" s="33" t="s">
        <v>16</v>
      </c>
      <c r="D1411" s="4" t="s">
        <v>21</v>
      </c>
      <c r="E1411" s="4" t="s">
        <v>21</v>
      </c>
      <c r="F1411" s="4">
        <f t="shared" si="2"/>
        <v>8</v>
      </c>
    </row>
    <row r="1412">
      <c r="A1412" s="5">
        <v>43895.56297453704</v>
      </c>
      <c r="B1412" s="7">
        <f t="shared" si="1"/>
        <v>43895</v>
      </c>
      <c r="C1412" s="33" t="s">
        <v>16</v>
      </c>
      <c r="D1412" s="4" t="s">
        <v>21</v>
      </c>
      <c r="E1412" s="4" t="s">
        <v>21</v>
      </c>
      <c r="F1412" s="4">
        <f t="shared" si="2"/>
        <v>10</v>
      </c>
    </row>
    <row r="1413">
      <c r="A1413" s="5">
        <v>43965.712916666664</v>
      </c>
      <c r="B1413" s="7">
        <f t="shared" si="1"/>
        <v>43965</v>
      </c>
      <c r="C1413" s="33" t="s">
        <v>16</v>
      </c>
      <c r="D1413" s="4" t="s">
        <v>21</v>
      </c>
      <c r="E1413" s="4" t="s">
        <v>21</v>
      </c>
      <c r="F1413" s="4">
        <f t="shared" si="2"/>
        <v>20</v>
      </c>
    </row>
    <row r="1414">
      <c r="A1414" s="5">
        <v>43866.52980324074</v>
      </c>
      <c r="B1414" s="7">
        <f t="shared" si="1"/>
        <v>43866</v>
      </c>
      <c r="C1414" s="33" t="s">
        <v>16</v>
      </c>
      <c r="D1414" s="4" t="s">
        <v>21</v>
      </c>
      <c r="E1414" s="4" t="s">
        <v>21</v>
      </c>
      <c r="F1414" s="4">
        <f t="shared" si="2"/>
        <v>6</v>
      </c>
    </row>
    <row r="1415">
      <c r="A1415" s="5">
        <v>43906.51008101852</v>
      </c>
      <c r="B1415" s="7">
        <f t="shared" si="1"/>
        <v>43906</v>
      </c>
      <c r="C1415" s="33" t="s">
        <v>16</v>
      </c>
      <c r="D1415" s="4" t="s">
        <v>21</v>
      </c>
      <c r="E1415" s="4" t="s">
        <v>21</v>
      </c>
      <c r="F1415" s="4">
        <f t="shared" si="2"/>
        <v>12</v>
      </c>
    </row>
    <row r="1416">
      <c r="A1416" s="5">
        <v>43803.489583333336</v>
      </c>
      <c r="B1416" s="7">
        <f t="shared" si="1"/>
        <v>43803</v>
      </c>
      <c r="C1416" s="33" t="s">
        <v>16</v>
      </c>
      <c r="D1416" s="4" t="s">
        <v>21</v>
      </c>
      <c r="E1416" s="4" t="s">
        <v>21</v>
      </c>
      <c r="F1416" s="4">
        <f t="shared" si="2"/>
        <v>49</v>
      </c>
    </row>
    <row r="1417">
      <c r="A1417" s="5">
        <v>43803.7146875</v>
      </c>
      <c r="B1417" s="7">
        <f t="shared" si="1"/>
        <v>43803</v>
      </c>
      <c r="C1417" s="33" t="s">
        <v>16</v>
      </c>
      <c r="D1417" s="4" t="s">
        <v>21</v>
      </c>
      <c r="E1417" s="4" t="s">
        <v>21</v>
      </c>
      <c r="F1417" s="4">
        <f t="shared" si="2"/>
        <v>49</v>
      </c>
    </row>
    <row r="1418">
      <c r="A1418" s="5">
        <v>43837.62658564815</v>
      </c>
      <c r="B1418" s="7">
        <f t="shared" si="1"/>
        <v>43837</v>
      </c>
      <c r="C1418" s="33" t="s">
        <v>16</v>
      </c>
      <c r="D1418" s="4" t="s">
        <v>21</v>
      </c>
      <c r="E1418" s="4" t="s">
        <v>21</v>
      </c>
      <c r="F1418" s="4">
        <f t="shared" si="2"/>
        <v>2</v>
      </c>
    </row>
    <row r="1419">
      <c r="A1419" s="5">
        <v>43837.631516203706</v>
      </c>
      <c r="B1419" s="7">
        <f t="shared" si="1"/>
        <v>43837</v>
      </c>
      <c r="C1419" s="33" t="s">
        <v>16</v>
      </c>
      <c r="D1419" s="4" t="s">
        <v>21</v>
      </c>
      <c r="E1419" s="4" t="s">
        <v>21</v>
      </c>
      <c r="F1419" s="4">
        <f t="shared" si="2"/>
        <v>2</v>
      </c>
    </row>
    <row r="1420">
      <c r="A1420" s="5">
        <v>43838.63296296296</v>
      </c>
      <c r="B1420" s="7">
        <f t="shared" si="1"/>
        <v>43838</v>
      </c>
      <c r="C1420" s="33" t="s">
        <v>16</v>
      </c>
      <c r="D1420" s="4" t="s">
        <v>21</v>
      </c>
      <c r="E1420" s="4" t="s">
        <v>21</v>
      </c>
      <c r="F1420" s="4">
        <f t="shared" si="2"/>
        <v>2</v>
      </c>
    </row>
    <row r="1421">
      <c r="A1421" s="5">
        <v>43871.402037037034</v>
      </c>
      <c r="B1421" s="7">
        <f t="shared" si="1"/>
        <v>43871</v>
      </c>
      <c r="C1421" s="33" t="s">
        <v>16</v>
      </c>
      <c r="D1421" s="4" t="s">
        <v>21</v>
      </c>
      <c r="E1421" s="4" t="s">
        <v>21</v>
      </c>
      <c r="F1421" s="4">
        <f t="shared" si="2"/>
        <v>7</v>
      </c>
    </row>
    <row r="1422">
      <c r="A1422" s="5">
        <v>43896.75880787037</v>
      </c>
      <c r="B1422" s="7">
        <f t="shared" si="1"/>
        <v>43896</v>
      </c>
      <c r="C1422" s="33" t="s">
        <v>16</v>
      </c>
      <c r="D1422" s="4" t="s">
        <v>21</v>
      </c>
      <c r="E1422" s="4" t="s">
        <v>21</v>
      </c>
      <c r="F1422" s="4">
        <f t="shared" si="2"/>
        <v>10</v>
      </c>
    </row>
    <row r="1423">
      <c r="A1423" s="5">
        <v>43909.7121412037</v>
      </c>
      <c r="B1423" s="7">
        <f t="shared" si="1"/>
        <v>43909</v>
      </c>
      <c r="C1423" s="33" t="s">
        <v>16</v>
      </c>
      <c r="D1423" s="4" t="s">
        <v>21</v>
      </c>
      <c r="E1423" s="4" t="s">
        <v>21</v>
      </c>
      <c r="F1423" s="4">
        <f t="shared" si="2"/>
        <v>12</v>
      </c>
    </row>
    <row r="1424">
      <c r="A1424" s="5">
        <v>44011.48159722222</v>
      </c>
      <c r="B1424" s="7">
        <f t="shared" si="1"/>
        <v>44011</v>
      </c>
      <c r="C1424" s="33" t="s">
        <v>16</v>
      </c>
      <c r="D1424" s="4" t="s">
        <v>21</v>
      </c>
      <c r="E1424" s="4" t="s">
        <v>21</v>
      </c>
      <c r="F1424" s="4">
        <f t="shared" si="2"/>
        <v>27</v>
      </c>
    </row>
    <row r="1425">
      <c r="A1425" s="5">
        <v>43862.76052083333</v>
      </c>
      <c r="B1425" s="7">
        <f t="shared" si="1"/>
        <v>43862</v>
      </c>
      <c r="C1425" s="33" t="s">
        <v>16</v>
      </c>
      <c r="D1425" s="4" t="s">
        <v>21</v>
      </c>
      <c r="E1425" s="4" t="s">
        <v>23</v>
      </c>
      <c r="F1425" s="4">
        <f t="shared" si="2"/>
        <v>5</v>
      </c>
    </row>
    <row r="1426">
      <c r="A1426" s="5">
        <v>43798.36137731482</v>
      </c>
      <c r="B1426" s="7">
        <f t="shared" si="1"/>
        <v>43798</v>
      </c>
      <c r="C1426" s="33" t="s">
        <v>16</v>
      </c>
      <c r="D1426" s="4" t="s">
        <v>21</v>
      </c>
      <c r="E1426" s="4" t="s">
        <v>21</v>
      </c>
      <c r="F1426" s="4">
        <f t="shared" si="2"/>
        <v>48</v>
      </c>
    </row>
    <row r="1427">
      <c r="A1427" s="5">
        <v>43808.464849537035</v>
      </c>
      <c r="B1427" s="7">
        <f t="shared" si="1"/>
        <v>43808</v>
      </c>
      <c r="C1427" s="33" t="s">
        <v>16</v>
      </c>
      <c r="D1427" s="4" t="s">
        <v>21</v>
      </c>
      <c r="E1427" s="4" t="s">
        <v>21</v>
      </c>
      <c r="F1427" s="4">
        <f t="shared" si="2"/>
        <v>50</v>
      </c>
    </row>
    <row r="1428">
      <c r="A1428" s="5">
        <v>43781.43033564815</v>
      </c>
      <c r="B1428" s="7">
        <f t="shared" si="1"/>
        <v>43781</v>
      </c>
      <c r="C1428" s="33" t="s">
        <v>16</v>
      </c>
      <c r="D1428" s="4" t="s">
        <v>21</v>
      </c>
      <c r="E1428" s="4" t="s">
        <v>21</v>
      </c>
      <c r="F1428" s="4">
        <f t="shared" si="2"/>
        <v>46</v>
      </c>
    </row>
    <row r="1429">
      <c r="A1429" s="5">
        <v>43769.26938657407</v>
      </c>
      <c r="B1429" s="7">
        <f t="shared" si="1"/>
        <v>43769</v>
      </c>
      <c r="C1429" s="33" t="s">
        <v>16</v>
      </c>
      <c r="D1429" s="4" t="s">
        <v>21</v>
      </c>
      <c r="E1429" s="4" t="s">
        <v>21</v>
      </c>
      <c r="F1429" s="4">
        <f t="shared" si="2"/>
        <v>44</v>
      </c>
    </row>
    <row r="1430">
      <c r="A1430" s="5">
        <v>43853.549421296295</v>
      </c>
      <c r="B1430" s="7">
        <f t="shared" si="1"/>
        <v>43853</v>
      </c>
      <c r="C1430" s="33" t="s">
        <v>16</v>
      </c>
      <c r="D1430" s="4" t="s">
        <v>21</v>
      </c>
      <c r="E1430" s="4" t="s">
        <v>21</v>
      </c>
      <c r="F1430" s="4">
        <f t="shared" si="2"/>
        <v>4</v>
      </c>
    </row>
    <row r="1431">
      <c r="A1431" s="5">
        <v>43845.34263888889</v>
      </c>
      <c r="B1431" s="7">
        <f t="shared" si="1"/>
        <v>43845</v>
      </c>
      <c r="C1431" s="33" t="s">
        <v>16</v>
      </c>
      <c r="D1431" s="4" t="s">
        <v>21</v>
      </c>
      <c r="E1431" s="4" t="s">
        <v>21</v>
      </c>
      <c r="F1431" s="4">
        <f t="shared" si="2"/>
        <v>3</v>
      </c>
    </row>
    <row r="1432">
      <c r="A1432" s="5">
        <v>43755.57871527778</v>
      </c>
      <c r="B1432" s="7">
        <f t="shared" si="1"/>
        <v>43755</v>
      </c>
      <c r="C1432" s="33" t="s">
        <v>16</v>
      </c>
      <c r="D1432" s="4" t="s">
        <v>21</v>
      </c>
      <c r="E1432" s="4" t="s">
        <v>21</v>
      </c>
      <c r="F1432" s="4">
        <f t="shared" si="2"/>
        <v>42</v>
      </c>
    </row>
    <row r="1433">
      <c r="A1433" s="5">
        <v>43755.851273148146</v>
      </c>
      <c r="B1433" s="7">
        <f t="shared" si="1"/>
        <v>43755</v>
      </c>
      <c r="C1433" s="33" t="s">
        <v>16</v>
      </c>
      <c r="D1433" s="4" t="s">
        <v>21</v>
      </c>
      <c r="E1433" s="4" t="s">
        <v>21</v>
      </c>
      <c r="F1433" s="4">
        <f t="shared" si="2"/>
        <v>42</v>
      </c>
    </row>
    <row r="1434">
      <c r="A1434" s="5">
        <v>43756.508622685185</v>
      </c>
      <c r="B1434" s="7">
        <f t="shared" si="1"/>
        <v>43756</v>
      </c>
      <c r="C1434" s="33" t="s">
        <v>16</v>
      </c>
      <c r="D1434" s="4" t="s">
        <v>21</v>
      </c>
      <c r="E1434" s="4" t="s">
        <v>21</v>
      </c>
      <c r="F1434" s="4">
        <f t="shared" si="2"/>
        <v>42</v>
      </c>
    </row>
    <row r="1435">
      <c r="A1435" s="5">
        <v>43756.52585648148</v>
      </c>
      <c r="B1435" s="7">
        <f t="shared" si="1"/>
        <v>43756</v>
      </c>
      <c r="C1435" s="33" t="s">
        <v>16</v>
      </c>
      <c r="D1435" s="4" t="s">
        <v>21</v>
      </c>
      <c r="E1435" s="4" t="s">
        <v>21</v>
      </c>
      <c r="F1435" s="4">
        <f t="shared" si="2"/>
        <v>42</v>
      </c>
    </row>
    <row r="1436">
      <c r="A1436" s="5">
        <v>43818.584756944445</v>
      </c>
      <c r="B1436" s="7">
        <f t="shared" si="1"/>
        <v>43818</v>
      </c>
      <c r="C1436" s="33" t="s">
        <v>16</v>
      </c>
      <c r="D1436" s="4" t="s">
        <v>21</v>
      </c>
      <c r="E1436" s="4" t="s">
        <v>21</v>
      </c>
      <c r="F1436" s="4">
        <f t="shared" si="2"/>
        <v>51</v>
      </c>
    </row>
    <row r="1437">
      <c r="A1437" s="5">
        <v>43894.24298611111</v>
      </c>
      <c r="B1437" s="7">
        <f t="shared" si="1"/>
        <v>43894</v>
      </c>
      <c r="C1437" s="33" t="s">
        <v>16</v>
      </c>
      <c r="D1437" s="4" t="s">
        <v>21</v>
      </c>
      <c r="E1437" s="4" t="s">
        <v>21</v>
      </c>
      <c r="F1437" s="4">
        <f t="shared" si="2"/>
        <v>10</v>
      </c>
    </row>
    <row r="1438">
      <c r="A1438" s="5">
        <v>43916.507314814815</v>
      </c>
      <c r="B1438" s="7">
        <f t="shared" si="1"/>
        <v>43916</v>
      </c>
      <c r="C1438" s="33" t="s">
        <v>16</v>
      </c>
      <c r="D1438" s="4" t="s">
        <v>21</v>
      </c>
      <c r="E1438" s="4" t="s">
        <v>21</v>
      </c>
      <c r="F1438" s="4">
        <f t="shared" si="2"/>
        <v>13</v>
      </c>
    </row>
    <row r="1439">
      <c r="A1439" s="5">
        <v>43950.30204861111</v>
      </c>
      <c r="B1439" s="7">
        <f t="shared" si="1"/>
        <v>43950</v>
      </c>
      <c r="C1439" s="33" t="s">
        <v>16</v>
      </c>
      <c r="D1439" s="4" t="s">
        <v>21</v>
      </c>
      <c r="E1439" s="4" t="s">
        <v>21</v>
      </c>
      <c r="F1439" s="4">
        <f t="shared" si="2"/>
        <v>18</v>
      </c>
    </row>
    <row r="1440">
      <c r="A1440" s="5">
        <v>43993.57414351852</v>
      </c>
      <c r="B1440" s="7">
        <f t="shared" si="1"/>
        <v>43993</v>
      </c>
      <c r="C1440" s="33" t="s">
        <v>16</v>
      </c>
      <c r="D1440" s="4" t="s">
        <v>21</v>
      </c>
      <c r="E1440" s="4" t="s">
        <v>21</v>
      </c>
      <c r="F1440" s="4">
        <f t="shared" si="2"/>
        <v>24</v>
      </c>
    </row>
    <row r="1441">
      <c r="A1441" s="5">
        <v>43999.237337962964</v>
      </c>
      <c r="B1441" s="7">
        <f t="shared" si="1"/>
        <v>43999</v>
      </c>
      <c r="C1441" s="33" t="s">
        <v>16</v>
      </c>
      <c r="D1441" s="4" t="s">
        <v>21</v>
      </c>
      <c r="E1441" s="4" t="s">
        <v>21</v>
      </c>
      <c r="F1441" s="4">
        <f t="shared" si="2"/>
        <v>25</v>
      </c>
    </row>
    <row r="1442">
      <c r="A1442" s="5">
        <v>43767.615798611114</v>
      </c>
      <c r="B1442" s="7">
        <f t="shared" si="1"/>
        <v>43767</v>
      </c>
      <c r="C1442" s="33" t="s">
        <v>16</v>
      </c>
      <c r="D1442" s="4" t="s">
        <v>21</v>
      </c>
      <c r="E1442" s="4" t="s">
        <v>21</v>
      </c>
      <c r="F1442" s="4">
        <f t="shared" si="2"/>
        <v>44</v>
      </c>
    </row>
    <row r="1443">
      <c r="A1443" s="5">
        <v>43859.6096412037</v>
      </c>
      <c r="B1443" s="7">
        <f t="shared" si="1"/>
        <v>43859</v>
      </c>
      <c r="C1443" s="33" t="s">
        <v>16</v>
      </c>
      <c r="D1443" s="4" t="s">
        <v>21</v>
      </c>
      <c r="E1443" s="4" t="s">
        <v>23</v>
      </c>
      <c r="F1443" s="4">
        <f t="shared" si="2"/>
        <v>5</v>
      </c>
    </row>
    <row r="1444">
      <c r="A1444" s="5">
        <v>43892.37175925926</v>
      </c>
      <c r="B1444" s="7">
        <f t="shared" si="1"/>
        <v>43892</v>
      </c>
      <c r="C1444" s="33" t="s">
        <v>16</v>
      </c>
      <c r="D1444" s="4" t="s">
        <v>21</v>
      </c>
      <c r="E1444" s="4" t="s">
        <v>21</v>
      </c>
      <c r="F1444" s="4">
        <f t="shared" si="2"/>
        <v>10</v>
      </c>
    </row>
    <row r="1445">
      <c r="A1445" s="5">
        <v>43914.33037037037</v>
      </c>
      <c r="B1445" s="7">
        <f t="shared" si="1"/>
        <v>43914</v>
      </c>
      <c r="C1445" s="33" t="s">
        <v>16</v>
      </c>
      <c r="D1445" s="4" t="s">
        <v>21</v>
      </c>
      <c r="E1445" s="4" t="s">
        <v>21</v>
      </c>
      <c r="F1445" s="4">
        <f t="shared" si="2"/>
        <v>13</v>
      </c>
    </row>
    <row r="1446">
      <c r="A1446" s="5">
        <v>43930.35234953704</v>
      </c>
      <c r="B1446" s="7">
        <f t="shared" si="1"/>
        <v>43930</v>
      </c>
      <c r="C1446" s="33" t="s">
        <v>16</v>
      </c>
      <c r="D1446" s="4" t="s">
        <v>21</v>
      </c>
      <c r="E1446" s="4" t="s">
        <v>21</v>
      </c>
      <c r="F1446" s="4">
        <f t="shared" si="2"/>
        <v>15</v>
      </c>
    </row>
    <row r="1447">
      <c r="A1447" s="5">
        <v>43951.11481481481</v>
      </c>
      <c r="B1447" s="7">
        <f t="shared" si="1"/>
        <v>43951</v>
      </c>
      <c r="C1447" s="33" t="s">
        <v>16</v>
      </c>
      <c r="D1447" s="4" t="s">
        <v>21</v>
      </c>
      <c r="E1447" s="4" t="s">
        <v>21</v>
      </c>
      <c r="F1447" s="4">
        <f t="shared" si="2"/>
        <v>18</v>
      </c>
    </row>
    <row r="1448">
      <c r="A1448" s="5">
        <v>43966.1959375</v>
      </c>
      <c r="B1448" s="7">
        <f t="shared" si="1"/>
        <v>43966</v>
      </c>
      <c r="C1448" s="33" t="s">
        <v>16</v>
      </c>
      <c r="D1448" s="4" t="s">
        <v>21</v>
      </c>
      <c r="E1448" s="4" t="s">
        <v>21</v>
      </c>
      <c r="F1448" s="4">
        <f t="shared" si="2"/>
        <v>20</v>
      </c>
    </row>
    <row r="1449">
      <c r="A1449" s="5">
        <v>43984.35159722222</v>
      </c>
      <c r="B1449" s="7">
        <f t="shared" si="1"/>
        <v>43984</v>
      </c>
      <c r="C1449" s="33" t="s">
        <v>16</v>
      </c>
      <c r="D1449" s="4" t="s">
        <v>21</v>
      </c>
      <c r="E1449" s="4" t="s">
        <v>21</v>
      </c>
      <c r="F1449" s="4">
        <f t="shared" si="2"/>
        <v>23</v>
      </c>
    </row>
    <row r="1450">
      <c r="A1450" s="5">
        <v>43809.779270833336</v>
      </c>
      <c r="B1450" s="7">
        <f t="shared" si="1"/>
        <v>43809</v>
      </c>
      <c r="C1450" s="33" t="s">
        <v>16</v>
      </c>
      <c r="D1450" s="4" t="s">
        <v>21</v>
      </c>
      <c r="E1450" s="4" t="s">
        <v>21</v>
      </c>
      <c r="F1450" s="4">
        <f t="shared" si="2"/>
        <v>50</v>
      </c>
    </row>
    <row r="1451">
      <c r="A1451" s="5">
        <v>43845.402025462965</v>
      </c>
      <c r="B1451" s="7">
        <f t="shared" si="1"/>
        <v>43845</v>
      </c>
      <c r="C1451" s="33" t="s">
        <v>16</v>
      </c>
      <c r="D1451" s="4" t="s">
        <v>21</v>
      </c>
      <c r="E1451" s="4" t="s">
        <v>21</v>
      </c>
      <c r="F1451" s="4">
        <f t="shared" si="2"/>
        <v>3</v>
      </c>
    </row>
    <row r="1452">
      <c r="A1452" s="5">
        <v>43909.805081018516</v>
      </c>
      <c r="B1452" s="7">
        <f t="shared" si="1"/>
        <v>43909</v>
      </c>
      <c r="C1452" s="33" t="s">
        <v>16</v>
      </c>
      <c r="D1452" s="4" t="s">
        <v>21</v>
      </c>
      <c r="E1452" s="4" t="s">
        <v>21</v>
      </c>
      <c r="F1452" s="4">
        <f t="shared" si="2"/>
        <v>12</v>
      </c>
    </row>
    <row r="1453">
      <c r="A1453" s="5">
        <v>43817.47883101852</v>
      </c>
      <c r="B1453" s="7">
        <f t="shared" si="1"/>
        <v>43817</v>
      </c>
      <c r="C1453" s="33" t="s">
        <v>16</v>
      </c>
      <c r="D1453" s="4" t="s">
        <v>21</v>
      </c>
      <c r="E1453" s="4" t="s">
        <v>21</v>
      </c>
      <c r="F1453" s="4">
        <f t="shared" si="2"/>
        <v>51</v>
      </c>
    </row>
    <row r="1454">
      <c r="A1454" s="5">
        <v>43894.56327546296</v>
      </c>
      <c r="B1454" s="7">
        <f t="shared" si="1"/>
        <v>43894</v>
      </c>
      <c r="C1454" s="33" t="s">
        <v>16</v>
      </c>
      <c r="D1454" s="4" t="s">
        <v>21</v>
      </c>
      <c r="E1454" s="4" t="s">
        <v>21</v>
      </c>
      <c r="F1454" s="4">
        <f t="shared" si="2"/>
        <v>10</v>
      </c>
    </row>
    <row r="1455">
      <c r="A1455" s="5">
        <v>43915.555868055555</v>
      </c>
      <c r="B1455" s="7">
        <f t="shared" si="1"/>
        <v>43915</v>
      </c>
      <c r="C1455" s="33" t="s">
        <v>16</v>
      </c>
      <c r="D1455" s="4" t="s">
        <v>21</v>
      </c>
      <c r="E1455" s="4" t="s">
        <v>21</v>
      </c>
      <c r="F1455" s="4">
        <f t="shared" si="2"/>
        <v>13</v>
      </c>
    </row>
    <row r="1456">
      <c r="A1456" s="5">
        <v>43936.35287037037</v>
      </c>
      <c r="B1456" s="7">
        <f t="shared" si="1"/>
        <v>43936</v>
      </c>
      <c r="C1456" s="33" t="s">
        <v>16</v>
      </c>
      <c r="D1456" s="4" t="s">
        <v>21</v>
      </c>
      <c r="E1456" s="4" t="s">
        <v>21</v>
      </c>
      <c r="F1456" s="4">
        <f t="shared" si="2"/>
        <v>16</v>
      </c>
    </row>
    <row r="1457">
      <c r="A1457" s="5">
        <v>43811.48637731482</v>
      </c>
      <c r="B1457" s="7">
        <f t="shared" si="1"/>
        <v>43811</v>
      </c>
      <c r="C1457" s="33" t="s">
        <v>16</v>
      </c>
      <c r="D1457" s="4" t="s">
        <v>21</v>
      </c>
      <c r="E1457" s="4" t="s">
        <v>21</v>
      </c>
      <c r="F1457" s="4">
        <f t="shared" si="2"/>
        <v>50</v>
      </c>
    </row>
    <row r="1458">
      <c r="A1458" s="5">
        <v>43851.34767361111</v>
      </c>
      <c r="B1458" s="7">
        <f t="shared" si="1"/>
        <v>43851</v>
      </c>
      <c r="C1458" s="33" t="s">
        <v>16</v>
      </c>
      <c r="D1458" s="4" t="s">
        <v>21</v>
      </c>
      <c r="E1458" s="4" t="s">
        <v>21</v>
      </c>
      <c r="F1458" s="4">
        <f t="shared" si="2"/>
        <v>4</v>
      </c>
    </row>
    <row r="1459">
      <c r="A1459" s="5">
        <v>43738.552083333336</v>
      </c>
      <c r="B1459" s="7">
        <f t="shared" si="1"/>
        <v>43738</v>
      </c>
      <c r="C1459" s="33" t="s">
        <v>16</v>
      </c>
      <c r="D1459" s="4" t="s">
        <v>21</v>
      </c>
      <c r="E1459" s="4" t="s">
        <v>21</v>
      </c>
      <c r="F1459" s="4">
        <f t="shared" si="2"/>
        <v>40</v>
      </c>
    </row>
    <row r="1460">
      <c r="A1460" s="5">
        <v>43754.49332175926</v>
      </c>
      <c r="B1460" s="7">
        <f t="shared" si="1"/>
        <v>43754</v>
      </c>
      <c r="C1460" s="33" t="s">
        <v>16</v>
      </c>
      <c r="D1460" s="4" t="s">
        <v>21</v>
      </c>
      <c r="E1460" s="4" t="s">
        <v>21</v>
      </c>
      <c r="F1460" s="4">
        <f t="shared" si="2"/>
        <v>42</v>
      </c>
    </row>
    <row r="1461">
      <c r="A1461" s="5">
        <v>43795.36252314815</v>
      </c>
      <c r="B1461" s="7">
        <f t="shared" si="1"/>
        <v>43795</v>
      </c>
      <c r="C1461" s="33" t="s">
        <v>16</v>
      </c>
      <c r="D1461" s="4" t="s">
        <v>21</v>
      </c>
      <c r="E1461" s="4" t="s">
        <v>21</v>
      </c>
      <c r="F1461" s="4">
        <f t="shared" si="2"/>
        <v>48</v>
      </c>
    </row>
    <row r="1462">
      <c r="A1462" s="5">
        <v>43811.65972222222</v>
      </c>
      <c r="B1462" s="7">
        <f t="shared" si="1"/>
        <v>43811</v>
      </c>
      <c r="C1462" s="33" t="s">
        <v>16</v>
      </c>
      <c r="D1462" s="4" t="s">
        <v>21</v>
      </c>
      <c r="E1462" s="4" t="s">
        <v>21</v>
      </c>
      <c r="F1462" s="4">
        <f t="shared" si="2"/>
        <v>50</v>
      </c>
    </row>
    <row r="1463">
      <c r="A1463" s="5">
        <v>43818.437314814815</v>
      </c>
      <c r="B1463" s="7">
        <f t="shared" si="1"/>
        <v>43818</v>
      </c>
      <c r="C1463" s="33" t="s">
        <v>16</v>
      </c>
      <c r="D1463" s="4" t="s">
        <v>21</v>
      </c>
      <c r="E1463" s="4" t="s">
        <v>21</v>
      </c>
      <c r="F1463" s="4">
        <f t="shared" si="2"/>
        <v>51</v>
      </c>
    </row>
    <row r="1464">
      <c r="A1464" s="5">
        <v>43818.44038194444</v>
      </c>
      <c r="B1464" s="7">
        <f t="shared" si="1"/>
        <v>43818</v>
      </c>
      <c r="C1464" s="33" t="s">
        <v>16</v>
      </c>
      <c r="D1464" s="4" t="s">
        <v>21</v>
      </c>
      <c r="E1464" s="4" t="s">
        <v>21</v>
      </c>
      <c r="F1464" s="4">
        <f t="shared" si="2"/>
        <v>51</v>
      </c>
    </row>
    <row r="1465">
      <c r="A1465" s="5">
        <v>43852.365324074075</v>
      </c>
      <c r="B1465" s="7">
        <f t="shared" si="1"/>
        <v>43852</v>
      </c>
      <c r="C1465" s="33" t="s">
        <v>16</v>
      </c>
      <c r="D1465" s="4" t="s">
        <v>21</v>
      </c>
      <c r="E1465" s="4" t="s">
        <v>21</v>
      </c>
      <c r="F1465" s="4">
        <f t="shared" si="2"/>
        <v>4</v>
      </c>
    </row>
    <row r="1466">
      <c r="A1466" s="5">
        <v>43852.687002314815</v>
      </c>
      <c r="B1466" s="7">
        <f t="shared" si="1"/>
        <v>43852</v>
      </c>
      <c r="C1466" s="33" t="s">
        <v>16</v>
      </c>
      <c r="D1466" s="4" t="s">
        <v>21</v>
      </c>
      <c r="E1466" s="4" t="s">
        <v>21</v>
      </c>
      <c r="F1466" s="4">
        <f t="shared" si="2"/>
        <v>4</v>
      </c>
    </row>
    <row r="1467">
      <c r="A1467" s="5">
        <v>43882.047418981485</v>
      </c>
      <c r="B1467" s="7">
        <f t="shared" si="1"/>
        <v>43882</v>
      </c>
      <c r="C1467" s="33" t="s">
        <v>16</v>
      </c>
      <c r="D1467" s="4" t="s">
        <v>21</v>
      </c>
      <c r="E1467" s="4" t="s">
        <v>21</v>
      </c>
      <c r="F1467" s="4">
        <f t="shared" si="2"/>
        <v>8</v>
      </c>
    </row>
    <row r="1468">
      <c r="A1468" s="5">
        <v>43892.62175925926</v>
      </c>
      <c r="B1468" s="7">
        <f t="shared" si="1"/>
        <v>43892</v>
      </c>
      <c r="C1468" s="33" t="s">
        <v>16</v>
      </c>
      <c r="D1468" s="4" t="s">
        <v>21</v>
      </c>
      <c r="E1468" s="4" t="s">
        <v>21</v>
      </c>
      <c r="F1468" s="4">
        <f t="shared" si="2"/>
        <v>10</v>
      </c>
    </row>
    <row r="1469">
      <c r="A1469" s="5">
        <v>43909.65939814815</v>
      </c>
      <c r="B1469" s="7">
        <f t="shared" si="1"/>
        <v>43909</v>
      </c>
      <c r="C1469" s="33" t="s">
        <v>16</v>
      </c>
      <c r="D1469" s="4" t="s">
        <v>21</v>
      </c>
      <c r="E1469" s="4" t="s">
        <v>21</v>
      </c>
      <c r="F1469" s="4">
        <f t="shared" si="2"/>
        <v>12</v>
      </c>
    </row>
    <row r="1470">
      <c r="A1470" s="5">
        <v>43910.56277777778</v>
      </c>
      <c r="B1470" s="7">
        <f t="shared" si="1"/>
        <v>43910</v>
      </c>
      <c r="C1470" s="33" t="s">
        <v>16</v>
      </c>
      <c r="D1470" s="4" t="s">
        <v>21</v>
      </c>
      <c r="E1470" s="4" t="s">
        <v>21</v>
      </c>
      <c r="F1470" s="4">
        <f t="shared" si="2"/>
        <v>12</v>
      </c>
    </row>
    <row r="1471">
      <c r="A1471" s="5">
        <v>43923.63586805556</v>
      </c>
      <c r="B1471" s="7">
        <f t="shared" si="1"/>
        <v>43923</v>
      </c>
      <c r="C1471" s="33" t="s">
        <v>16</v>
      </c>
      <c r="D1471" s="4" t="s">
        <v>21</v>
      </c>
      <c r="E1471" s="4" t="s">
        <v>21</v>
      </c>
      <c r="F1471" s="4">
        <f t="shared" si="2"/>
        <v>14</v>
      </c>
    </row>
    <row r="1472">
      <c r="A1472" s="5">
        <v>43927.58280092593</v>
      </c>
      <c r="B1472" s="7">
        <f t="shared" si="1"/>
        <v>43927</v>
      </c>
      <c r="C1472" s="33" t="s">
        <v>16</v>
      </c>
      <c r="D1472" s="4" t="s">
        <v>21</v>
      </c>
      <c r="E1472" s="4" t="s">
        <v>21</v>
      </c>
      <c r="F1472" s="4">
        <f t="shared" si="2"/>
        <v>15</v>
      </c>
    </row>
    <row r="1473">
      <c r="A1473" s="5">
        <v>43956.38613425926</v>
      </c>
      <c r="B1473" s="7">
        <f t="shared" si="1"/>
        <v>43956</v>
      </c>
      <c r="C1473" s="33" t="s">
        <v>16</v>
      </c>
      <c r="D1473" s="4" t="s">
        <v>21</v>
      </c>
      <c r="E1473" s="4" t="s">
        <v>21</v>
      </c>
      <c r="F1473" s="4">
        <f t="shared" si="2"/>
        <v>19</v>
      </c>
    </row>
    <row r="1474">
      <c r="A1474" s="5">
        <v>44004.64357638889</v>
      </c>
      <c r="B1474" s="7">
        <f t="shared" si="1"/>
        <v>44004</v>
      </c>
      <c r="C1474" s="33" t="s">
        <v>16</v>
      </c>
      <c r="D1474" s="4" t="s">
        <v>21</v>
      </c>
      <c r="E1474" s="4" t="s">
        <v>21</v>
      </c>
      <c r="F1474" s="4">
        <f t="shared" si="2"/>
        <v>26</v>
      </c>
    </row>
    <row r="1475">
      <c r="A1475" s="5">
        <v>43804.31383101852</v>
      </c>
      <c r="B1475" s="7">
        <f t="shared" si="1"/>
        <v>43804</v>
      </c>
      <c r="C1475" s="33" t="s">
        <v>16</v>
      </c>
      <c r="D1475" s="4" t="s">
        <v>21</v>
      </c>
      <c r="E1475" s="4" t="s">
        <v>21</v>
      </c>
      <c r="F1475" s="4">
        <f t="shared" si="2"/>
        <v>49</v>
      </c>
    </row>
    <row r="1476">
      <c r="A1476" s="5">
        <v>43804.37726851852</v>
      </c>
      <c r="B1476" s="7">
        <f t="shared" si="1"/>
        <v>43804</v>
      </c>
      <c r="C1476" s="33" t="s">
        <v>16</v>
      </c>
      <c r="D1476" s="4" t="s">
        <v>21</v>
      </c>
      <c r="E1476" s="4" t="s">
        <v>21</v>
      </c>
      <c r="F1476" s="4">
        <f t="shared" si="2"/>
        <v>49</v>
      </c>
    </row>
    <row r="1477">
      <c r="A1477" s="5">
        <v>43895.4991087963</v>
      </c>
      <c r="B1477" s="7">
        <f t="shared" si="1"/>
        <v>43895</v>
      </c>
      <c r="C1477" s="33" t="s">
        <v>16</v>
      </c>
      <c r="D1477" s="4" t="s">
        <v>21</v>
      </c>
      <c r="E1477" s="4" t="s">
        <v>21</v>
      </c>
      <c r="F1477" s="4">
        <f t="shared" si="2"/>
        <v>10</v>
      </c>
    </row>
    <row r="1478">
      <c r="A1478" s="5">
        <v>43895.50077546296</v>
      </c>
      <c r="B1478" s="7">
        <f t="shared" si="1"/>
        <v>43895</v>
      </c>
      <c r="C1478" s="33" t="s">
        <v>16</v>
      </c>
      <c r="D1478" s="4" t="s">
        <v>21</v>
      </c>
      <c r="E1478" s="4" t="s">
        <v>21</v>
      </c>
      <c r="F1478" s="4">
        <f t="shared" si="2"/>
        <v>10</v>
      </c>
    </row>
    <row r="1479">
      <c r="A1479" s="5">
        <v>43896.15091435185</v>
      </c>
      <c r="B1479" s="7">
        <f t="shared" si="1"/>
        <v>43896</v>
      </c>
      <c r="C1479" s="33" t="s">
        <v>16</v>
      </c>
      <c r="D1479" s="4" t="s">
        <v>21</v>
      </c>
      <c r="E1479" s="4" t="s">
        <v>21</v>
      </c>
      <c r="F1479" s="4">
        <f t="shared" si="2"/>
        <v>10</v>
      </c>
    </row>
    <row r="1480">
      <c r="A1480" s="5">
        <v>43910.31637731481</v>
      </c>
      <c r="B1480" s="7">
        <f t="shared" si="1"/>
        <v>43910</v>
      </c>
      <c r="C1480" s="33" t="s">
        <v>16</v>
      </c>
      <c r="D1480" s="4" t="s">
        <v>21</v>
      </c>
      <c r="E1480" s="4" t="s">
        <v>21</v>
      </c>
      <c r="F1480" s="4">
        <f t="shared" si="2"/>
        <v>12</v>
      </c>
    </row>
    <row r="1481">
      <c r="A1481" s="5">
        <v>43910.31842592593</v>
      </c>
      <c r="B1481" s="7">
        <f t="shared" si="1"/>
        <v>43910</v>
      </c>
      <c r="C1481" s="33" t="s">
        <v>16</v>
      </c>
      <c r="D1481" s="4" t="s">
        <v>21</v>
      </c>
      <c r="E1481" s="4" t="s">
        <v>21</v>
      </c>
      <c r="F1481" s="4">
        <f t="shared" si="2"/>
        <v>12</v>
      </c>
    </row>
    <row r="1482">
      <c r="A1482" s="5">
        <v>43927.790625</v>
      </c>
      <c r="B1482" s="7">
        <f t="shared" si="1"/>
        <v>43927</v>
      </c>
      <c r="C1482" s="33" t="s">
        <v>16</v>
      </c>
      <c r="D1482" s="4" t="s">
        <v>21</v>
      </c>
      <c r="E1482" s="4" t="s">
        <v>21</v>
      </c>
      <c r="F1482" s="4">
        <f t="shared" si="2"/>
        <v>15</v>
      </c>
    </row>
    <row r="1483">
      <c r="A1483" s="5">
        <v>43845.40509259259</v>
      </c>
      <c r="B1483" s="7">
        <f t="shared" si="1"/>
        <v>43845</v>
      </c>
      <c r="C1483" s="33" t="s">
        <v>16</v>
      </c>
      <c r="D1483" s="4" t="s">
        <v>21</v>
      </c>
      <c r="E1483" s="4" t="s">
        <v>21</v>
      </c>
      <c r="F1483" s="4">
        <f t="shared" si="2"/>
        <v>3</v>
      </c>
    </row>
    <row r="1484">
      <c r="A1484" s="5">
        <v>43910.70255787037</v>
      </c>
      <c r="B1484" s="7">
        <f t="shared" si="1"/>
        <v>43910</v>
      </c>
      <c r="C1484" s="33" t="s">
        <v>16</v>
      </c>
      <c r="D1484" s="4" t="s">
        <v>21</v>
      </c>
      <c r="E1484" s="4" t="s">
        <v>21</v>
      </c>
      <c r="F1484" s="4">
        <f t="shared" si="2"/>
        <v>12</v>
      </c>
    </row>
    <row r="1485">
      <c r="A1485" s="5">
        <v>43917.31318287037</v>
      </c>
      <c r="B1485" s="7">
        <f t="shared" si="1"/>
        <v>43917</v>
      </c>
      <c r="C1485" s="33" t="s">
        <v>16</v>
      </c>
      <c r="D1485" s="4" t="s">
        <v>21</v>
      </c>
      <c r="E1485" s="4" t="s">
        <v>21</v>
      </c>
      <c r="F1485" s="4">
        <f t="shared" si="2"/>
        <v>13</v>
      </c>
    </row>
    <row r="1486">
      <c r="A1486" s="5">
        <v>43906.53061342592</v>
      </c>
      <c r="B1486" s="7">
        <f t="shared" si="1"/>
        <v>43906</v>
      </c>
      <c r="C1486" s="33" t="s">
        <v>16</v>
      </c>
      <c r="D1486" s="4" t="s">
        <v>21</v>
      </c>
      <c r="E1486" s="4" t="s">
        <v>21</v>
      </c>
      <c r="F1486" s="4">
        <f t="shared" si="2"/>
        <v>12</v>
      </c>
    </row>
    <row r="1487">
      <c r="A1487" s="5">
        <v>43805.38780092593</v>
      </c>
      <c r="B1487" s="7">
        <f t="shared" si="1"/>
        <v>43805</v>
      </c>
      <c r="C1487" s="33" t="s">
        <v>16</v>
      </c>
      <c r="D1487" s="4" t="s">
        <v>21</v>
      </c>
      <c r="E1487" s="4" t="s">
        <v>21</v>
      </c>
      <c r="F1487" s="4">
        <f t="shared" si="2"/>
        <v>49</v>
      </c>
    </row>
    <row r="1488">
      <c r="A1488" s="5">
        <v>43784.730046296296</v>
      </c>
      <c r="B1488" s="7">
        <f t="shared" si="1"/>
        <v>43784</v>
      </c>
      <c r="C1488" s="33" t="s">
        <v>16</v>
      </c>
      <c r="D1488" s="4" t="s">
        <v>21</v>
      </c>
      <c r="E1488" s="4" t="s">
        <v>21</v>
      </c>
      <c r="F1488" s="4">
        <f t="shared" si="2"/>
        <v>46</v>
      </c>
    </row>
    <row r="1489">
      <c r="A1489" s="5">
        <v>43896.444710648146</v>
      </c>
      <c r="B1489" s="7">
        <f t="shared" si="1"/>
        <v>43896</v>
      </c>
      <c r="C1489" s="33" t="s">
        <v>16</v>
      </c>
      <c r="D1489" s="4" t="s">
        <v>21</v>
      </c>
      <c r="E1489" s="4" t="s">
        <v>21</v>
      </c>
      <c r="F1489" s="4">
        <f t="shared" si="2"/>
        <v>10</v>
      </c>
    </row>
    <row r="1490">
      <c r="A1490" s="5">
        <v>43990.32104166667</v>
      </c>
      <c r="B1490" s="7">
        <f t="shared" si="1"/>
        <v>43990</v>
      </c>
      <c r="C1490" s="33" t="s">
        <v>16</v>
      </c>
      <c r="D1490" s="4" t="s">
        <v>21</v>
      </c>
      <c r="E1490" s="4" t="s">
        <v>21</v>
      </c>
      <c r="F1490" s="4">
        <f t="shared" si="2"/>
        <v>24</v>
      </c>
    </row>
    <row r="1491">
      <c r="A1491" s="5">
        <v>43990.32320601852</v>
      </c>
      <c r="B1491" s="7">
        <f t="shared" si="1"/>
        <v>43990</v>
      </c>
      <c r="C1491" s="33" t="s">
        <v>16</v>
      </c>
      <c r="D1491" s="4" t="s">
        <v>21</v>
      </c>
      <c r="E1491" s="4" t="s">
        <v>21</v>
      </c>
      <c r="F1491" s="4">
        <f t="shared" si="2"/>
        <v>24</v>
      </c>
    </row>
    <row r="1492">
      <c r="A1492" s="5">
        <v>43990.32372685185</v>
      </c>
      <c r="B1492" s="7">
        <f t="shared" si="1"/>
        <v>43990</v>
      </c>
      <c r="C1492" s="33" t="s">
        <v>16</v>
      </c>
      <c r="D1492" s="4" t="s">
        <v>21</v>
      </c>
      <c r="E1492" s="4" t="s">
        <v>21</v>
      </c>
      <c r="F1492" s="4">
        <f t="shared" si="2"/>
        <v>24</v>
      </c>
    </row>
    <row r="1493">
      <c r="A1493" s="5">
        <v>43990.32503472222</v>
      </c>
      <c r="B1493" s="7">
        <f t="shared" si="1"/>
        <v>43990</v>
      </c>
      <c r="C1493" s="33" t="s">
        <v>16</v>
      </c>
      <c r="D1493" s="4" t="s">
        <v>21</v>
      </c>
      <c r="E1493" s="4" t="s">
        <v>21</v>
      </c>
      <c r="F1493" s="4">
        <f t="shared" si="2"/>
        <v>24</v>
      </c>
    </row>
    <row r="1494">
      <c r="A1494" s="5">
        <v>43990.325949074075</v>
      </c>
      <c r="B1494" s="7">
        <f t="shared" si="1"/>
        <v>43990</v>
      </c>
      <c r="C1494" s="33" t="s">
        <v>16</v>
      </c>
      <c r="D1494" s="4" t="s">
        <v>21</v>
      </c>
      <c r="E1494" s="4" t="s">
        <v>21</v>
      </c>
      <c r="F1494" s="4">
        <f t="shared" si="2"/>
        <v>24</v>
      </c>
    </row>
    <row r="1495">
      <c r="A1495" s="5">
        <v>43990.32693287037</v>
      </c>
      <c r="B1495" s="7">
        <f t="shared" si="1"/>
        <v>43990</v>
      </c>
      <c r="C1495" s="33" t="s">
        <v>16</v>
      </c>
      <c r="D1495" s="4" t="s">
        <v>21</v>
      </c>
      <c r="E1495" s="4" t="s">
        <v>21</v>
      </c>
      <c r="F1495" s="4">
        <f t="shared" si="2"/>
        <v>24</v>
      </c>
    </row>
    <row r="1496">
      <c r="A1496" s="5">
        <v>43990.32797453704</v>
      </c>
      <c r="B1496" s="7">
        <f t="shared" si="1"/>
        <v>43990</v>
      </c>
      <c r="C1496" s="33" t="s">
        <v>16</v>
      </c>
      <c r="D1496" s="4" t="s">
        <v>21</v>
      </c>
      <c r="E1496" s="4" t="s">
        <v>21</v>
      </c>
      <c r="F1496" s="4">
        <f t="shared" si="2"/>
        <v>24</v>
      </c>
    </row>
    <row r="1497">
      <c r="A1497" s="5">
        <v>43990.32921296296</v>
      </c>
      <c r="B1497" s="7">
        <f t="shared" si="1"/>
        <v>43990</v>
      </c>
      <c r="C1497" s="33" t="s">
        <v>16</v>
      </c>
      <c r="D1497" s="4" t="s">
        <v>21</v>
      </c>
      <c r="E1497" s="4" t="s">
        <v>21</v>
      </c>
      <c r="F1497" s="4">
        <f t="shared" si="2"/>
        <v>24</v>
      </c>
    </row>
    <row r="1498">
      <c r="A1498" s="5">
        <v>43990.330196759256</v>
      </c>
      <c r="B1498" s="7">
        <f t="shared" si="1"/>
        <v>43990</v>
      </c>
      <c r="C1498" s="33" t="s">
        <v>16</v>
      </c>
      <c r="D1498" s="4" t="s">
        <v>21</v>
      </c>
      <c r="E1498" s="4" t="s">
        <v>21</v>
      </c>
      <c r="F1498" s="4">
        <f t="shared" si="2"/>
        <v>24</v>
      </c>
    </row>
    <row r="1499">
      <c r="A1499" s="5">
        <v>43990.332141203704</v>
      </c>
      <c r="B1499" s="7">
        <f t="shared" si="1"/>
        <v>43990</v>
      </c>
      <c r="C1499" s="33" t="s">
        <v>16</v>
      </c>
      <c r="D1499" s="4" t="s">
        <v>21</v>
      </c>
      <c r="E1499" s="4" t="s">
        <v>21</v>
      </c>
      <c r="F1499" s="4">
        <f t="shared" si="2"/>
        <v>24</v>
      </c>
    </row>
    <row r="1500">
      <c r="A1500" s="5">
        <v>43990.333032407405</v>
      </c>
      <c r="B1500" s="7">
        <f t="shared" si="1"/>
        <v>43990</v>
      </c>
      <c r="C1500" s="33" t="s">
        <v>16</v>
      </c>
      <c r="D1500" s="4" t="s">
        <v>21</v>
      </c>
      <c r="E1500" s="4" t="s">
        <v>21</v>
      </c>
      <c r="F1500" s="4">
        <f t="shared" si="2"/>
        <v>24</v>
      </c>
    </row>
    <row r="1501">
      <c r="A1501" s="5">
        <v>43780.65660879629</v>
      </c>
      <c r="B1501" s="7">
        <f t="shared" si="1"/>
        <v>43780</v>
      </c>
      <c r="C1501" s="33" t="s">
        <v>16</v>
      </c>
      <c r="D1501" s="4" t="s">
        <v>21</v>
      </c>
      <c r="E1501" s="4" t="s">
        <v>21</v>
      </c>
      <c r="F1501" s="4">
        <f t="shared" si="2"/>
        <v>46</v>
      </c>
    </row>
    <row r="1502">
      <c r="A1502" s="5">
        <v>43927.26190972222</v>
      </c>
      <c r="B1502" s="7">
        <f t="shared" si="1"/>
        <v>43927</v>
      </c>
      <c r="C1502" s="33" t="s">
        <v>16</v>
      </c>
      <c r="D1502" s="4" t="s">
        <v>21</v>
      </c>
      <c r="E1502" s="4" t="s">
        <v>21</v>
      </c>
      <c r="F1502" s="4">
        <f t="shared" si="2"/>
        <v>15</v>
      </c>
    </row>
    <row r="1503">
      <c r="A1503" s="5">
        <v>43887.08954861111</v>
      </c>
      <c r="B1503" s="7">
        <f t="shared" si="1"/>
        <v>43887</v>
      </c>
      <c r="C1503" s="33" t="s">
        <v>16</v>
      </c>
      <c r="D1503" s="4" t="s">
        <v>21</v>
      </c>
      <c r="E1503" s="4" t="s">
        <v>21</v>
      </c>
      <c r="F1503" s="4">
        <f t="shared" si="2"/>
        <v>9</v>
      </c>
    </row>
    <row r="1504">
      <c r="A1504" s="5">
        <v>43886.431238425925</v>
      </c>
      <c r="B1504" s="7">
        <f t="shared" si="1"/>
        <v>43886</v>
      </c>
      <c r="C1504" s="33" t="s">
        <v>16</v>
      </c>
      <c r="D1504" s="4" t="s">
        <v>21</v>
      </c>
      <c r="E1504" s="4" t="s">
        <v>21</v>
      </c>
      <c r="F1504" s="4">
        <f t="shared" si="2"/>
        <v>9</v>
      </c>
    </row>
    <row r="1505">
      <c r="A1505" s="5">
        <v>43899.853125</v>
      </c>
      <c r="B1505" s="7">
        <f t="shared" si="1"/>
        <v>43899</v>
      </c>
      <c r="C1505" s="33" t="s">
        <v>16</v>
      </c>
      <c r="D1505" s="4" t="s">
        <v>21</v>
      </c>
      <c r="E1505" s="4" t="s">
        <v>21</v>
      </c>
      <c r="F1505" s="4">
        <f t="shared" si="2"/>
        <v>11</v>
      </c>
    </row>
    <row r="1506">
      <c r="A1506" s="5">
        <v>43899.8553125</v>
      </c>
      <c r="B1506" s="7">
        <f t="shared" si="1"/>
        <v>43899</v>
      </c>
      <c r="C1506" s="33" t="s">
        <v>16</v>
      </c>
      <c r="D1506" s="4" t="s">
        <v>21</v>
      </c>
      <c r="E1506" s="4" t="s">
        <v>21</v>
      </c>
      <c r="F1506" s="4">
        <f t="shared" si="2"/>
        <v>11</v>
      </c>
    </row>
    <row r="1507">
      <c r="A1507" s="5">
        <v>43899.85696759259</v>
      </c>
      <c r="B1507" s="7">
        <f t="shared" si="1"/>
        <v>43899</v>
      </c>
      <c r="C1507" s="33" t="s">
        <v>16</v>
      </c>
      <c r="D1507" s="4" t="s">
        <v>21</v>
      </c>
      <c r="E1507" s="4" t="s">
        <v>21</v>
      </c>
      <c r="F1507" s="4">
        <f t="shared" si="2"/>
        <v>11</v>
      </c>
    </row>
    <row r="1508">
      <c r="A1508" s="5">
        <v>43899.85971064815</v>
      </c>
      <c r="B1508" s="7">
        <f t="shared" si="1"/>
        <v>43899</v>
      </c>
      <c r="C1508" s="33" t="s">
        <v>16</v>
      </c>
      <c r="D1508" s="4" t="s">
        <v>21</v>
      </c>
      <c r="E1508" s="4" t="s">
        <v>21</v>
      </c>
      <c r="F1508" s="4">
        <f t="shared" si="2"/>
        <v>11</v>
      </c>
    </row>
    <row r="1509">
      <c r="A1509" s="5">
        <v>43899.86094907407</v>
      </c>
      <c r="B1509" s="7">
        <f t="shared" si="1"/>
        <v>43899</v>
      </c>
      <c r="C1509" s="33" t="s">
        <v>16</v>
      </c>
      <c r="D1509" s="4" t="s">
        <v>21</v>
      </c>
      <c r="E1509" s="4" t="s">
        <v>21</v>
      </c>
      <c r="F1509" s="4">
        <f t="shared" si="2"/>
        <v>11</v>
      </c>
    </row>
    <row r="1510">
      <c r="A1510" s="5">
        <v>43899.87516203704</v>
      </c>
      <c r="B1510" s="7">
        <f t="shared" si="1"/>
        <v>43899</v>
      </c>
      <c r="C1510" s="33" t="s">
        <v>16</v>
      </c>
      <c r="D1510" s="4" t="s">
        <v>21</v>
      </c>
      <c r="E1510" s="4" t="s">
        <v>21</v>
      </c>
      <c r="F1510" s="4">
        <f t="shared" si="2"/>
        <v>11</v>
      </c>
    </row>
    <row r="1511">
      <c r="A1511" s="5">
        <v>43899.8768287037</v>
      </c>
      <c r="B1511" s="7">
        <f t="shared" si="1"/>
        <v>43899</v>
      </c>
      <c r="C1511" s="33" t="s">
        <v>16</v>
      </c>
      <c r="D1511" s="4" t="s">
        <v>21</v>
      </c>
      <c r="E1511" s="4" t="s">
        <v>21</v>
      </c>
      <c r="F1511" s="4">
        <f t="shared" si="2"/>
        <v>11</v>
      </c>
    </row>
    <row r="1512">
      <c r="A1512" s="5">
        <v>43899.87771990741</v>
      </c>
      <c r="B1512" s="7">
        <f t="shared" si="1"/>
        <v>43899</v>
      </c>
      <c r="C1512" s="33" t="s">
        <v>16</v>
      </c>
      <c r="D1512" s="4" t="s">
        <v>21</v>
      </c>
      <c r="E1512" s="4" t="s">
        <v>21</v>
      </c>
      <c r="F1512" s="4">
        <f t="shared" si="2"/>
        <v>11</v>
      </c>
    </row>
    <row r="1513">
      <c r="A1513" s="5">
        <v>43899.87909722222</v>
      </c>
      <c r="B1513" s="7">
        <f t="shared" si="1"/>
        <v>43899</v>
      </c>
      <c r="C1513" s="33" t="s">
        <v>16</v>
      </c>
      <c r="D1513" s="4" t="s">
        <v>21</v>
      </c>
      <c r="E1513" s="4" t="s">
        <v>21</v>
      </c>
      <c r="F1513" s="4">
        <f t="shared" si="2"/>
        <v>11</v>
      </c>
    </row>
    <row r="1514">
      <c r="A1514" s="5">
        <v>43899.88037037037</v>
      </c>
      <c r="B1514" s="7">
        <f t="shared" si="1"/>
        <v>43899</v>
      </c>
      <c r="C1514" s="33" t="s">
        <v>16</v>
      </c>
      <c r="D1514" s="4" t="s">
        <v>21</v>
      </c>
      <c r="E1514" s="4" t="s">
        <v>21</v>
      </c>
      <c r="F1514" s="4">
        <f t="shared" si="2"/>
        <v>11</v>
      </c>
    </row>
    <row r="1515">
      <c r="A1515" s="5">
        <v>43899.88122685185</v>
      </c>
      <c r="B1515" s="7">
        <f t="shared" si="1"/>
        <v>43899</v>
      </c>
      <c r="C1515" s="33" t="s">
        <v>16</v>
      </c>
      <c r="D1515" s="4" t="s">
        <v>21</v>
      </c>
      <c r="E1515" s="4" t="s">
        <v>21</v>
      </c>
      <c r="F1515" s="4">
        <f t="shared" si="2"/>
        <v>11</v>
      </c>
    </row>
    <row r="1516">
      <c r="A1516" s="5">
        <v>43899.882199074076</v>
      </c>
      <c r="B1516" s="7">
        <f t="shared" si="1"/>
        <v>43899</v>
      </c>
      <c r="C1516" s="33" t="s">
        <v>16</v>
      </c>
      <c r="D1516" s="4" t="s">
        <v>21</v>
      </c>
      <c r="E1516" s="4" t="s">
        <v>21</v>
      </c>
      <c r="F1516" s="4">
        <f t="shared" si="2"/>
        <v>11</v>
      </c>
    </row>
    <row r="1517">
      <c r="A1517" s="5">
        <v>43899.90756944445</v>
      </c>
      <c r="B1517" s="7">
        <f t="shared" si="1"/>
        <v>43899</v>
      </c>
      <c r="C1517" s="33" t="s">
        <v>16</v>
      </c>
      <c r="D1517" s="4" t="s">
        <v>21</v>
      </c>
      <c r="E1517" s="4" t="s">
        <v>21</v>
      </c>
      <c r="F1517" s="4">
        <f t="shared" si="2"/>
        <v>11</v>
      </c>
    </row>
    <row r="1518">
      <c r="A1518" s="5">
        <v>43899.918125</v>
      </c>
      <c r="B1518" s="7">
        <f t="shared" si="1"/>
        <v>43899</v>
      </c>
      <c r="C1518" s="33" t="s">
        <v>16</v>
      </c>
      <c r="D1518" s="4" t="s">
        <v>21</v>
      </c>
      <c r="E1518" s="4" t="s">
        <v>21</v>
      </c>
      <c r="F1518" s="4">
        <f t="shared" si="2"/>
        <v>11</v>
      </c>
    </row>
    <row r="1519">
      <c r="A1519" s="5">
        <v>43899.92172453704</v>
      </c>
      <c r="B1519" s="7">
        <f t="shared" si="1"/>
        <v>43899</v>
      </c>
      <c r="C1519" s="33" t="s">
        <v>16</v>
      </c>
      <c r="D1519" s="4" t="s">
        <v>21</v>
      </c>
      <c r="E1519" s="4" t="s">
        <v>21</v>
      </c>
      <c r="F1519" s="4">
        <f t="shared" si="2"/>
        <v>11</v>
      </c>
    </row>
    <row r="1520">
      <c r="A1520" s="5">
        <v>43899.930081018516</v>
      </c>
      <c r="B1520" s="7">
        <f t="shared" si="1"/>
        <v>43899</v>
      </c>
      <c r="C1520" s="33" t="s">
        <v>16</v>
      </c>
      <c r="D1520" s="4" t="s">
        <v>21</v>
      </c>
      <c r="E1520" s="4" t="s">
        <v>21</v>
      </c>
      <c r="F1520" s="4">
        <f t="shared" si="2"/>
        <v>11</v>
      </c>
    </row>
    <row r="1521">
      <c r="A1521" s="5">
        <v>43899.931180555555</v>
      </c>
      <c r="B1521" s="7">
        <f t="shared" si="1"/>
        <v>43899</v>
      </c>
      <c r="C1521" s="33" t="s">
        <v>16</v>
      </c>
      <c r="D1521" s="4" t="s">
        <v>21</v>
      </c>
      <c r="E1521" s="4" t="s">
        <v>21</v>
      </c>
      <c r="F1521" s="4">
        <f t="shared" si="2"/>
        <v>11</v>
      </c>
    </row>
    <row r="1522">
      <c r="A1522" s="5">
        <v>43899.93283564815</v>
      </c>
      <c r="B1522" s="7">
        <f t="shared" si="1"/>
        <v>43899</v>
      </c>
      <c r="C1522" s="33" t="s">
        <v>16</v>
      </c>
      <c r="D1522" s="4" t="s">
        <v>21</v>
      </c>
      <c r="E1522" s="4" t="s">
        <v>21</v>
      </c>
      <c r="F1522" s="4">
        <f t="shared" si="2"/>
        <v>11</v>
      </c>
    </row>
    <row r="1523">
      <c r="A1523" s="5">
        <v>43899.93969907407</v>
      </c>
      <c r="B1523" s="7">
        <f t="shared" si="1"/>
        <v>43899</v>
      </c>
      <c r="C1523" s="33" t="s">
        <v>16</v>
      </c>
      <c r="D1523" s="4" t="s">
        <v>21</v>
      </c>
      <c r="E1523" s="4" t="s">
        <v>21</v>
      </c>
      <c r="F1523" s="4">
        <f t="shared" si="2"/>
        <v>11</v>
      </c>
    </row>
    <row r="1524">
      <c r="A1524" s="5">
        <v>43899.943136574075</v>
      </c>
      <c r="B1524" s="7">
        <f t="shared" si="1"/>
        <v>43899</v>
      </c>
      <c r="C1524" s="33" t="s">
        <v>16</v>
      </c>
      <c r="D1524" s="4" t="s">
        <v>21</v>
      </c>
      <c r="E1524" s="4" t="s">
        <v>21</v>
      </c>
      <c r="F1524" s="4">
        <f t="shared" si="2"/>
        <v>11</v>
      </c>
    </row>
    <row r="1525">
      <c r="A1525" s="5">
        <v>43899.94923611111</v>
      </c>
      <c r="B1525" s="7">
        <f t="shared" si="1"/>
        <v>43899</v>
      </c>
      <c r="C1525" s="33" t="s">
        <v>16</v>
      </c>
      <c r="D1525" s="4" t="s">
        <v>21</v>
      </c>
      <c r="E1525" s="4" t="s">
        <v>21</v>
      </c>
      <c r="F1525" s="4">
        <f t="shared" si="2"/>
        <v>11</v>
      </c>
    </row>
    <row r="1526">
      <c r="A1526" s="5">
        <v>43899.95222222222</v>
      </c>
      <c r="B1526" s="7">
        <f t="shared" si="1"/>
        <v>43899</v>
      </c>
      <c r="C1526" s="33" t="s">
        <v>16</v>
      </c>
      <c r="D1526" s="4" t="s">
        <v>21</v>
      </c>
      <c r="E1526" s="4" t="s">
        <v>21</v>
      </c>
      <c r="F1526" s="4">
        <f t="shared" si="2"/>
        <v>11</v>
      </c>
    </row>
    <row r="1527">
      <c r="A1527" s="5">
        <v>43899.95423611111</v>
      </c>
      <c r="B1527" s="7">
        <f t="shared" si="1"/>
        <v>43899</v>
      </c>
      <c r="C1527" s="33" t="s">
        <v>16</v>
      </c>
      <c r="D1527" s="4" t="s">
        <v>21</v>
      </c>
      <c r="E1527" s="4" t="s">
        <v>21</v>
      </c>
      <c r="F1527" s="4">
        <f t="shared" si="2"/>
        <v>11</v>
      </c>
    </row>
    <row r="1528">
      <c r="A1528" s="5">
        <v>43899.95961805555</v>
      </c>
      <c r="B1528" s="7">
        <f t="shared" si="1"/>
        <v>43899</v>
      </c>
      <c r="C1528" s="33" t="s">
        <v>16</v>
      </c>
      <c r="D1528" s="4" t="s">
        <v>21</v>
      </c>
      <c r="E1528" s="4" t="s">
        <v>21</v>
      </c>
      <c r="F1528" s="4">
        <f t="shared" si="2"/>
        <v>11</v>
      </c>
    </row>
    <row r="1529">
      <c r="A1529" s="5">
        <v>43899.99450231482</v>
      </c>
      <c r="B1529" s="7">
        <f t="shared" si="1"/>
        <v>43899</v>
      </c>
      <c r="C1529" s="33" t="s">
        <v>16</v>
      </c>
      <c r="D1529" s="4" t="s">
        <v>21</v>
      </c>
      <c r="E1529" s="4" t="s">
        <v>21</v>
      </c>
      <c r="F1529" s="4">
        <f t="shared" si="2"/>
        <v>11</v>
      </c>
    </row>
    <row r="1530">
      <c r="A1530" s="5">
        <v>43899.99623842593</v>
      </c>
      <c r="B1530" s="7">
        <f t="shared" si="1"/>
        <v>43899</v>
      </c>
      <c r="C1530" s="33" t="s">
        <v>16</v>
      </c>
      <c r="D1530" s="4" t="s">
        <v>21</v>
      </c>
      <c r="E1530" s="4" t="s">
        <v>21</v>
      </c>
      <c r="F1530" s="4">
        <f t="shared" si="2"/>
        <v>11</v>
      </c>
    </row>
    <row r="1531">
      <c r="A1531" s="5">
        <v>43900.41866898148</v>
      </c>
      <c r="B1531" s="7">
        <f t="shared" si="1"/>
        <v>43900</v>
      </c>
      <c r="C1531" s="33" t="s">
        <v>16</v>
      </c>
      <c r="D1531" s="4" t="s">
        <v>21</v>
      </c>
      <c r="E1531" s="4" t="s">
        <v>21</v>
      </c>
      <c r="F1531" s="4">
        <f t="shared" si="2"/>
        <v>11</v>
      </c>
    </row>
    <row r="1532">
      <c r="A1532" s="5">
        <v>43900.456192129626</v>
      </c>
      <c r="B1532" s="7">
        <f t="shared" si="1"/>
        <v>43900</v>
      </c>
      <c r="C1532" s="33" t="s">
        <v>16</v>
      </c>
      <c r="D1532" s="4" t="s">
        <v>21</v>
      </c>
      <c r="E1532" s="4" t="s">
        <v>21</v>
      </c>
      <c r="F1532" s="4">
        <f t="shared" si="2"/>
        <v>11</v>
      </c>
    </row>
    <row r="1533">
      <c r="A1533" s="5">
        <v>43900.463530092595</v>
      </c>
      <c r="B1533" s="7">
        <f t="shared" si="1"/>
        <v>43900</v>
      </c>
      <c r="C1533" s="33" t="s">
        <v>16</v>
      </c>
      <c r="D1533" s="4" t="s">
        <v>21</v>
      </c>
      <c r="E1533" s="4" t="s">
        <v>21</v>
      </c>
      <c r="F1533" s="4">
        <f t="shared" si="2"/>
        <v>11</v>
      </c>
    </row>
    <row r="1534">
      <c r="A1534" s="5">
        <v>43966.28795138889</v>
      </c>
      <c r="B1534" s="7">
        <f t="shared" si="1"/>
        <v>43966</v>
      </c>
      <c r="C1534" s="33" t="s">
        <v>16</v>
      </c>
      <c r="D1534" s="4" t="s">
        <v>21</v>
      </c>
      <c r="E1534" s="4" t="s">
        <v>21</v>
      </c>
      <c r="F1534" s="4">
        <f t="shared" si="2"/>
        <v>20</v>
      </c>
    </row>
    <row r="1535">
      <c r="A1535" s="5">
        <v>43976.40136574074</v>
      </c>
      <c r="B1535" s="7">
        <f t="shared" si="1"/>
        <v>43976</v>
      </c>
      <c r="C1535" s="33" t="s">
        <v>16</v>
      </c>
      <c r="D1535" s="4" t="s">
        <v>21</v>
      </c>
      <c r="E1535" s="4" t="s">
        <v>21</v>
      </c>
      <c r="F1535" s="4">
        <f t="shared" si="2"/>
        <v>22</v>
      </c>
    </row>
    <row r="1536">
      <c r="A1536" s="5">
        <v>43945.37398148148</v>
      </c>
      <c r="B1536" s="7">
        <f t="shared" si="1"/>
        <v>43945</v>
      </c>
      <c r="C1536" s="33" t="s">
        <v>16</v>
      </c>
      <c r="D1536" s="4" t="s">
        <v>21</v>
      </c>
      <c r="E1536" s="4" t="s">
        <v>21</v>
      </c>
      <c r="F1536" s="4">
        <f t="shared" si="2"/>
        <v>17</v>
      </c>
    </row>
    <row r="1537">
      <c r="A1537" s="5">
        <v>43976.784583333334</v>
      </c>
      <c r="B1537" s="7">
        <f t="shared" si="1"/>
        <v>43976</v>
      </c>
      <c r="C1537" s="33" t="s">
        <v>16</v>
      </c>
      <c r="D1537" s="4" t="s">
        <v>21</v>
      </c>
      <c r="E1537" s="4" t="s">
        <v>21</v>
      </c>
      <c r="F1537" s="4">
        <f t="shared" si="2"/>
        <v>22</v>
      </c>
    </row>
    <row r="1538">
      <c r="A1538" s="5">
        <v>43976.78475694444</v>
      </c>
      <c r="B1538" s="7">
        <f t="shared" si="1"/>
        <v>43976</v>
      </c>
      <c r="C1538" s="33" t="s">
        <v>16</v>
      </c>
      <c r="D1538" s="4" t="s">
        <v>21</v>
      </c>
      <c r="E1538" s="4" t="s">
        <v>21</v>
      </c>
      <c r="F1538" s="4">
        <f t="shared" si="2"/>
        <v>22</v>
      </c>
    </row>
    <row r="1539">
      <c r="A1539" s="5">
        <v>43976.78494212963</v>
      </c>
      <c r="B1539" s="7">
        <f t="shared" si="1"/>
        <v>43976</v>
      </c>
      <c r="C1539" s="33" t="s">
        <v>16</v>
      </c>
      <c r="D1539" s="4" t="s">
        <v>21</v>
      </c>
      <c r="E1539" s="4" t="s">
        <v>21</v>
      </c>
      <c r="F1539" s="4">
        <f t="shared" si="2"/>
        <v>22</v>
      </c>
    </row>
    <row r="1540">
      <c r="A1540" s="5">
        <v>43976.78511574074</v>
      </c>
      <c r="B1540" s="7">
        <f t="shared" si="1"/>
        <v>43976</v>
      </c>
      <c r="C1540" s="33" t="s">
        <v>16</v>
      </c>
      <c r="D1540" s="4" t="s">
        <v>21</v>
      </c>
      <c r="E1540" s="4" t="s">
        <v>21</v>
      </c>
      <c r="F1540" s="4">
        <f t="shared" si="2"/>
        <v>22</v>
      </c>
    </row>
    <row r="1541">
      <c r="A1541" s="5">
        <v>43976.78528935185</v>
      </c>
      <c r="B1541" s="7">
        <f t="shared" si="1"/>
        <v>43976</v>
      </c>
      <c r="C1541" s="33" t="s">
        <v>16</v>
      </c>
      <c r="D1541" s="4" t="s">
        <v>21</v>
      </c>
      <c r="E1541" s="4" t="s">
        <v>21</v>
      </c>
      <c r="F1541" s="4">
        <f t="shared" si="2"/>
        <v>22</v>
      </c>
    </row>
    <row r="1542">
      <c r="A1542" s="5">
        <v>43976.78545138889</v>
      </c>
      <c r="B1542" s="7">
        <f t="shared" si="1"/>
        <v>43976</v>
      </c>
      <c r="C1542" s="33" t="s">
        <v>16</v>
      </c>
      <c r="D1542" s="4" t="s">
        <v>21</v>
      </c>
      <c r="E1542" s="4" t="s">
        <v>21</v>
      </c>
      <c r="F1542" s="4">
        <f t="shared" si="2"/>
        <v>22</v>
      </c>
    </row>
    <row r="1543">
      <c r="A1543" s="5">
        <v>43976.785625</v>
      </c>
      <c r="B1543" s="7">
        <f t="shared" si="1"/>
        <v>43976</v>
      </c>
      <c r="C1543" s="33" t="s">
        <v>16</v>
      </c>
      <c r="D1543" s="4" t="s">
        <v>21</v>
      </c>
      <c r="E1543" s="4" t="s">
        <v>21</v>
      </c>
      <c r="F1543" s="4">
        <f t="shared" si="2"/>
        <v>22</v>
      </c>
    </row>
    <row r="1544">
      <c r="A1544" s="5">
        <v>43976.78579861111</v>
      </c>
      <c r="B1544" s="7">
        <f t="shared" si="1"/>
        <v>43976</v>
      </c>
      <c r="C1544" s="33" t="s">
        <v>16</v>
      </c>
      <c r="D1544" s="4" t="s">
        <v>21</v>
      </c>
      <c r="E1544" s="4" t="s">
        <v>21</v>
      </c>
      <c r="F1544" s="4">
        <f t="shared" si="2"/>
        <v>22</v>
      </c>
    </row>
    <row r="1545">
      <c r="A1545" s="5">
        <v>43887.09821759259</v>
      </c>
      <c r="B1545" s="7">
        <f t="shared" si="1"/>
        <v>43887</v>
      </c>
      <c r="C1545" s="33" t="s">
        <v>16</v>
      </c>
      <c r="D1545" s="4" t="s">
        <v>21</v>
      </c>
      <c r="E1545" s="4" t="s">
        <v>21</v>
      </c>
      <c r="F1545" s="4">
        <f t="shared" si="2"/>
        <v>9</v>
      </c>
    </row>
    <row r="1546">
      <c r="A1546" s="5">
        <v>43985.16037037037</v>
      </c>
      <c r="B1546" s="7">
        <f t="shared" si="1"/>
        <v>43985</v>
      </c>
      <c r="C1546" s="33" t="s">
        <v>16</v>
      </c>
      <c r="D1546" s="4" t="s">
        <v>21</v>
      </c>
      <c r="E1546" s="4" t="s">
        <v>21</v>
      </c>
      <c r="F1546" s="4">
        <f t="shared" si="2"/>
        <v>23</v>
      </c>
    </row>
    <row r="1547">
      <c r="A1547" s="5">
        <v>43803.3412962963</v>
      </c>
      <c r="B1547" s="7">
        <f t="shared" si="1"/>
        <v>43803</v>
      </c>
      <c r="C1547" s="33" t="s">
        <v>16</v>
      </c>
      <c r="D1547" s="4" t="s">
        <v>21</v>
      </c>
      <c r="E1547" s="4" t="s">
        <v>21</v>
      </c>
      <c r="F1547" s="4">
        <f t="shared" si="2"/>
        <v>49</v>
      </c>
    </row>
    <row r="1548">
      <c r="A1548" s="5">
        <v>43913.36539351852</v>
      </c>
      <c r="B1548" s="7">
        <f t="shared" si="1"/>
        <v>43913</v>
      </c>
      <c r="C1548" s="33" t="s">
        <v>16</v>
      </c>
      <c r="D1548" s="4" t="s">
        <v>21</v>
      </c>
      <c r="E1548" s="4" t="s">
        <v>21</v>
      </c>
      <c r="F1548" s="4">
        <f t="shared" si="2"/>
        <v>13</v>
      </c>
    </row>
    <row r="1549">
      <c r="A1549" s="5">
        <v>43853.79224537037</v>
      </c>
      <c r="B1549" s="7">
        <f t="shared" si="1"/>
        <v>43853</v>
      </c>
      <c r="C1549" s="33" t="s">
        <v>16</v>
      </c>
      <c r="D1549" s="4" t="s">
        <v>21</v>
      </c>
      <c r="E1549" s="4" t="s">
        <v>21</v>
      </c>
      <c r="F1549" s="4">
        <f t="shared" si="2"/>
        <v>4</v>
      </c>
    </row>
    <row r="1550">
      <c r="A1550" s="5">
        <v>43756.39574074074</v>
      </c>
      <c r="B1550" s="7">
        <f t="shared" si="1"/>
        <v>43756</v>
      </c>
      <c r="C1550" s="33" t="s">
        <v>16</v>
      </c>
      <c r="D1550" s="4" t="s">
        <v>21</v>
      </c>
      <c r="E1550" s="4" t="s">
        <v>21</v>
      </c>
      <c r="F1550" s="4">
        <f t="shared" si="2"/>
        <v>42</v>
      </c>
    </row>
    <row r="1551">
      <c r="A1551" s="5">
        <v>43969.468773148146</v>
      </c>
      <c r="B1551" s="7">
        <f t="shared" si="1"/>
        <v>43969</v>
      </c>
      <c r="C1551" s="33" t="s">
        <v>16</v>
      </c>
      <c r="D1551" s="4" t="s">
        <v>21</v>
      </c>
      <c r="E1551" s="4" t="s">
        <v>21</v>
      </c>
      <c r="F1551" s="4">
        <f t="shared" si="2"/>
        <v>21</v>
      </c>
    </row>
    <row r="1552">
      <c r="A1552" s="5">
        <v>43826.77983796296</v>
      </c>
      <c r="B1552" s="7">
        <f t="shared" si="1"/>
        <v>43826</v>
      </c>
      <c r="C1552" s="33" t="s">
        <v>16</v>
      </c>
      <c r="D1552" s="4" t="s">
        <v>23</v>
      </c>
      <c r="E1552" s="4" t="s">
        <v>21</v>
      </c>
      <c r="F1552" s="4">
        <f t="shared" si="2"/>
        <v>52</v>
      </c>
    </row>
    <row r="1553">
      <c r="A1553" s="5">
        <v>43826.895625</v>
      </c>
      <c r="B1553" s="7">
        <f t="shared" si="1"/>
        <v>43826</v>
      </c>
      <c r="C1553" s="33" t="s">
        <v>16</v>
      </c>
      <c r="D1553" s="4" t="s">
        <v>23</v>
      </c>
      <c r="E1553" s="4" t="s">
        <v>21</v>
      </c>
      <c r="F1553" s="4">
        <f t="shared" si="2"/>
        <v>52</v>
      </c>
    </row>
    <row r="1554">
      <c r="A1554" s="5">
        <v>44009.888240740744</v>
      </c>
      <c r="B1554" s="7">
        <f t="shared" si="1"/>
        <v>44009</v>
      </c>
      <c r="C1554" s="33" t="s">
        <v>16</v>
      </c>
      <c r="D1554" s="4" t="s">
        <v>21</v>
      </c>
      <c r="E1554" s="4" t="s">
        <v>21</v>
      </c>
      <c r="F1554" s="4">
        <f t="shared" si="2"/>
        <v>26</v>
      </c>
    </row>
    <row r="1555">
      <c r="A1555" s="5">
        <v>43992.38232638889</v>
      </c>
      <c r="B1555" s="7">
        <f t="shared" si="1"/>
        <v>43992</v>
      </c>
      <c r="C1555" s="33" t="s">
        <v>16</v>
      </c>
      <c r="D1555" s="4" t="s">
        <v>21</v>
      </c>
      <c r="E1555" s="4" t="s">
        <v>21</v>
      </c>
      <c r="F1555" s="4">
        <f t="shared" si="2"/>
        <v>24</v>
      </c>
    </row>
    <row r="1556">
      <c r="A1556" s="5">
        <v>43775.62425925926</v>
      </c>
      <c r="B1556" s="7">
        <f t="shared" si="1"/>
        <v>43775</v>
      </c>
      <c r="C1556" s="33" t="s">
        <v>16</v>
      </c>
      <c r="D1556" s="4" t="s">
        <v>21</v>
      </c>
      <c r="E1556" s="4" t="s">
        <v>21</v>
      </c>
      <c r="F1556" s="4">
        <f t="shared" si="2"/>
        <v>45</v>
      </c>
    </row>
    <row r="1557">
      <c r="A1557" s="5">
        <v>43802.58866898148</v>
      </c>
      <c r="B1557" s="7">
        <f t="shared" si="1"/>
        <v>43802</v>
      </c>
      <c r="C1557" s="33" t="s">
        <v>16</v>
      </c>
      <c r="D1557" s="4" t="s">
        <v>21</v>
      </c>
      <c r="E1557" s="4" t="s">
        <v>21</v>
      </c>
      <c r="F1557" s="4">
        <f t="shared" si="2"/>
        <v>49</v>
      </c>
    </row>
    <row r="1558">
      <c r="A1558" s="5">
        <v>43803.393159722225</v>
      </c>
      <c r="B1558" s="7">
        <f t="shared" si="1"/>
        <v>43803</v>
      </c>
      <c r="C1558" s="33" t="s">
        <v>16</v>
      </c>
      <c r="D1558" s="4" t="s">
        <v>21</v>
      </c>
      <c r="E1558" s="4" t="s">
        <v>21</v>
      </c>
      <c r="F1558" s="4">
        <f t="shared" si="2"/>
        <v>49</v>
      </c>
    </row>
    <row r="1559">
      <c r="A1559" s="5">
        <v>43803.39513888889</v>
      </c>
      <c r="B1559" s="7">
        <f t="shared" si="1"/>
        <v>43803</v>
      </c>
      <c r="C1559" s="33" t="s">
        <v>16</v>
      </c>
      <c r="D1559" s="4" t="s">
        <v>21</v>
      </c>
      <c r="E1559" s="4" t="s">
        <v>21</v>
      </c>
      <c r="F1559" s="4">
        <f t="shared" si="2"/>
        <v>49</v>
      </c>
    </row>
    <row r="1560">
      <c r="A1560" s="5">
        <v>43803.40033564815</v>
      </c>
      <c r="B1560" s="7">
        <f t="shared" si="1"/>
        <v>43803</v>
      </c>
      <c r="C1560" s="33" t="s">
        <v>16</v>
      </c>
      <c r="D1560" s="4" t="s">
        <v>21</v>
      </c>
      <c r="E1560" s="4" t="s">
        <v>21</v>
      </c>
      <c r="F1560" s="4">
        <f t="shared" si="2"/>
        <v>49</v>
      </c>
    </row>
    <row r="1561">
      <c r="A1561" s="5">
        <v>43803.40113425926</v>
      </c>
      <c r="B1561" s="7">
        <f t="shared" si="1"/>
        <v>43803</v>
      </c>
      <c r="C1561" s="33" t="s">
        <v>16</v>
      </c>
      <c r="D1561" s="4" t="s">
        <v>21</v>
      </c>
      <c r="E1561" s="4" t="s">
        <v>21</v>
      </c>
      <c r="F1561" s="4">
        <f t="shared" si="2"/>
        <v>49</v>
      </c>
    </row>
    <row r="1562">
      <c r="A1562" s="5">
        <v>43803.402337962965</v>
      </c>
      <c r="B1562" s="7">
        <f t="shared" si="1"/>
        <v>43803</v>
      </c>
      <c r="C1562" s="33" t="s">
        <v>16</v>
      </c>
      <c r="D1562" s="4" t="s">
        <v>21</v>
      </c>
      <c r="E1562" s="4" t="s">
        <v>21</v>
      </c>
      <c r="F1562" s="4">
        <f t="shared" si="2"/>
        <v>49</v>
      </c>
    </row>
    <row r="1563">
      <c r="A1563" s="5">
        <v>43803.40263888889</v>
      </c>
      <c r="B1563" s="7">
        <f t="shared" si="1"/>
        <v>43803</v>
      </c>
      <c r="C1563" s="33" t="s">
        <v>16</v>
      </c>
      <c r="D1563" s="4" t="s">
        <v>21</v>
      </c>
      <c r="E1563" s="4" t="s">
        <v>21</v>
      </c>
      <c r="F1563" s="4">
        <f t="shared" si="2"/>
        <v>49</v>
      </c>
    </row>
    <row r="1564">
      <c r="A1564" s="5">
        <v>43803.40283564815</v>
      </c>
      <c r="B1564" s="7">
        <f t="shared" si="1"/>
        <v>43803</v>
      </c>
      <c r="C1564" s="33" t="s">
        <v>16</v>
      </c>
      <c r="D1564" s="4" t="s">
        <v>21</v>
      </c>
      <c r="E1564" s="4" t="s">
        <v>21</v>
      </c>
      <c r="F1564" s="4">
        <f t="shared" si="2"/>
        <v>49</v>
      </c>
    </row>
    <row r="1565">
      <c r="A1565" s="5">
        <v>43803.40347222222</v>
      </c>
      <c r="B1565" s="7">
        <f t="shared" si="1"/>
        <v>43803</v>
      </c>
      <c r="C1565" s="33" t="s">
        <v>16</v>
      </c>
      <c r="D1565" s="4" t="s">
        <v>21</v>
      </c>
      <c r="E1565" s="4" t="s">
        <v>21</v>
      </c>
      <c r="F1565" s="4">
        <f t="shared" si="2"/>
        <v>49</v>
      </c>
    </row>
    <row r="1566">
      <c r="A1566" s="5">
        <v>43803.40483796296</v>
      </c>
      <c r="B1566" s="7">
        <f t="shared" si="1"/>
        <v>43803</v>
      </c>
      <c r="C1566" s="33" t="s">
        <v>16</v>
      </c>
      <c r="D1566" s="4" t="s">
        <v>21</v>
      </c>
      <c r="E1566" s="4" t="s">
        <v>21</v>
      </c>
      <c r="F1566" s="4">
        <f t="shared" si="2"/>
        <v>49</v>
      </c>
    </row>
    <row r="1567">
      <c r="A1567" s="5">
        <v>43803.42798611111</v>
      </c>
      <c r="B1567" s="7">
        <f t="shared" si="1"/>
        <v>43803</v>
      </c>
      <c r="C1567" s="33" t="s">
        <v>16</v>
      </c>
      <c r="D1567" s="4" t="s">
        <v>21</v>
      </c>
      <c r="E1567" s="4" t="s">
        <v>21</v>
      </c>
      <c r="F1567" s="4">
        <f t="shared" si="2"/>
        <v>49</v>
      </c>
    </row>
    <row r="1568">
      <c r="A1568" s="5">
        <v>43803.73605324074</v>
      </c>
      <c r="B1568" s="7">
        <f t="shared" si="1"/>
        <v>43803</v>
      </c>
      <c r="C1568" s="33" t="s">
        <v>16</v>
      </c>
      <c r="D1568" s="4" t="s">
        <v>21</v>
      </c>
      <c r="E1568" s="4" t="s">
        <v>21</v>
      </c>
      <c r="F1568" s="4">
        <f t="shared" si="2"/>
        <v>49</v>
      </c>
    </row>
    <row r="1569">
      <c r="A1569" s="5">
        <v>43803.73761574074</v>
      </c>
      <c r="B1569" s="7">
        <f t="shared" si="1"/>
        <v>43803</v>
      </c>
      <c r="C1569" s="33" t="s">
        <v>16</v>
      </c>
      <c r="D1569" s="4" t="s">
        <v>21</v>
      </c>
      <c r="E1569" s="4" t="s">
        <v>21</v>
      </c>
      <c r="F1569" s="4">
        <f t="shared" si="2"/>
        <v>49</v>
      </c>
    </row>
    <row r="1570">
      <c r="A1570" s="5">
        <v>43803.73888888889</v>
      </c>
      <c r="B1570" s="7">
        <f t="shared" si="1"/>
        <v>43803</v>
      </c>
      <c r="C1570" s="33" t="s">
        <v>16</v>
      </c>
      <c r="D1570" s="4" t="s">
        <v>21</v>
      </c>
      <c r="E1570" s="4" t="s">
        <v>21</v>
      </c>
      <c r="F1570" s="4">
        <f t="shared" si="2"/>
        <v>49</v>
      </c>
    </row>
    <row r="1571">
      <c r="A1571" s="5">
        <v>43803.739756944444</v>
      </c>
      <c r="B1571" s="7">
        <f t="shared" si="1"/>
        <v>43803</v>
      </c>
      <c r="C1571" s="33" t="s">
        <v>16</v>
      </c>
      <c r="D1571" s="4" t="s">
        <v>21</v>
      </c>
      <c r="E1571" s="4" t="s">
        <v>21</v>
      </c>
      <c r="F1571" s="4">
        <f t="shared" si="2"/>
        <v>49</v>
      </c>
    </row>
    <row r="1572">
      <c r="A1572" s="5">
        <v>43803.74085648148</v>
      </c>
      <c r="B1572" s="7">
        <f t="shared" si="1"/>
        <v>43803</v>
      </c>
      <c r="C1572" s="33" t="s">
        <v>16</v>
      </c>
      <c r="D1572" s="4" t="s">
        <v>21</v>
      </c>
      <c r="E1572" s="4" t="s">
        <v>21</v>
      </c>
      <c r="F1572" s="4">
        <f t="shared" si="2"/>
        <v>49</v>
      </c>
    </row>
    <row r="1573">
      <c r="A1573" s="5">
        <v>43803.74239583333</v>
      </c>
      <c r="B1573" s="7">
        <f t="shared" si="1"/>
        <v>43803</v>
      </c>
      <c r="C1573" s="33" t="s">
        <v>16</v>
      </c>
      <c r="D1573" s="4" t="s">
        <v>21</v>
      </c>
      <c r="E1573" s="4" t="s">
        <v>21</v>
      </c>
      <c r="F1573" s="4">
        <f t="shared" si="2"/>
        <v>49</v>
      </c>
    </row>
    <row r="1574">
      <c r="A1574" s="5">
        <v>43803.74324074074</v>
      </c>
      <c r="B1574" s="7">
        <f t="shared" si="1"/>
        <v>43803</v>
      </c>
      <c r="C1574" s="33" t="s">
        <v>16</v>
      </c>
      <c r="D1574" s="4" t="s">
        <v>21</v>
      </c>
      <c r="E1574" s="4" t="s">
        <v>21</v>
      </c>
      <c r="F1574" s="4">
        <f t="shared" si="2"/>
        <v>49</v>
      </c>
    </row>
    <row r="1575">
      <c r="A1575" s="5">
        <v>43878.520520833335</v>
      </c>
      <c r="B1575" s="7">
        <f t="shared" si="1"/>
        <v>43878</v>
      </c>
      <c r="C1575" s="33" t="s">
        <v>16</v>
      </c>
      <c r="D1575" s="4" t="s">
        <v>21</v>
      </c>
      <c r="E1575" s="4" t="s">
        <v>21</v>
      </c>
      <c r="F1575" s="4">
        <f t="shared" si="2"/>
        <v>8</v>
      </c>
    </row>
    <row r="1576">
      <c r="A1576" s="5">
        <v>43878.52255787037</v>
      </c>
      <c r="B1576" s="7">
        <f t="shared" si="1"/>
        <v>43878</v>
      </c>
      <c r="C1576" s="33" t="s">
        <v>16</v>
      </c>
      <c r="D1576" s="4" t="s">
        <v>21</v>
      </c>
      <c r="E1576" s="4" t="s">
        <v>21</v>
      </c>
      <c r="F1576" s="4">
        <f t="shared" si="2"/>
        <v>8</v>
      </c>
    </row>
    <row r="1577">
      <c r="A1577" s="5">
        <v>43878.5228125</v>
      </c>
      <c r="B1577" s="7">
        <f t="shared" si="1"/>
        <v>43878</v>
      </c>
      <c r="C1577" s="33" t="s">
        <v>16</v>
      </c>
      <c r="D1577" s="4" t="s">
        <v>21</v>
      </c>
      <c r="E1577" s="4" t="s">
        <v>21</v>
      </c>
      <c r="F1577" s="4">
        <f t="shared" si="2"/>
        <v>8</v>
      </c>
    </row>
    <row r="1578">
      <c r="A1578" s="5">
        <v>43878.52315972222</v>
      </c>
      <c r="B1578" s="7">
        <f t="shared" si="1"/>
        <v>43878</v>
      </c>
      <c r="C1578" s="33" t="s">
        <v>16</v>
      </c>
      <c r="D1578" s="4" t="s">
        <v>21</v>
      </c>
      <c r="E1578" s="4" t="s">
        <v>21</v>
      </c>
      <c r="F1578" s="4">
        <f t="shared" si="2"/>
        <v>8</v>
      </c>
    </row>
    <row r="1579">
      <c r="A1579" s="5">
        <v>43878.524143518516</v>
      </c>
      <c r="B1579" s="7">
        <f t="shared" si="1"/>
        <v>43878</v>
      </c>
      <c r="C1579" s="33" t="s">
        <v>16</v>
      </c>
      <c r="D1579" s="4" t="s">
        <v>21</v>
      </c>
      <c r="E1579" s="4" t="s">
        <v>21</v>
      </c>
      <c r="F1579" s="4">
        <f t="shared" si="2"/>
        <v>8</v>
      </c>
    </row>
    <row r="1580">
      <c r="A1580" s="5">
        <v>43878.527141203704</v>
      </c>
      <c r="B1580" s="7">
        <f t="shared" si="1"/>
        <v>43878</v>
      </c>
      <c r="C1580" s="33" t="s">
        <v>16</v>
      </c>
      <c r="D1580" s="4" t="s">
        <v>21</v>
      </c>
      <c r="E1580" s="4" t="s">
        <v>21</v>
      </c>
      <c r="F1580" s="4">
        <f t="shared" si="2"/>
        <v>8</v>
      </c>
    </row>
    <row r="1581">
      <c r="A1581" s="5">
        <v>43878.527604166666</v>
      </c>
      <c r="B1581" s="7">
        <f t="shared" si="1"/>
        <v>43878</v>
      </c>
      <c r="C1581" s="33" t="s">
        <v>16</v>
      </c>
      <c r="D1581" s="4" t="s">
        <v>21</v>
      </c>
      <c r="E1581" s="4" t="s">
        <v>21</v>
      </c>
      <c r="F1581" s="4">
        <f t="shared" si="2"/>
        <v>8</v>
      </c>
    </row>
    <row r="1582">
      <c r="A1582" s="5">
        <v>43878.5278587963</v>
      </c>
      <c r="B1582" s="7">
        <f t="shared" si="1"/>
        <v>43878</v>
      </c>
      <c r="C1582" s="33" t="s">
        <v>16</v>
      </c>
      <c r="D1582" s="4" t="s">
        <v>21</v>
      </c>
      <c r="E1582" s="4" t="s">
        <v>21</v>
      </c>
      <c r="F1582" s="4">
        <f t="shared" si="2"/>
        <v>8</v>
      </c>
    </row>
    <row r="1583">
      <c r="A1583" s="5">
        <v>43878.5284837963</v>
      </c>
      <c r="B1583" s="7">
        <f t="shared" si="1"/>
        <v>43878</v>
      </c>
      <c r="C1583" s="33" t="s">
        <v>16</v>
      </c>
      <c r="D1583" s="4" t="s">
        <v>21</v>
      </c>
      <c r="E1583" s="4" t="s">
        <v>21</v>
      </c>
      <c r="F1583" s="4">
        <f t="shared" si="2"/>
        <v>8</v>
      </c>
    </row>
    <row r="1584">
      <c r="A1584" s="5">
        <v>43878.530185185184</v>
      </c>
      <c r="B1584" s="7">
        <f t="shared" si="1"/>
        <v>43878</v>
      </c>
      <c r="C1584" s="33" t="s">
        <v>16</v>
      </c>
      <c r="D1584" s="4" t="s">
        <v>21</v>
      </c>
      <c r="E1584" s="4" t="s">
        <v>21</v>
      </c>
      <c r="F1584" s="4">
        <f t="shared" si="2"/>
        <v>8</v>
      </c>
    </row>
    <row r="1585">
      <c r="A1585" s="5">
        <v>43878.53045138889</v>
      </c>
      <c r="B1585" s="7">
        <f t="shared" si="1"/>
        <v>43878</v>
      </c>
      <c r="C1585" s="33" t="s">
        <v>16</v>
      </c>
      <c r="D1585" s="4" t="s">
        <v>21</v>
      </c>
      <c r="E1585" s="4" t="s">
        <v>21</v>
      </c>
      <c r="F1585" s="4">
        <f t="shared" si="2"/>
        <v>8</v>
      </c>
    </row>
    <row r="1586">
      <c r="A1586" s="5">
        <v>43878.530798611115</v>
      </c>
      <c r="B1586" s="7">
        <f t="shared" si="1"/>
        <v>43878</v>
      </c>
      <c r="C1586" s="33" t="s">
        <v>16</v>
      </c>
      <c r="D1586" s="4" t="s">
        <v>21</v>
      </c>
      <c r="E1586" s="4" t="s">
        <v>21</v>
      </c>
      <c r="F1586" s="4">
        <f t="shared" si="2"/>
        <v>8</v>
      </c>
    </row>
    <row r="1587">
      <c r="A1587" s="5">
        <v>43878.53155092592</v>
      </c>
      <c r="B1587" s="7">
        <f t="shared" si="1"/>
        <v>43878</v>
      </c>
      <c r="C1587" s="33" t="s">
        <v>16</v>
      </c>
      <c r="D1587" s="4" t="s">
        <v>21</v>
      </c>
      <c r="E1587" s="4" t="s">
        <v>21</v>
      </c>
      <c r="F1587" s="4">
        <f t="shared" si="2"/>
        <v>8</v>
      </c>
    </row>
    <row r="1588">
      <c r="A1588" s="5">
        <v>43878.532314814816</v>
      </c>
      <c r="B1588" s="7">
        <f t="shared" si="1"/>
        <v>43878</v>
      </c>
      <c r="C1588" s="33" t="s">
        <v>16</v>
      </c>
      <c r="D1588" s="4" t="s">
        <v>21</v>
      </c>
      <c r="E1588" s="4" t="s">
        <v>21</v>
      </c>
      <c r="F1588" s="4">
        <f t="shared" si="2"/>
        <v>8</v>
      </c>
    </row>
    <row r="1589">
      <c r="A1589" s="5">
        <v>43878.53267361111</v>
      </c>
      <c r="B1589" s="7">
        <f t="shared" si="1"/>
        <v>43878</v>
      </c>
      <c r="C1589" s="33" t="s">
        <v>16</v>
      </c>
      <c r="D1589" s="4" t="s">
        <v>21</v>
      </c>
      <c r="E1589" s="4" t="s">
        <v>21</v>
      </c>
      <c r="F1589" s="4">
        <f t="shared" si="2"/>
        <v>8</v>
      </c>
    </row>
    <row r="1590">
      <c r="A1590" s="5">
        <v>43878.53351851852</v>
      </c>
      <c r="B1590" s="7">
        <f t="shared" si="1"/>
        <v>43878</v>
      </c>
      <c r="C1590" s="33" t="s">
        <v>16</v>
      </c>
      <c r="D1590" s="4" t="s">
        <v>21</v>
      </c>
      <c r="E1590" s="4" t="s">
        <v>21</v>
      </c>
      <c r="F1590" s="4">
        <f t="shared" si="2"/>
        <v>8</v>
      </c>
    </row>
    <row r="1591">
      <c r="A1591" s="5">
        <v>43878.53443287037</v>
      </c>
      <c r="B1591" s="7">
        <f t="shared" si="1"/>
        <v>43878</v>
      </c>
      <c r="C1591" s="33" t="s">
        <v>16</v>
      </c>
      <c r="D1591" s="4" t="s">
        <v>21</v>
      </c>
      <c r="E1591" s="4" t="s">
        <v>21</v>
      </c>
      <c r="F1591" s="4">
        <f t="shared" si="2"/>
        <v>8</v>
      </c>
    </row>
    <row r="1592">
      <c r="A1592" s="5">
        <v>43878.534837962965</v>
      </c>
      <c r="B1592" s="7">
        <f t="shared" si="1"/>
        <v>43878</v>
      </c>
      <c r="C1592" s="33" t="s">
        <v>16</v>
      </c>
      <c r="D1592" s="4" t="s">
        <v>21</v>
      </c>
      <c r="E1592" s="4" t="s">
        <v>21</v>
      </c>
      <c r="F1592" s="4">
        <f t="shared" si="2"/>
        <v>8</v>
      </c>
    </row>
    <row r="1593">
      <c r="A1593" s="5">
        <v>43878.53508101852</v>
      </c>
      <c r="B1593" s="7">
        <f t="shared" si="1"/>
        <v>43878</v>
      </c>
      <c r="C1593" s="33" t="s">
        <v>16</v>
      </c>
      <c r="D1593" s="4" t="s">
        <v>21</v>
      </c>
      <c r="E1593" s="4" t="s">
        <v>21</v>
      </c>
      <c r="F1593" s="4">
        <f t="shared" si="2"/>
        <v>8</v>
      </c>
    </row>
    <row r="1594">
      <c r="A1594" s="5">
        <v>43878.535833333335</v>
      </c>
      <c r="B1594" s="7">
        <f t="shared" si="1"/>
        <v>43878</v>
      </c>
      <c r="C1594" s="33" t="s">
        <v>16</v>
      </c>
      <c r="D1594" s="4" t="s">
        <v>21</v>
      </c>
      <c r="E1594" s="4" t="s">
        <v>21</v>
      </c>
      <c r="F1594" s="4">
        <f t="shared" si="2"/>
        <v>8</v>
      </c>
    </row>
    <row r="1595">
      <c r="A1595" s="5">
        <v>43878.536631944444</v>
      </c>
      <c r="B1595" s="7">
        <f t="shared" si="1"/>
        <v>43878</v>
      </c>
      <c r="C1595" s="33" t="s">
        <v>16</v>
      </c>
      <c r="D1595" s="4" t="s">
        <v>21</v>
      </c>
      <c r="E1595" s="4" t="s">
        <v>21</v>
      </c>
      <c r="F1595" s="4">
        <f t="shared" si="2"/>
        <v>8</v>
      </c>
    </row>
    <row r="1596">
      <c r="A1596" s="5">
        <v>43878.53759259259</v>
      </c>
      <c r="B1596" s="7">
        <f t="shared" si="1"/>
        <v>43878</v>
      </c>
      <c r="C1596" s="33" t="s">
        <v>16</v>
      </c>
      <c r="D1596" s="4" t="s">
        <v>21</v>
      </c>
      <c r="E1596" s="4" t="s">
        <v>21</v>
      </c>
      <c r="F1596" s="4">
        <f t="shared" si="2"/>
        <v>8</v>
      </c>
    </row>
    <row r="1597">
      <c r="A1597" s="5">
        <v>43878.5378587963</v>
      </c>
      <c r="B1597" s="7">
        <f t="shared" si="1"/>
        <v>43878</v>
      </c>
      <c r="C1597" s="33" t="s">
        <v>16</v>
      </c>
      <c r="D1597" s="4" t="s">
        <v>21</v>
      </c>
      <c r="E1597" s="4" t="s">
        <v>21</v>
      </c>
      <c r="F1597" s="4">
        <f t="shared" si="2"/>
        <v>8</v>
      </c>
    </row>
    <row r="1598">
      <c r="A1598" s="5">
        <v>43878.53928240741</v>
      </c>
      <c r="B1598" s="7">
        <f t="shared" si="1"/>
        <v>43878</v>
      </c>
      <c r="C1598" s="33" t="s">
        <v>16</v>
      </c>
      <c r="D1598" s="4" t="s">
        <v>21</v>
      </c>
      <c r="E1598" s="4" t="s">
        <v>21</v>
      </c>
      <c r="F1598" s="4">
        <f t="shared" si="2"/>
        <v>8</v>
      </c>
    </row>
    <row r="1599">
      <c r="A1599" s="5">
        <v>43878.53958333333</v>
      </c>
      <c r="B1599" s="7">
        <f t="shared" si="1"/>
        <v>43878</v>
      </c>
      <c r="C1599" s="33" t="s">
        <v>16</v>
      </c>
      <c r="D1599" s="4" t="s">
        <v>21</v>
      </c>
      <c r="E1599" s="4" t="s">
        <v>21</v>
      </c>
      <c r="F1599" s="4">
        <f t="shared" si="2"/>
        <v>8</v>
      </c>
    </row>
    <row r="1600">
      <c r="A1600" s="5">
        <v>43878.54111111111</v>
      </c>
      <c r="B1600" s="7">
        <f t="shared" si="1"/>
        <v>43878</v>
      </c>
      <c r="C1600" s="33" t="s">
        <v>16</v>
      </c>
      <c r="D1600" s="4" t="s">
        <v>21</v>
      </c>
      <c r="E1600" s="4" t="s">
        <v>21</v>
      </c>
      <c r="F1600" s="4">
        <f t="shared" si="2"/>
        <v>8</v>
      </c>
    </row>
    <row r="1601">
      <c r="A1601" s="5">
        <v>43878.54152777778</v>
      </c>
      <c r="B1601" s="7">
        <f t="shared" si="1"/>
        <v>43878</v>
      </c>
      <c r="C1601" s="33" t="s">
        <v>16</v>
      </c>
      <c r="D1601" s="4" t="s">
        <v>21</v>
      </c>
      <c r="E1601" s="4" t="s">
        <v>21</v>
      </c>
      <c r="F1601" s="4">
        <f t="shared" si="2"/>
        <v>8</v>
      </c>
    </row>
    <row r="1602">
      <c r="A1602" s="5">
        <v>43878.54175925926</v>
      </c>
      <c r="B1602" s="7">
        <f t="shared" si="1"/>
        <v>43878</v>
      </c>
      <c r="C1602" s="33" t="s">
        <v>16</v>
      </c>
      <c r="D1602" s="4" t="s">
        <v>21</v>
      </c>
      <c r="E1602" s="4" t="s">
        <v>21</v>
      </c>
      <c r="F1602" s="4">
        <f t="shared" si="2"/>
        <v>8</v>
      </c>
    </row>
    <row r="1603">
      <c r="A1603" s="5">
        <v>43878.71996527778</v>
      </c>
      <c r="B1603" s="7">
        <f t="shared" si="1"/>
        <v>43878</v>
      </c>
      <c r="C1603" s="33" t="s">
        <v>16</v>
      </c>
      <c r="D1603" s="4" t="s">
        <v>21</v>
      </c>
      <c r="E1603" s="4" t="s">
        <v>21</v>
      </c>
      <c r="F1603" s="4">
        <f t="shared" si="2"/>
        <v>8</v>
      </c>
    </row>
    <row r="1604">
      <c r="A1604" s="5">
        <v>43880.39957175926</v>
      </c>
      <c r="B1604" s="7">
        <f t="shared" si="1"/>
        <v>43880</v>
      </c>
      <c r="C1604" s="33" t="s">
        <v>16</v>
      </c>
      <c r="D1604" s="4" t="s">
        <v>21</v>
      </c>
      <c r="E1604" s="4" t="s">
        <v>21</v>
      </c>
      <c r="F1604" s="4">
        <f t="shared" si="2"/>
        <v>8</v>
      </c>
    </row>
    <row r="1605">
      <c r="A1605" s="5">
        <v>43880.43398148148</v>
      </c>
      <c r="B1605" s="7">
        <f t="shared" si="1"/>
        <v>43880</v>
      </c>
      <c r="C1605" s="33" t="s">
        <v>16</v>
      </c>
      <c r="D1605" s="4" t="s">
        <v>21</v>
      </c>
      <c r="E1605" s="4" t="s">
        <v>21</v>
      </c>
      <c r="F1605" s="4">
        <f t="shared" si="2"/>
        <v>8</v>
      </c>
    </row>
    <row r="1606">
      <c r="A1606" s="5">
        <v>43880.4350462963</v>
      </c>
      <c r="B1606" s="7">
        <f t="shared" si="1"/>
        <v>43880</v>
      </c>
      <c r="C1606" s="33" t="s">
        <v>16</v>
      </c>
      <c r="D1606" s="4" t="s">
        <v>21</v>
      </c>
      <c r="E1606" s="4" t="s">
        <v>21</v>
      </c>
      <c r="F1606" s="4">
        <f t="shared" si="2"/>
        <v>8</v>
      </c>
    </row>
    <row r="1607">
      <c r="A1607" s="5">
        <v>43907.67171296296</v>
      </c>
      <c r="B1607" s="7">
        <f t="shared" si="1"/>
        <v>43907</v>
      </c>
      <c r="C1607" s="33" t="s">
        <v>16</v>
      </c>
      <c r="D1607" s="4" t="s">
        <v>21</v>
      </c>
      <c r="E1607" s="4" t="s">
        <v>21</v>
      </c>
      <c r="F1607" s="4">
        <f t="shared" si="2"/>
        <v>12</v>
      </c>
    </row>
    <row r="1608">
      <c r="A1608" s="5">
        <v>43907.67351851852</v>
      </c>
      <c r="B1608" s="7">
        <f t="shared" si="1"/>
        <v>43907</v>
      </c>
      <c r="C1608" s="33" t="s">
        <v>16</v>
      </c>
      <c r="D1608" s="4" t="s">
        <v>21</v>
      </c>
      <c r="E1608" s="4" t="s">
        <v>21</v>
      </c>
      <c r="F1608" s="4">
        <f t="shared" si="2"/>
        <v>12</v>
      </c>
    </row>
    <row r="1609">
      <c r="A1609" s="5">
        <v>43907.67390046296</v>
      </c>
      <c r="B1609" s="7">
        <f t="shared" si="1"/>
        <v>43907</v>
      </c>
      <c r="C1609" s="33" t="s">
        <v>16</v>
      </c>
      <c r="D1609" s="4" t="s">
        <v>21</v>
      </c>
      <c r="E1609" s="4" t="s">
        <v>21</v>
      </c>
      <c r="F1609" s="4">
        <f t="shared" si="2"/>
        <v>12</v>
      </c>
    </row>
    <row r="1610">
      <c r="A1610" s="5">
        <v>43907.67420138889</v>
      </c>
      <c r="B1610" s="7">
        <f t="shared" si="1"/>
        <v>43907</v>
      </c>
      <c r="C1610" s="33" t="s">
        <v>16</v>
      </c>
      <c r="D1610" s="4" t="s">
        <v>21</v>
      </c>
      <c r="E1610" s="4" t="s">
        <v>21</v>
      </c>
      <c r="F1610" s="4">
        <f t="shared" si="2"/>
        <v>12</v>
      </c>
    </row>
    <row r="1611">
      <c r="A1611" s="5">
        <v>43907.67450231482</v>
      </c>
      <c r="B1611" s="7">
        <f t="shared" si="1"/>
        <v>43907</v>
      </c>
      <c r="C1611" s="33" t="s">
        <v>16</v>
      </c>
      <c r="D1611" s="4" t="s">
        <v>21</v>
      </c>
      <c r="E1611" s="4" t="s">
        <v>21</v>
      </c>
      <c r="F1611" s="4">
        <f t="shared" si="2"/>
        <v>12</v>
      </c>
    </row>
    <row r="1612">
      <c r="A1612" s="5">
        <v>43907.67545138889</v>
      </c>
      <c r="B1612" s="7">
        <f t="shared" si="1"/>
        <v>43907</v>
      </c>
      <c r="C1612" s="33" t="s">
        <v>16</v>
      </c>
      <c r="D1612" s="4" t="s">
        <v>21</v>
      </c>
      <c r="E1612" s="4" t="s">
        <v>21</v>
      </c>
      <c r="F1612" s="4">
        <f t="shared" si="2"/>
        <v>12</v>
      </c>
    </row>
    <row r="1613">
      <c r="A1613" s="5">
        <v>43907.67613425926</v>
      </c>
      <c r="B1613" s="7">
        <f t="shared" si="1"/>
        <v>43907</v>
      </c>
      <c r="C1613" s="33" t="s">
        <v>16</v>
      </c>
      <c r="D1613" s="4" t="s">
        <v>21</v>
      </c>
      <c r="E1613" s="4" t="s">
        <v>21</v>
      </c>
      <c r="F1613" s="4">
        <f t="shared" si="2"/>
        <v>12</v>
      </c>
    </row>
    <row r="1614">
      <c r="A1614" s="5">
        <v>43907.6771875</v>
      </c>
      <c r="B1614" s="7">
        <f t="shared" si="1"/>
        <v>43907</v>
      </c>
      <c r="C1614" s="33" t="s">
        <v>16</v>
      </c>
      <c r="D1614" s="4" t="s">
        <v>21</v>
      </c>
      <c r="E1614" s="4" t="s">
        <v>21</v>
      </c>
      <c r="F1614" s="4">
        <f t="shared" si="2"/>
        <v>12</v>
      </c>
    </row>
    <row r="1615">
      <c r="A1615" s="5">
        <v>43907.67747685185</v>
      </c>
      <c r="B1615" s="7">
        <f t="shared" si="1"/>
        <v>43907</v>
      </c>
      <c r="C1615" s="33" t="s">
        <v>16</v>
      </c>
      <c r="D1615" s="4" t="s">
        <v>21</v>
      </c>
      <c r="E1615" s="4" t="s">
        <v>21</v>
      </c>
      <c r="F1615" s="4">
        <f t="shared" si="2"/>
        <v>12</v>
      </c>
    </row>
    <row r="1616">
      <c r="A1616" s="5">
        <v>43907.68237268519</v>
      </c>
      <c r="B1616" s="7">
        <f t="shared" si="1"/>
        <v>43907</v>
      </c>
      <c r="C1616" s="33" t="s">
        <v>16</v>
      </c>
      <c r="D1616" s="4" t="s">
        <v>21</v>
      </c>
      <c r="E1616" s="4" t="s">
        <v>21</v>
      </c>
      <c r="F1616" s="4">
        <f t="shared" si="2"/>
        <v>12</v>
      </c>
    </row>
    <row r="1617">
      <c r="A1617" s="5">
        <v>43907.68282407407</v>
      </c>
      <c r="B1617" s="7">
        <f t="shared" si="1"/>
        <v>43907</v>
      </c>
      <c r="C1617" s="33" t="s">
        <v>16</v>
      </c>
      <c r="D1617" s="4" t="s">
        <v>21</v>
      </c>
      <c r="E1617" s="4" t="s">
        <v>21</v>
      </c>
      <c r="F1617" s="4">
        <f t="shared" si="2"/>
        <v>12</v>
      </c>
    </row>
    <row r="1618">
      <c r="A1618" s="5">
        <v>43907.68314814815</v>
      </c>
      <c r="B1618" s="7">
        <f t="shared" si="1"/>
        <v>43907</v>
      </c>
      <c r="C1618" s="33" t="s">
        <v>16</v>
      </c>
      <c r="D1618" s="4" t="s">
        <v>21</v>
      </c>
      <c r="E1618" s="4" t="s">
        <v>21</v>
      </c>
      <c r="F1618" s="4">
        <f t="shared" si="2"/>
        <v>12</v>
      </c>
    </row>
    <row r="1619">
      <c r="A1619" s="5">
        <v>43907.683657407404</v>
      </c>
      <c r="B1619" s="7">
        <f t="shared" si="1"/>
        <v>43907</v>
      </c>
      <c r="C1619" s="33" t="s">
        <v>16</v>
      </c>
      <c r="D1619" s="4" t="s">
        <v>21</v>
      </c>
      <c r="E1619" s="4" t="s">
        <v>21</v>
      </c>
      <c r="F1619" s="4">
        <f t="shared" si="2"/>
        <v>12</v>
      </c>
    </row>
    <row r="1620">
      <c r="A1620" s="5">
        <v>43907.684745370374</v>
      </c>
      <c r="B1620" s="7">
        <f t="shared" si="1"/>
        <v>43907</v>
      </c>
      <c r="C1620" s="33" t="s">
        <v>16</v>
      </c>
      <c r="D1620" s="4" t="s">
        <v>21</v>
      </c>
      <c r="E1620" s="4" t="s">
        <v>21</v>
      </c>
      <c r="F1620" s="4">
        <f t="shared" si="2"/>
        <v>12</v>
      </c>
    </row>
    <row r="1621">
      <c r="A1621" s="5">
        <v>43907.68591435185</v>
      </c>
      <c r="B1621" s="7">
        <f t="shared" si="1"/>
        <v>43907</v>
      </c>
      <c r="C1621" s="33" t="s">
        <v>16</v>
      </c>
      <c r="D1621" s="4" t="s">
        <v>21</v>
      </c>
      <c r="E1621" s="4" t="s">
        <v>21</v>
      </c>
      <c r="F1621" s="4">
        <f t="shared" si="2"/>
        <v>12</v>
      </c>
    </row>
    <row r="1622">
      <c r="A1622" s="5">
        <v>43907.68662037037</v>
      </c>
      <c r="B1622" s="7">
        <f t="shared" si="1"/>
        <v>43907</v>
      </c>
      <c r="C1622" s="33" t="s">
        <v>16</v>
      </c>
      <c r="D1622" s="4" t="s">
        <v>21</v>
      </c>
      <c r="E1622" s="4" t="s">
        <v>21</v>
      </c>
      <c r="F1622" s="4">
        <f t="shared" si="2"/>
        <v>12</v>
      </c>
    </row>
    <row r="1623">
      <c r="A1623" s="5">
        <v>43908.38693287037</v>
      </c>
      <c r="B1623" s="7">
        <f t="shared" si="1"/>
        <v>43908</v>
      </c>
      <c r="C1623" s="33" t="s">
        <v>16</v>
      </c>
      <c r="D1623" s="4" t="s">
        <v>21</v>
      </c>
      <c r="E1623" s="4" t="s">
        <v>21</v>
      </c>
      <c r="F1623" s="4">
        <f t="shared" si="2"/>
        <v>12</v>
      </c>
    </row>
    <row r="1624">
      <c r="A1624" s="5">
        <v>43927.71564814815</v>
      </c>
      <c r="B1624" s="7">
        <f t="shared" si="1"/>
        <v>43927</v>
      </c>
      <c r="C1624" s="33" t="s">
        <v>16</v>
      </c>
      <c r="D1624" s="4" t="s">
        <v>21</v>
      </c>
      <c r="E1624" s="4" t="s">
        <v>21</v>
      </c>
      <c r="F1624" s="4">
        <f t="shared" si="2"/>
        <v>15</v>
      </c>
    </row>
    <row r="1625">
      <c r="A1625" s="5">
        <v>43927.71704861111</v>
      </c>
      <c r="B1625" s="7">
        <f t="shared" si="1"/>
        <v>43927</v>
      </c>
      <c r="C1625" s="33" t="s">
        <v>16</v>
      </c>
      <c r="D1625" s="4" t="s">
        <v>21</v>
      </c>
      <c r="E1625" s="4" t="s">
        <v>21</v>
      </c>
      <c r="F1625" s="4">
        <f t="shared" si="2"/>
        <v>15</v>
      </c>
    </row>
    <row r="1626">
      <c r="A1626" s="5">
        <v>43927.7187962963</v>
      </c>
      <c r="B1626" s="7">
        <f t="shared" si="1"/>
        <v>43927</v>
      </c>
      <c r="C1626" s="33" t="s">
        <v>16</v>
      </c>
      <c r="D1626" s="4" t="s">
        <v>21</v>
      </c>
      <c r="E1626" s="4" t="s">
        <v>21</v>
      </c>
      <c r="F1626" s="4">
        <f t="shared" si="2"/>
        <v>15</v>
      </c>
    </row>
    <row r="1627">
      <c r="A1627" s="5">
        <v>43927.71980324074</v>
      </c>
      <c r="B1627" s="7">
        <f t="shared" si="1"/>
        <v>43927</v>
      </c>
      <c r="C1627" s="33" t="s">
        <v>16</v>
      </c>
      <c r="D1627" s="4" t="s">
        <v>21</v>
      </c>
      <c r="E1627" s="4" t="s">
        <v>21</v>
      </c>
      <c r="F1627" s="4">
        <f t="shared" si="2"/>
        <v>15</v>
      </c>
    </row>
    <row r="1628">
      <c r="A1628" s="5">
        <v>43927.72488425926</v>
      </c>
      <c r="B1628" s="7">
        <f t="shared" si="1"/>
        <v>43927</v>
      </c>
      <c r="C1628" s="33" t="s">
        <v>16</v>
      </c>
      <c r="D1628" s="4" t="s">
        <v>21</v>
      </c>
      <c r="E1628" s="4" t="s">
        <v>21</v>
      </c>
      <c r="F1628" s="4">
        <f t="shared" si="2"/>
        <v>15</v>
      </c>
    </row>
    <row r="1629">
      <c r="A1629" s="5">
        <v>43927.725625</v>
      </c>
      <c r="B1629" s="7">
        <f t="shared" si="1"/>
        <v>43927</v>
      </c>
      <c r="C1629" s="33" t="s">
        <v>16</v>
      </c>
      <c r="D1629" s="4" t="s">
        <v>21</v>
      </c>
      <c r="E1629" s="4" t="s">
        <v>21</v>
      </c>
      <c r="F1629" s="4">
        <f t="shared" si="2"/>
        <v>15</v>
      </c>
    </row>
    <row r="1630">
      <c r="A1630" s="5">
        <v>43927.727164351854</v>
      </c>
      <c r="B1630" s="7">
        <f t="shared" si="1"/>
        <v>43927</v>
      </c>
      <c r="C1630" s="33" t="s">
        <v>16</v>
      </c>
      <c r="D1630" s="4" t="s">
        <v>21</v>
      </c>
      <c r="E1630" s="4" t="s">
        <v>21</v>
      </c>
      <c r="F1630" s="4">
        <f t="shared" si="2"/>
        <v>15</v>
      </c>
    </row>
    <row r="1631">
      <c r="A1631" s="5">
        <v>43927.72887731482</v>
      </c>
      <c r="B1631" s="7">
        <f t="shared" si="1"/>
        <v>43927</v>
      </c>
      <c r="C1631" s="33" t="s">
        <v>16</v>
      </c>
      <c r="D1631" s="4" t="s">
        <v>21</v>
      </c>
      <c r="E1631" s="4" t="s">
        <v>21</v>
      </c>
      <c r="F1631" s="4">
        <f t="shared" si="2"/>
        <v>15</v>
      </c>
    </row>
    <row r="1632">
      <c r="A1632" s="5">
        <v>43969.49565972222</v>
      </c>
      <c r="B1632" s="7">
        <f t="shared" si="1"/>
        <v>43969</v>
      </c>
      <c r="C1632" s="33" t="s">
        <v>16</v>
      </c>
      <c r="D1632" s="4" t="s">
        <v>21</v>
      </c>
      <c r="E1632" s="4" t="s">
        <v>21</v>
      </c>
      <c r="F1632" s="4">
        <f t="shared" si="2"/>
        <v>21</v>
      </c>
    </row>
    <row r="1633">
      <c r="A1633" s="5">
        <v>43969.49711805556</v>
      </c>
      <c r="B1633" s="7">
        <f t="shared" si="1"/>
        <v>43969</v>
      </c>
      <c r="C1633" s="33" t="s">
        <v>16</v>
      </c>
      <c r="D1633" s="4" t="s">
        <v>21</v>
      </c>
      <c r="E1633" s="4" t="s">
        <v>21</v>
      </c>
      <c r="F1633" s="4">
        <f t="shared" si="2"/>
        <v>21</v>
      </c>
    </row>
    <row r="1634">
      <c r="A1634" s="5">
        <v>43969.49759259259</v>
      </c>
      <c r="B1634" s="7">
        <f t="shared" si="1"/>
        <v>43969</v>
      </c>
      <c r="C1634" s="33" t="s">
        <v>16</v>
      </c>
      <c r="D1634" s="4" t="s">
        <v>21</v>
      </c>
      <c r="E1634" s="4" t="s">
        <v>21</v>
      </c>
      <c r="F1634" s="4">
        <f t="shared" si="2"/>
        <v>21</v>
      </c>
    </row>
    <row r="1635">
      <c r="A1635" s="5">
        <v>43969.49858796296</v>
      </c>
      <c r="B1635" s="7">
        <f t="shared" si="1"/>
        <v>43969</v>
      </c>
      <c r="C1635" s="33" t="s">
        <v>16</v>
      </c>
      <c r="D1635" s="4" t="s">
        <v>21</v>
      </c>
      <c r="E1635" s="4" t="s">
        <v>21</v>
      </c>
      <c r="F1635" s="4">
        <f t="shared" si="2"/>
        <v>21</v>
      </c>
    </row>
    <row r="1636">
      <c r="A1636" s="5">
        <v>43969.534583333334</v>
      </c>
      <c r="B1636" s="7">
        <f t="shared" si="1"/>
        <v>43969</v>
      </c>
      <c r="C1636" s="33" t="s">
        <v>16</v>
      </c>
      <c r="D1636" s="4" t="s">
        <v>21</v>
      </c>
      <c r="E1636" s="4" t="s">
        <v>21</v>
      </c>
      <c r="F1636" s="4">
        <f t="shared" si="2"/>
        <v>21</v>
      </c>
    </row>
    <row r="1637">
      <c r="A1637" s="5">
        <v>43969.53508101852</v>
      </c>
      <c r="B1637" s="7">
        <f t="shared" si="1"/>
        <v>43969</v>
      </c>
      <c r="C1637" s="33" t="s">
        <v>16</v>
      </c>
      <c r="D1637" s="4" t="s">
        <v>21</v>
      </c>
      <c r="E1637" s="4" t="s">
        <v>21</v>
      </c>
      <c r="F1637" s="4">
        <f t="shared" si="2"/>
        <v>21</v>
      </c>
    </row>
    <row r="1638">
      <c r="A1638" s="5">
        <v>43969.5359837963</v>
      </c>
      <c r="B1638" s="7">
        <f t="shared" si="1"/>
        <v>43969</v>
      </c>
      <c r="C1638" s="33" t="s">
        <v>16</v>
      </c>
      <c r="D1638" s="4" t="s">
        <v>21</v>
      </c>
      <c r="E1638" s="4" t="s">
        <v>21</v>
      </c>
      <c r="F1638" s="4">
        <f t="shared" si="2"/>
        <v>21</v>
      </c>
    </row>
    <row r="1639">
      <c r="A1639" s="5">
        <v>43969.53665509259</v>
      </c>
      <c r="B1639" s="7">
        <f t="shared" si="1"/>
        <v>43969</v>
      </c>
      <c r="C1639" s="33" t="s">
        <v>16</v>
      </c>
      <c r="D1639" s="4" t="s">
        <v>21</v>
      </c>
      <c r="E1639" s="4" t="s">
        <v>21</v>
      </c>
      <c r="F1639" s="4">
        <f t="shared" si="2"/>
        <v>21</v>
      </c>
    </row>
    <row r="1640">
      <c r="A1640" s="5">
        <v>43969.54518518518</v>
      </c>
      <c r="B1640" s="7">
        <f t="shared" si="1"/>
        <v>43969</v>
      </c>
      <c r="C1640" s="33" t="s">
        <v>16</v>
      </c>
      <c r="D1640" s="4" t="s">
        <v>21</v>
      </c>
      <c r="E1640" s="4" t="s">
        <v>21</v>
      </c>
      <c r="F1640" s="4">
        <f t="shared" si="2"/>
        <v>21</v>
      </c>
    </row>
    <row r="1641">
      <c r="A1641" s="5">
        <v>43969.548171296294</v>
      </c>
      <c r="B1641" s="7">
        <f t="shared" si="1"/>
        <v>43969</v>
      </c>
      <c r="C1641" s="33" t="s">
        <v>16</v>
      </c>
      <c r="D1641" s="4" t="s">
        <v>21</v>
      </c>
      <c r="E1641" s="4" t="s">
        <v>21</v>
      </c>
      <c r="F1641" s="4">
        <f t="shared" si="2"/>
        <v>21</v>
      </c>
    </row>
    <row r="1642">
      <c r="A1642" s="5">
        <v>43836.54854166666</v>
      </c>
      <c r="B1642" s="7">
        <f t="shared" si="1"/>
        <v>43836</v>
      </c>
      <c r="C1642" s="33" t="s">
        <v>16</v>
      </c>
      <c r="D1642" s="4" t="s">
        <v>21</v>
      </c>
      <c r="E1642" s="4" t="s">
        <v>21</v>
      </c>
      <c r="F1642" s="4">
        <f t="shared" si="2"/>
        <v>2</v>
      </c>
    </row>
    <row r="1643">
      <c r="A1643" s="5">
        <v>43836.54861111111</v>
      </c>
      <c r="B1643" s="7">
        <f t="shared" si="1"/>
        <v>43836</v>
      </c>
      <c r="C1643" s="33" t="s">
        <v>16</v>
      </c>
      <c r="D1643" s="4" t="s">
        <v>21</v>
      </c>
      <c r="E1643" s="4" t="s">
        <v>21</v>
      </c>
      <c r="F1643" s="4">
        <f t="shared" si="2"/>
        <v>2</v>
      </c>
    </row>
    <row r="1644">
      <c r="A1644" s="5">
        <v>43836.548726851855</v>
      </c>
      <c r="B1644" s="7">
        <f t="shared" si="1"/>
        <v>43836</v>
      </c>
      <c r="C1644" s="33" t="s">
        <v>16</v>
      </c>
      <c r="D1644" s="4" t="s">
        <v>21</v>
      </c>
      <c r="E1644" s="4" t="s">
        <v>21</v>
      </c>
      <c r="F1644" s="4">
        <f t="shared" si="2"/>
        <v>2</v>
      </c>
    </row>
    <row r="1645">
      <c r="A1645" s="5">
        <v>43836.548796296294</v>
      </c>
      <c r="B1645" s="7">
        <f t="shared" si="1"/>
        <v>43836</v>
      </c>
      <c r="C1645" s="33" t="s">
        <v>16</v>
      </c>
      <c r="D1645" s="4" t="s">
        <v>21</v>
      </c>
      <c r="E1645" s="4" t="s">
        <v>21</v>
      </c>
      <c r="F1645" s="4">
        <f t="shared" si="2"/>
        <v>2</v>
      </c>
    </row>
    <row r="1646">
      <c r="A1646" s="5">
        <v>43836.54890046296</v>
      </c>
      <c r="B1646" s="7">
        <f t="shared" si="1"/>
        <v>43836</v>
      </c>
      <c r="C1646" s="33" t="s">
        <v>16</v>
      </c>
      <c r="D1646" s="4" t="s">
        <v>21</v>
      </c>
      <c r="E1646" s="4" t="s">
        <v>21</v>
      </c>
      <c r="F1646" s="4">
        <f t="shared" si="2"/>
        <v>2</v>
      </c>
    </row>
    <row r="1647">
      <c r="A1647" s="5">
        <v>43836.54898148148</v>
      </c>
      <c r="B1647" s="7">
        <f t="shared" si="1"/>
        <v>43836</v>
      </c>
      <c r="C1647" s="33" t="s">
        <v>16</v>
      </c>
      <c r="D1647" s="4" t="s">
        <v>21</v>
      </c>
      <c r="E1647" s="4" t="s">
        <v>21</v>
      </c>
      <c r="F1647" s="4">
        <f t="shared" si="2"/>
        <v>2</v>
      </c>
    </row>
    <row r="1648">
      <c r="A1648" s="5">
        <v>43836.54908564815</v>
      </c>
      <c r="B1648" s="7">
        <f t="shared" si="1"/>
        <v>43836</v>
      </c>
      <c r="C1648" s="33" t="s">
        <v>16</v>
      </c>
      <c r="D1648" s="4" t="s">
        <v>21</v>
      </c>
      <c r="E1648" s="4" t="s">
        <v>21</v>
      </c>
      <c r="F1648" s="4">
        <f t="shared" si="2"/>
        <v>2</v>
      </c>
    </row>
    <row r="1649">
      <c r="A1649" s="5">
        <v>43836.549155092594</v>
      </c>
      <c r="B1649" s="7">
        <f t="shared" si="1"/>
        <v>43836</v>
      </c>
      <c r="C1649" s="33" t="s">
        <v>16</v>
      </c>
      <c r="D1649" s="4" t="s">
        <v>21</v>
      </c>
      <c r="E1649" s="4" t="s">
        <v>21</v>
      </c>
      <c r="F1649" s="4">
        <f t="shared" si="2"/>
        <v>2</v>
      </c>
    </row>
    <row r="1650">
      <c r="A1650" s="5">
        <v>43836.549259259256</v>
      </c>
      <c r="B1650" s="7">
        <f t="shared" si="1"/>
        <v>43836</v>
      </c>
      <c r="C1650" s="33" t="s">
        <v>16</v>
      </c>
      <c r="D1650" s="4" t="s">
        <v>21</v>
      </c>
      <c r="E1650" s="4" t="s">
        <v>21</v>
      </c>
      <c r="F1650" s="4">
        <f t="shared" si="2"/>
        <v>2</v>
      </c>
    </row>
    <row r="1651">
      <c r="A1651" s="5">
        <v>43837.66923611111</v>
      </c>
      <c r="B1651" s="7">
        <f t="shared" si="1"/>
        <v>43837</v>
      </c>
      <c r="C1651" s="33" t="s">
        <v>16</v>
      </c>
      <c r="D1651" s="4" t="s">
        <v>21</v>
      </c>
      <c r="E1651" s="4" t="s">
        <v>21</v>
      </c>
      <c r="F1651" s="4">
        <f t="shared" si="2"/>
        <v>2</v>
      </c>
    </row>
    <row r="1652">
      <c r="A1652" s="5">
        <v>43984.51283564815</v>
      </c>
      <c r="B1652" s="7">
        <f t="shared" si="1"/>
        <v>43984</v>
      </c>
      <c r="C1652" s="33" t="s">
        <v>16</v>
      </c>
      <c r="D1652" s="4" t="s">
        <v>21</v>
      </c>
      <c r="E1652" s="4" t="s">
        <v>21</v>
      </c>
      <c r="F1652" s="4">
        <f t="shared" si="2"/>
        <v>23</v>
      </c>
    </row>
    <row r="1653">
      <c r="A1653" s="5">
        <v>43984.513032407405</v>
      </c>
      <c r="B1653" s="7">
        <f t="shared" si="1"/>
        <v>43984</v>
      </c>
      <c r="C1653" s="33" t="s">
        <v>16</v>
      </c>
      <c r="D1653" s="4" t="s">
        <v>21</v>
      </c>
      <c r="E1653" s="4" t="s">
        <v>21</v>
      </c>
      <c r="F1653" s="4">
        <f t="shared" si="2"/>
        <v>23</v>
      </c>
    </row>
    <row r="1654">
      <c r="A1654" s="5">
        <v>43684.86525462963</v>
      </c>
      <c r="B1654" s="7">
        <f t="shared" si="1"/>
        <v>43684</v>
      </c>
      <c r="C1654" s="33" t="s">
        <v>16</v>
      </c>
      <c r="D1654" s="4" t="s">
        <v>21</v>
      </c>
      <c r="E1654" s="4" t="s">
        <v>21</v>
      </c>
      <c r="F1654" s="4">
        <f t="shared" si="2"/>
        <v>32</v>
      </c>
    </row>
    <row r="1655">
      <c r="A1655" s="5">
        <v>43733.26936342593</v>
      </c>
      <c r="B1655" s="7">
        <f t="shared" si="1"/>
        <v>43733</v>
      </c>
      <c r="C1655" s="33" t="s">
        <v>16</v>
      </c>
      <c r="D1655" s="4" t="s">
        <v>21</v>
      </c>
      <c r="E1655" s="4" t="s">
        <v>21</v>
      </c>
      <c r="F1655" s="4">
        <f t="shared" si="2"/>
        <v>39</v>
      </c>
    </row>
    <row r="1656">
      <c r="A1656" s="5">
        <v>43741.37469907408</v>
      </c>
      <c r="B1656" s="7">
        <f t="shared" si="1"/>
        <v>43741</v>
      </c>
      <c r="C1656" s="33" t="s">
        <v>16</v>
      </c>
      <c r="D1656" s="4" t="s">
        <v>21</v>
      </c>
      <c r="E1656" s="4" t="s">
        <v>21</v>
      </c>
      <c r="F1656" s="4">
        <f t="shared" si="2"/>
        <v>40</v>
      </c>
    </row>
    <row r="1657">
      <c r="A1657" s="5">
        <v>43741.384097222224</v>
      </c>
      <c r="B1657" s="7">
        <f t="shared" si="1"/>
        <v>43741</v>
      </c>
      <c r="C1657" s="33" t="s">
        <v>16</v>
      </c>
      <c r="D1657" s="4" t="s">
        <v>21</v>
      </c>
      <c r="E1657" s="4" t="s">
        <v>21</v>
      </c>
      <c r="F1657" s="4">
        <f t="shared" si="2"/>
        <v>40</v>
      </c>
    </row>
    <row r="1658">
      <c r="A1658" s="5">
        <v>43783.54887731482</v>
      </c>
      <c r="B1658" s="7">
        <f t="shared" si="1"/>
        <v>43783</v>
      </c>
      <c r="C1658" s="33" t="s">
        <v>16</v>
      </c>
      <c r="D1658" s="4" t="s">
        <v>21</v>
      </c>
      <c r="E1658" s="4" t="s">
        <v>21</v>
      </c>
      <c r="F1658" s="4">
        <f t="shared" si="2"/>
        <v>46</v>
      </c>
    </row>
    <row r="1659">
      <c r="A1659" s="5">
        <v>43808.38484953704</v>
      </c>
      <c r="B1659" s="7">
        <f t="shared" si="1"/>
        <v>43808</v>
      </c>
      <c r="C1659" s="33" t="s">
        <v>16</v>
      </c>
      <c r="D1659" s="4" t="s">
        <v>21</v>
      </c>
      <c r="E1659" s="4" t="s">
        <v>21</v>
      </c>
      <c r="F1659" s="4">
        <f t="shared" si="2"/>
        <v>50</v>
      </c>
    </row>
    <row r="1660">
      <c r="A1660" s="5">
        <v>43838.81599537037</v>
      </c>
      <c r="B1660" s="7">
        <f t="shared" si="1"/>
        <v>43838</v>
      </c>
      <c r="C1660" s="33" t="s">
        <v>16</v>
      </c>
      <c r="D1660" s="4" t="s">
        <v>21</v>
      </c>
      <c r="E1660" s="4" t="s">
        <v>21</v>
      </c>
      <c r="F1660" s="4">
        <f t="shared" si="2"/>
        <v>2</v>
      </c>
    </row>
    <row r="1661">
      <c r="A1661" s="5">
        <v>43844.35298611111</v>
      </c>
      <c r="B1661" s="7">
        <f t="shared" si="1"/>
        <v>43844</v>
      </c>
      <c r="C1661" s="33" t="s">
        <v>16</v>
      </c>
      <c r="D1661" s="4" t="s">
        <v>21</v>
      </c>
      <c r="E1661" s="4" t="s">
        <v>21</v>
      </c>
      <c r="F1661" s="4">
        <f t="shared" si="2"/>
        <v>3</v>
      </c>
    </row>
    <row r="1662">
      <c r="A1662" s="5">
        <v>43844.382627314815</v>
      </c>
      <c r="B1662" s="7">
        <f t="shared" si="1"/>
        <v>43844</v>
      </c>
      <c r="C1662" s="33" t="s">
        <v>16</v>
      </c>
      <c r="D1662" s="4" t="s">
        <v>21</v>
      </c>
      <c r="E1662" s="4" t="s">
        <v>21</v>
      </c>
      <c r="F1662" s="4">
        <f t="shared" si="2"/>
        <v>3</v>
      </c>
    </row>
    <row r="1663">
      <c r="A1663" s="5">
        <v>43851.54981481482</v>
      </c>
      <c r="B1663" s="7">
        <f t="shared" si="1"/>
        <v>43851</v>
      </c>
      <c r="C1663" s="33" t="s">
        <v>16</v>
      </c>
      <c r="D1663" s="4" t="s">
        <v>21</v>
      </c>
      <c r="E1663" s="4" t="s">
        <v>21</v>
      </c>
      <c r="F1663" s="4">
        <f t="shared" si="2"/>
        <v>4</v>
      </c>
    </row>
    <row r="1664">
      <c r="A1664" s="5">
        <v>43851.56297453704</v>
      </c>
      <c r="B1664" s="7">
        <f t="shared" si="1"/>
        <v>43851</v>
      </c>
      <c r="C1664" s="33" t="s">
        <v>16</v>
      </c>
      <c r="D1664" s="4" t="s">
        <v>21</v>
      </c>
      <c r="E1664" s="4" t="s">
        <v>21</v>
      </c>
      <c r="F1664" s="4">
        <f t="shared" si="2"/>
        <v>4</v>
      </c>
    </row>
    <row r="1665">
      <c r="A1665" s="5">
        <v>43853.872083333335</v>
      </c>
      <c r="B1665" s="7">
        <f t="shared" si="1"/>
        <v>43853</v>
      </c>
      <c r="C1665" s="33" t="s">
        <v>16</v>
      </c>
      <c r="D1665" s="4" t="s">
        <v>21</v>
      </c>
      <c r="E1665" s="4" t="s">
        <v>21</v>
      </c>
      <c r="F1665" s="4">
        <f t="shared" si="2"/>
        <v>4</v>
      </c>
    </row>
    <row r="1666">
      <c r="A1666" s="5">
        <v>43901.63835648148</v>
      </c>
      <c r="B1666" s="7">
        <f t="shared" si="1"/>
        <v>43901</v>
      </c>
      <c r="C1666" s="33" t="s">
        <v>16</v>
      </c>
      <c r="D1666" s="4" t="s">
        <v>21</v>
      </c>
      <c r="E1666" s="4" t="s">
        <v>21</v>
      </c>
      <c r="F1666" s="4">
        <f t="shared" si="2"/>
        <v>11</v>
      </c>
    </row>
    <row r="1667">
      <c r="A1667" s="5">
        <v>43930.420486111114</v>
      </c>
      <c r="B1667" s="7">
        <f t="shared" si="1"/>
        <v>43930</v>
      </c>
      <c r="C1667" s="33" t="s">
        <v>16</v>
      </c>
      <c r="D1667" s="4" t="s">
        <v>21</v>
      </c>
      <c r="E1667" s="4" t="s">
        <v>21</v>
      </c>
      <c r="F1667" s="4">
        <f t="shared" si="2"/>
        <v>15</v>
      </c>
    </row>
    <row r="1668">
      <c r="A1668" s="5">
        <v>43937.681655092594</v>
      </c>
      <c r="B1668" s="7">
        <f t="shared" si="1"/>
        <v>43937</v>
      </c>
      <c r="C1668" s="33" t="s">
        <v>16</v>
      </c>
      <c r="D1668" s="4" t="s">
        <v>21</v>
      </c>
      <c r="E1668" s="4" t="s">
        <v>21</v>
      </c>
      <c r="F1668" s="4">
        <f t="shared" si="2"/>
        <v>16</v>
      </c>
    </row>
    <row r="1669">
      <c r="A1669" s="5">
        <v>43950.39829861111</v>
      </c>
      <c r="B1669" s="7">
        <f t="shared" si="1"/>
        <v>43950</v>
      </c>
      <c r="C1669" s="33" t="s">
        <v>16</v>
      </c>
      <c r="D1669" s="4" t="s">
        <v>21</v>
      </c>
      <c r="E1669" s="4" t="s">
        <v>21</v>
      </c>
      <c r="F1669" s="4">
        <f t="shared" si="2"/>
        <v>18</v>
      </c>
    </row>
    <row r="1670">
      <c r="A1670" s="5">
        <v>43967.70685185185</v>
      </c>
      <c r="B1670" s="7">
        <f t="shared" si="1"/>
        <v>43967</v>
      </c>
      <c r="C1670" s="33" t="s">
        <v>16</v>
      </c>
      <c r="D1670" s="4" t="s">
        <v>21</v>
      </c>
      <c r="E1670" s="4" t="s">
        <v>21</v>
      </c>
      <c r="F1670" s="4">
        <f t="shared" si="2"/>
        <v>20</v>
      </c>
    </row>
    <row r="1671">
      <c r="A1671" s="5">
        <v>43967.70706018519</v>
      </c>
      <c r="B1671" s="7">
        <f t="shared" si="1"/>
        <v>43967</v>
      </c>
      <c r="C1671" s="33" t="s">
        <v>16</v>
      </c>
      <c r="D1671" s="4" t="s">
        <v>21</v>
      </c>
      <c r="E1671" s="4" t="s">
        <v>21</v>
      </c>
      <c r="F1671" s="4">
        <f t="shared" si="2"/>
        <v>20</v>
      </c>
    </row>
    <row r="1672">
      <c r="A1672" s="5">
        <v>43967.70726851852</v>
      </c>
      <c r="B1672" s="7">
        <f t="shared" si="1"/>
        <v>43967</v>
      </c>
      <c r="C1672" s="33" t="s">
        <v>16</v>
      </c>
      <c r="D1672" s="4" t="s">
        <v>21</v>
      </c>
      <c r="E1672" s="4" t="s">
        <v>21</v>
      </c>
      <c r="F1672" s="4">
        <f t="shared" si="2"/>
        <v>20</v>
      </c>
    </row>
    <row r="1673">
      <c r="A1673" s="5">
        <v>43967.70747685185</v>
      </c>
      <c r="B1673" s="7">
        <f t="shared" si="1"/>
        <v>43967</v>
      </c>
      <c r="C1673" s="33" t="s">
        <v>16</v>
      </c>
      <c r="D1673" s="4" t="s">
        <v>21</v>
      </c>
      <c r="E1673" s="4" t="s">
        <v>21</v>
      </c>
      <c r="F1673" s="4">
        <f t="shared" si="2"/>
        <v>20</v>
      </c>
    </row>
    <row r="1674">
      <c r="A1674" s="5">
        <v>43967.70769675926</v>
      </c>
      <c r="B1674" s="7">
        <f t="shared" si="1"/>
        <v>43967</v>
      </c>
      <c r="C1674" s="33" t="s">
        <v>16</v>
      </c>
      <c r="D1674" s="4" t="s">
        <v>21</v>
      </c>
      <c r="E1674" s="4" t="s">
        <v>21</v>
      </c>
      <c r="F1674" s="4">
        <f t="shared" si="2"/>
        <v>20</v>
      </c>
    </row>
    <row r="1675">
      <c r="A1675" s="5">
        <v>43967.70790509259</v>
      </c>
      <c r="B1675" s="7">
        <f t="shared" si="1"/>
        <v>43967</v>
      </c>
      <c r="C1675" s="33" t="s">
        <v>16</v>
      </c>
      <c r="D1675" s="4" t="s">
        <v>21</v>
      </c>
      <c r="E1675" s="4" t="s">
        <v>21</v>
      </c>
      <c r="F1675" s="4">
        <f t="shared" si="2"/>
        <v>20</v>
      </c>
    </row>
    <row r="1676">
      <c r="A1676" s="5">
        <v>43967.70811342593</v>
      </c>
      <c r="B1676" s="7">
        <f t="shared" si="1"/>
        <v>43967</v>
      </c>
      <c r="C1676" s="33" t="s">
        <v>16</v>
      </c>
      <c r="D1676" s="4" t="s">
        <v>21</v>
      </c>
      <c r="E1676" s="4" t="s">
        <v>21</v>
      </c>
      <c r="F1676" s="4">
        <f t="shared" si="2"/>
        <v>20</v>
      </c>
    </row>
    <row r="1677">
      <c r="A1677" s="5">
        <v>43967.70832175926</v>
      </c>
      <c r="B1677" s="7">
        <f t="shared" si="1"/>
        <v>43967</v>
      </c>
      <c r="C1677" s="33" t="s">
        <v>16</v>
      </c>
      <c r="D1677" s="4" t="s">
        <v>21</v>
      </c>
      <c r="E1677" s="4" t="s">
        <v>21</v>
      </c>
      <c r="F1677" s="4">
        <f t="shared" si="2"/>
        <v>20</v>
      </c>
    </row>
    <row r="1678">
      <c r="A1678" s="5">
        <v>43967.70854166667</v>
      </c>
      <c r="B1678" s="7">
        <f t="shared" si="1"/>
        <v>43967</v>
      </c>
      <c r="C1678" s="33" t="s">
        <v>16</v>
      </c>
      <c r="D1678" s="4" t="s">
        <v>21</v>
      </c>
      <c r="E1678" s="4" t="s">
        <v>21</v>
      </c>
      <c r="F1678" s="4">
        <f t="shared" si="2"/>
        <v>20</v>
      </c>
    </row>
    <row r="1679">
      <c r="A1679" s="5">
        <v>43967.70875</v>
      </c>
      <c r="B1679" s="7">
        <f t="shared" si="1"/>
        <v>43967</v>
      </c>
      <c r="C1679" s="33" t="s">
        <v>16</v>
      </c>
      <c r="D1679" s="4" t="s">
        <v>21</v>
      </c>
      <c r="E1679" s="4" t="s">
        <v>21</v>
      </c>
      <c r="F1679" s="4">
        <f t="shared" si="2"/>
        <v>20</v>
      </c>
    </row>
    <row r="1680">
      <c r="A1680" s="5">
        <v>43967.708969907406</v>
      </c>
      <c r="B1680" s="7">
        <f t="shared" si="1"/>
        <v>43967</v>
      </c>
      <c r="C1680" s="33" t="s">
        <v>16</v>
      </c>
      <c r="D1680" s="4" t="s">
        <v>21</v>
      </c>
      <c r="E1680" s="4" t="s">
        <v>21</v>
      </c>
      <c r="F1680" s="4">
        <f t="shared" si="2"/>
        <v>20</v>
      </c>
    </row>
    <row r="1681">
      <c r="A1681" s="5">
        <v>43967.709178240744</v>
      </c>
      <c r="B1681" s="7">
        <f t="shared" si="1"/>
        <v>43967</v>
      </c>
      <c r="C1681" s="33" t="s">
        <v>16</v>
      </c>
      <c r="D1681" s="4" t="s">
        <v>21</v>
      </c>
      <c r="E1681" s="4" t="s">
        <v>21</v>
      </c>
      <c r="F1681" s="4">
        <f t="shared" si="2"/>
        <v>20</v>
      </c>
    </row>
    <row r="1682">
      <c r="A1682" s="5">
        <v>43967.709386574075</v>
      </c>
      <c r="B1682" s="7">
        <f t="shared" si="1"/>
        <v>43967</v>
      </c>
      <c r="C1682" s="33" t="s">
        <v>16</v>
      </c>
      <c r="D1682" s="4" t="s">
        <v>21</v>
      </c>
      <c r="E1682" s="4" t="s">
        <v>21</v>
      </c>
      <c r="F1682" s="4">
        <f t="shared" si="2"/>
        <v>20</v>
      </c>
    </row>
    <row r="1683">
      <c r="A1683" s="5">
        <v>43967.70959490741</v>
      </c>
      <c r="B1683" s="7">
        <f t="shared" si="1"/>
        <v>43967</v>
      </c>
      <c r="C1683" s="33" t="s">
        <v>16</v>
      </c>
      <c r="D1683" s="4" t="s">
        <v>21</v>
      </c>
      <c r="E1683" s="4" t="s">
        <v>21</v>
      </c>
      <c r="F1683" s="4">
        <f t="shared" si="2"/>
        <v>20</v>
      </c>
    </row>
    <row r="1684">
      <c r="A1684" s="5">
        <v>43967.709814814814</v>
      </c>
      <c r="B1684" s="7">
        <f t="shared" si="1"/>
        <v>43967</v>
      </c>
      <c r="C1684" s="33" t="s">
        <v>16</v>
      </c>
      <c r="D1684" s="4" t="s">
        <v>21</v>
      </c>
      <c r="E1684" s="4" t="s">
        <v>21</v>
      </c>
      <c r="F1684" s="4">
        <f t="shared" si="2"/>
        <v>20</v>
      </c>
    </row>
    <row r="1685">
      <c r="A1685" s="5">
        <v>43967.710023148145</v>
      </c>
      <c r="B1685" s="7">
        <f t="shared" si="1"/>
        <v>43967</v>
      </c>
      <c r="C1685" s="33" t="s">
        <v>16</v>
      </c>
      <c r="D1685" s="4" t="s">
        <v>21</v>
      </c>
      <c r="E1685" s="4" t="s">
        <v>21</v>
      </c>
      <c r="F1685" s="4">
        <f t="shared" si="2"/>
        <v>20</v>
      </c>
    </row>
    <row r="1686">
      <c r="A1686" s="5">
        <v>43967.710231481484</v>
      </c>
      <c r="B1686" s="7">
        <f t="shared" si="1"/>
        <v>43967</v>
      </c>
      <c r="C1686" s="33" t="s">
        <v>16</v>
      </c>
      <c r="D1686" s="4" t="s">
        <v>21</v>
      </c>
      <c r="E1686" s="4" t="s">
        <v>21</v>
      </c>
      <c r="F1686" s="4">
        <f t="shared" si="2"/>
        <v>20</v>
      </c>
    </row>
    <row r="1687">
      <c r="A1687" s="5">
        <v>43967.710439814815</v>
      </c>
      <c r="B1687" s="7">
        <f t="shared" si="1"/>
        <v>43967</v>
      </c>
      <c r="C1687" s="33" t="s">
        <v>16</v>
      </c>
      <c r="D1687" s="4" t="s">
        <v>21</v>
      </c>
      <c r="E1687" s="4" t="s">
        <v>21</v>
      </c>
      <c r="F1687" s="4">
        <f t="shared" si="2"/>
        <v>20</v>
      </c>
    </row>
    <row r="1688">
      <c r="A1688" s="5">
        <v>43967.710648148146</v>
      </c>
      <c r="B1688" s="7">
        <f t="shared" si="1"/>
        <v>43967</v>
      </c>
      <c r="C1688" s="33" t="s">
        <v>16</v>
      </c>
      <c r="D1688" s="4" t="s">
        <v>21</v>
      </c>
      <c r="E1688" s="4" t="s">
        <v>21</v>
      </c>
      <c r="F1688" s="4">
        <f t="shared" si="2"/>
        <v>20</v>
      </c>
    </row>
    <row r="1689">
      <c r="A1689" s="5">
        <v>43967.710856481484</v>
      </c>
      <c r="B1689" s="7">
        <f t="shared" si="1"/>
        <v>43967</v>
      </c>
      <c r="C1689" s="33" t="s">
        <v>16</v>
      </c>
      <c r="D1689" s="4" t="s">
        <v>21</v>
      </c>
      <c r="E1689" s="4" t="s">
        <v>21</v>
      </c>
      <c r="F1689" s="4">
        <f t="shared" si="2"/>
        <v>20</v>
      </c>
    </row>
    <row r="1690">
      <c r="A1690" s="5">
        <v>43967.711064814815</v>
      </c>
      <c r="B1690" s="7">
        <f t="shared" si="1"/>
        <v>43967</v>
      </c>
      <c r="C1690" s="33" t="s">
        <v>16</v>
      </c>
      <c r="D1690" s="4" t="s">
        <v>21</v>
      </c>
      <c r="E1690" s="4" t="s">
        <v>21</v>
      </c>
      <c r="F1690" s="4">
        <f t="shared" si="2"/>
        <v>20</v>
      </c>
    </row>
    <row r="1691">
      <c r="A1691" s="5">
        <v>43967.71127314815</v>
      </c>
      <c r="B1691" s="7">
        <f t="shared" si="1"/>
        <v>43967</v>
      </c>
      <c r="C1691" s="33" t="s">
        <v>16</v>
      </c>
      <c r="D1691" s="4" t="s">
        <v>21</v>
      </c>
      <c r="E1691" s="4" t="s">
        <v>21</v>
      </c>
      <c r="F1691" s="4">
        <f t="shared" si="2"/>
        <v>20</v>
      </c>
    </row>
    <row r="1692">
      <c r="A1692" s="5">
        <v>43967.711481481485</v>
      </c>
      <c r="B1692" s="7">
        <f t="shared" si="1"/>
        <v>43967</v>
      </c>
      <c r="C1692" s="33" t="s">
        <v>16</v>
      </c>
      <c r="D1692" s="4" t="s">
        <v>21</v>
      </c>
      <c r="E1692" s="4" t="s">
        <v>21</v>
      </c>
      <c r="F1692" s="4">
        <f t="shared" si="2"/>
        <v>20</v>
      </c>
    </row>
    <row r="1693">
      <c r="A1693" s="5">
        <v>43967.711689814816</v>
      </c>
      <c r="B1693" s="7">
        <f t="shared" si="1"/>
        <v>43967</v>
      </c>
      <c r="C1693" s="33" t="s">
        <v>16</v>
      </c>
      <c r="D1693" s="4" t="s">
        <v>21</v>
      </c>
      <c r="E1693" s="4" t="s">
        <v>21</v>
      </c>
      <c r="F1693" s="4">
        <f t="shared" si="2"/>
        <v>20</v>
      </c>
    </row>
    <row r="1694">
      <c r="A1694" s="5">
        <v>43967.71189814815</v>
      </c>
      <c r="B1694" s="7">
        <f t="shared" si="1"/>
        <v>43967</v>
      </c>
      <c r="C1694" s="33" t="s">
        <v>16</v>
      </c>
      <c r="D1694" s="4" t="s">
        <v>21</v>
      </c>
      <c r="E1694" s="4" t="s">
        <v>21</v>
      </c>
      <c r="F1694" s="4">
        <f t="shared" si="2"/>
        <v>20</v>
      </c>
    </row>
    <row r="1695">
      <c r="A1695" s="5">
        <v>43967.71210648148</v>
      </c>
      <c r="B1695" s="7">
        <f t="shared" si="1"/>
        <v>43967</v>
      </c>
      <c r="C1695" s="33" t="s">
        <v>16</v>
      </c>
      <c r="D1695" s="4" t="s">
        <v>21</v>
      </c>
      <c r="E1695" s="4" t="s">
        <v>21</v>
      </c>
      <c r="F1695" s="4">
        <f t="shared" si="2"/>
        <v>20</v>
      </c>
    </row>
    <row r="1696">
      <c r="A1696" s="5">
        <v>43967.71231481482</v>
      </c>
      <c r="B1696" s="7">
        <f t="shared" si="1"/>
        <v>43967</v>
      </c>
      <c r="C1696" s="33" t="s">
        <v>16</v>
      </c>
      <c r="D1696" s="4" t="s">
        <v>21</v>
      </c>
      <c r="E1696" s="4" t="s">
        <v>21</v>
      </c>
      <c r="F1696" s="4">
        <f t="shared" si="2"/>
        <v>20</v>
      </c>
    </row>
    <row r="1697">
      <c r="A1697" s="5">
        <v>43958.646469907406</v>
      </c>
      <c r="B1697" s="7">
        <f t="shared" si="1"/>
        <v>43958</v>
      </c>
      <c r="C1697" s="33" t="s">
        <v>16</v>
      </c>
      <c r="D1697" s="4" t="s">
        <v>21</v>
      </c>
      <c r="E1697" s="4" t="s">
        <v>21</v>
      </c>
      <c r="F1697" s="4">
        <f t="shared" si="2"/>
        <v>19</v>
      </c>
    </row>
    <row r="1698">
      <c r="A1698" s="5">
        <v>43958.6472337963</v>
      </c>
      <c r="B1698" s="7">
        <f t="shared" si="1"/>
        <v>43958</v>
      </c>
      <c r="C1698" s="33" t="s">
        <v>16</v>
      </c>
      <c r="D1698" s="4" t="s">
        <v>21</v>
      </c>
      <c r="E1698" s="4" t="s">
        <v>21</v>
      </c>
      <c r="F1698" s="4">
        <f t="shared" si="2"/>
        <v>19</v>
      </c>
    </row>
    <row r="1699">
      <c r="A1699" s="5">
        <v>43958.64753472222</v>
      </c>
      <c r="B1699" s="7">
        <f t="shared" si="1"/>
        <v>43958</v>
      </c>
      <c r="C1699" s="33" t="s">
        <v>16</v>
      </c>
      <c r="D1699" s="4" t="s">
        <v>21</v>
      </c>
      <c r="E1699" s="4" t="s">
        <v>21</v>
      </c>
      <c r="F1699" s="4">
        <f t="shared" si="2"/>
        <v>19</v>
      </c>
    </row>
    <row r="1700">
      <c r="A1700" s="5">
        <v>43745.51762731482</v>
      </c>
      <c r="B1700" s="7">
        <f t="shared" si="1"/>
        <v>43745</v>
      </c>
      <c r="C1700" s="33" t="s">
        <v>16</v>
      </c>
      <c r="D1700" s="4" t="s">
        <v>21</v>
      </c>
      <c r="E1700" s="4" t="s">
        <v>21</v>
      </c>
      <c r="F1700" s="4">
        <f t="shared" si="2"/>
        <v>41</v>
      </c>
    </row>
    <row r="1701">
      <c r="A1701" s="5">
        <v>43802.48605324074</v>
      </c>
      <c r="B1701" s="7">
        <f t="shared" si="1"/>
        <v>43802</v>
      </c>
      <c r="C1701" s="33" t="s">
        <v>16</v>
      </c>
      <c r="D1701" s="4" t="s">
        <v>21</v>
      </c>
      <c r="E1701" s="4" t="s">
        <v>21</v>
      </c>
      <c r="F1701" s="4">
        <f t="shared" si="2"/>
        <v>49</v>
      </c>
    </row>
    <row r="1702">
      <c r="A1702" s="5">
        <v>43808.6534837963</v>
      </c>
      <c r="B1702" s="7">
        <f t="shared" si="1"/>
        <v>43808</v>
      </c>
      <c r="C1702" s="33" t="s">
        <v>16</v>
      </c>
      <c r="D1702" s="4" t="s">
        <v>21</v>
      </c>
      <c r="E1702" s="4" t="s">
        <v>21</v>
      </c>
      <c r="F1702" s="4">
        <f t="shared" si="2"/>
        <v>50</v>
      </c>
    </row>
    <row r="1703">
      <c r="A1703" s="5">
        <v>43837.41574074074</v>
      </c>
      <c r="B1703" s="7">
        <f t="shared" si="1"/>
        <v>43837</v>
      </c>
      <c r="C1703" s="33" t="s">
        <v>16</v>
      </c>
      <c r="D1703" s="4" t="s">
        <v>21</v>
      </c>
      <c r="E1703" s="4" t="s">
        <v>21</v>
      </c>
      <c r="F1703" s="4">
        <f t="shared" si="2"/>
        <v>2</v>
      </c>
    </row>
    <row r="1704">
      <c r="A1704" s="5">
        <v>43837.41847222222</v>
      </c>
      <c r="B1704" s="7">
        <f t="shared" si="1"/>
        <v>43837</v>
      </c>
      <c r="C1704" s="33" t="s">
        <v>16</v>
      </c>
      <c r="D1704" s="4" t="s">
        <v>21</v>
      </c>
      <c r="E1704" s="4" t="s">
        <v>21</v>
      </c>
      <c r="F1704" s="4">
        <f t="shared" si="2"/>
        <v>2</v>
      </c>
    </row>
    <row r="1705">
      <c r="A1705" s="5">
        <v>43837.46894675926</v>
      </c>
      <c r="B1705" s="7">
        <f t="shared" si="1"/>
        <v>43837</v>
      </c>
      <c r="C1705" s="33" t="s">
        <v>16</v>
      </c>
      <c r="D1705" s="4" t="s">
        <v>21</v>
      </c>
      <c r="E1705" s="4" t="s">
        <v>21</v>
      </c>
      <c r="F1705" s="4">
        <f t="shared" si="2"/>
        <v>2</v>
      </c>
    </row>
    <row r="1706">
      <c r="A1706" s="5">
        <v>43837.48028935185</v>
      </c>
      <c r="B1706" s="7">
        <f t="shared" si="1"/>
        <v>43837</v>
      </c>
      <c r="C1706" s="33" t="s">
        <v>16</v>
      </c>
      <c r="D1706" s="4" t="s">
        <v>21</v>
      </c>
      <c r="E1706" s="4" t="s">
        <v>21</v>
      </c>
      <c r="F1706" s="4">
        <f t="shared" si="2"/>
        <v>2</v>
      </c>
    </row>
    <row r="1707">
      <c r="A1707" s="5">
        <v>43843.665983796294</v>
      </c>
      <c r="B1707" s="7">
        <f t="shared" si="1"/>
        <v>43843</v>
      </c>
      <c r="C1707" s="33" t="s">
        <v>16</v>
      </c>
      <c r="D1707" s="4" t="s">
        <v>21</v>
      </c>
      <c r="E1707" s="4" t="s">
        <v>21</v>
      </c>
      <c r="F1707" s="4">
        <f t="shared" si="2"/>
        <v>3</v>
      </c>
    </row>
    <row r="1708">
      <c r="A1708" s="5">
        <v>43879.6453587963</v>
      </c>
      <c r="B1708" s="7">
        <f t="shared" si="1"/>
        <v>43879</v>
      </c>
      <c r="C1708" s="33" t="s">
        <v>16</v>
      </c>
      <c r="D1708" s="4" t="s">
        <v>21</v>
      </c>
      <c r="E1708" s="4" t="s">
        <v>21</v>
      </c>
      <c r="F1708" s="4">
        <f t="shared" si="2"/>
        <v>8</v>
      </c>
    </row>
    <row r="1709">
      <c r="A1709" s="5">
        <v>43879.66967592593</v>
      </c>
      <c r="B1709" s="7">
        <f t="shared" si="1"/>
        <v>43879</v>
      </c>
      <c r="C1709" s="33" t="s">
        <v>16</v>
      </c>
      <c r="D1709" s="4" t="s">
        <v>21</v>
      </c>
      <c r="E1709" s="4" t="s">
        <v>21</v>
      </c>
      <c r="F1709" s="4">
        <f t="shared" si="2"/>
        <v>8</v>
      </c>
    </row>
    <row r="1710">
      <c r="A1710" s="5">
        <v>43879.669756944444</v>
      </c>
      <c r="B1710" s="7">
        <f t="shared" si="1"/>
        <v>43879</v>
      </c>
      <c r="C1710" s="33" t="s">
        <v>16</v>
      </c>
      <c r="D1710" s="4" t="s">
        <v>21</v>
      </c>
      <c r="E1710" s="4" t="s">
        <v>21</v>
      </c>
      <c r="F1710" s="4">
        <f t="shared" si="2"/>
        <v>8</v>
      </c>
    </row>
    <row r="1711">
      <c r="A1711" s="5">
        <v>43879.66983796296</v>
      </c>
      <c r="B1711" s="7">
        <f t="shared" si="1"/>
        <v>43879</v>
      </c>
      <c r="C1711" s="33" t="s">
        <v>16</v>
      </c>
      <c r="D1711" s="4" t="s">
        <v>21</v>
      </c>
      <c r="E1711" s="4" t="s">
        <v>21</v>
      </c>
      <c r="F1711" s="4">
        <f t="shared" si="2"/>
        <v>8</v>
      </c>
    </row>
    <row r="1712">
      <c r="A1712" s="5">
        <v>43879.669907407406</v>
      </c>
      <c r="B1712" s="7">
        <f t="shared" si="1"/>
        <v>43879</v>
      </c>
      <c r="C1712" s="33" t="s">
        <v>16</v>
      </c>
      <c r="D1712" s="4" t="s">
        <v>21</v>
      </c>
      <c r="E1712" s="4" t="s">
        <v>21</v>
      </c>
      <c r="F1712" s="4">
        <f t="shared" si="2"/>
        <v>8</v>
      </c>
    </row>
    <row r="1713">
      <c r="A1713" s="5">
        <v>43879.66998842593</v>
      </c>
      <c r="B1713" s="7">
        <f t="shared" si="1"/>
        <v>43879</v>
      </c>
      <c r="C1713" s="33" t="s">
        <v>16</v>
      </c>
      <c r="D1713" s="4" t="s">
        <v>21</v>
      </c>
      <c r="E1713" s="4" t="s">
        <v>21</v>
      </c>
      <c r="F1713" s="4">
        <f t="shared" si="2"/>
        <v>8</v>
      </c>
    </row>
    <row r="1714">
      <c r="A1714" s="5">
        <v>43879.67005787037</v>
      </c>
      <c r="B1714" s="7">
        <f t="shared" si="1"/>
        <v>43879</v>
      </c>
      <c r="C1714" s="33" t="s">
        <v>16</v>
      </c>
      <c r="D1714" s="4" t="s">
        <v>21</v>
      </c>
      <c r="E1714" s="4" t="s">
        <v>21</v>
      </c>
      <c r="F1714" s="4">
        <f t="shared" si="2"/>
        <v>8</v>
      </c>
    </row>
    <row r="1715">
      <c r="A1715" s="5">
        <v>43879.67013888889</v>
      </c>
      <c r="B1715" s="7">
        <f t="shared" si="1"/>
        <v>43879</v>
      </c>
      <c r="C1715" s="33" t="s">
        <v>16</v>
      </c>
      <c r="D1715" s="4" t="s">
        <v>21</v>
      </c>
      <c r="E1715" s="4" t="s">
        <v>21</v>
      </c>
      <c r="F1715" s="4">
        <f t="shared" si="2"/>
        <v>8</v>
      </c>
    </row>
    <row r="1716">
      <c r="A1716" s="5">
        <v>43879.67020833334</v>
      </c>
      <c r="B1716" s="7">
        <f t="shared" si="1"/>
        <v>43879</v>
      </c>
      <c r="C1716" s="33" t="s">
        <v>16</v>
      </c>
      <c r="D1716" s="4" t="s">
        <v>21</v>
      </c>
      <c r="E1716" s="4" t="s">
        <v>21</v>
      </c>
      <c r="F1716" s="4">
        <f t="shared" si="2"/>
        <v>8</v>
      </c>
    </row>
    <row r="1717">
      <c r="A1717" s="5">
        <v>43879.67028935185</v>
      </c>
      <c r="B1717" s="7">
        <f t="shared" si="1"/>
        <v>43879</v>
      </c>
      <c r="C1717" s="33" t="s">
        <v>16</v>
      </c>
      <c r="D1717" s="4" t="s">
        <v>21</v>
      </c>
      <c r="E1717" s="4" t="s">
        <v>21</v>
      </c>
      <c r="F1717" s="4">
        <f t="shared" si="2"/>
        <v>8</v>
      </c>
    </row>
    <row r="1718">
      <c r="A1718" s="5">
        <v>43879.6703587963</v>
      </c>
      <c r="B1718" s="7">
        <f t="shared" si="1"/>
        <v>43879</v>
      </c>
      <c r="C1718" s="33" t="s">
        <v>16</v>
      </c>
      <c r="D1718" s="4" t="s">
        <v>21</v>
      </c>
      <c r="E1718" s="4" t="s">
        <v>21</v>
      </c>
      <c r="F1718" s="4">
        <f t="shared" si="2"/>
        <v>8</v>
      </c>
    </row>
    <row r="1719">
      <c r="A1719" s="5">
        <v>43879.67042824074</v>
      </c>
      <c r="B1719" s="7">
        <f t="shared" si="1"/>
        <v>43879</v>
      </c>
      <c r="C1719" s="33" t="s">
        <v>16</v>
      </c>
      <c r="D1719" s="4" t="s">
        <v>21</v>
      </c>
      <c r="E1719" s="4" t="s">
        <v>21</v>
      </c>
      <c r="F1719" s="4">
        <f t="shared" si="2"/>
        <v>8</v>
      </c>
    </row>
    <row r="1720">
      <c r="A1720" s="5">
        <v>43879.67050925926</v>
      </c>
      <c r="B1720" s="7">
        <f t="shared" si="1"/>
        <v>43879</v>
      </c>
      <c r="C1720" s="33" t="s">
        <v>16</v>
      </c>
      <c r="D1720" s="4" t="s">
        <v>21</v>
      </c>
      <c r="E1720" s="4" t="s">
        <v>21</v>
      </c>
      <c r="F1720" s="4">
        <f t="shared" si="2"/>
        <v>8</v>
      </c>
    </row>
    <row r="1721">
      <c r="A1721" s="5">
        <v>43879.670578703706</v>
      </c>
      <c r="B1721" s="7">
        <f t="shared" si="1"/>
        <v>43879</v>
      </c>
      <c r="C1721" s="33" t="s">
        <v>16</v>
      </c>
      <c r="D1721" s="4" t="s">
        <v>21</v>
      </c>
      <c r="E1721" s="4" t="s">
        <v>21</v>
      </c>
      <c r="F1721" s="4">
        <f t="shared" si="2"/>
        <v>8</v>
      </c>
    </row>
    <row r="1722">
      <c r="A1722" s="5">
        <v>43879.670648148145</v>
      </c>
      <c r="B1722" s="7">
        <f t="shared" si="1"/>
        <v>43879</v>
      </c>
      <c r="C1722" s="33" t="s">
        <v>16</v>
      </c>
      <c r="D1722" s="4" t="s">
        <v>21</v>
      </c>
      <c r="E1722" s="4" t="s">
        <v>21</v>
      </c>
      <c r="F1722" s="4">
        <f t="shared" si="2"/>
        <v>8</v>
      </c>
    </row>
    <row r="1723">
      <c r="A1723" s="5">
        <v>43879.67072916667</v>
      </c>
      <c r="B1723" s="7">
        <f t="shared" si="1"/>
        <v>43879</v>
      </c>
      <c r="C1723" s="33" t="s">
        <v>16</v>
      </c>
      <c r="D1723" s="4" t="s">
        <v>21</v>
      </c>
      <c r="E1723" s="4" t="s">
        <v>21</v>
      </c>
      <c r="F1723" s="4">
        <f t="shared" si="2"/>
        <v>8</v>
      </c>
    </row>
    <row r="1724">
      <c r="A1724" s="5">
        <v>43879.670798611114</v>
      </c>
      <c r="B1724" s="7">
        <f t="shared" si="1"/>
        <v>43879</v>
      </c>
      <c r="C1724" s="33" t="s">
        <v>16</v>
      </c>
      <c r="D1724" s="4" t="s">
        <v>21</v>
      </c>
      <c r="E1724" s="4" t="s">
        <v>21</v>
      </c>
      <c r="F1724" s="4">
        <f t="shared" si="2"/>
        <v>8</v>
      </c>
    </row>
    <row r="1725">
      <c r="A1725" s="5">
        <v>43879.67086805555</v>
      </c>
      <c r="B1725" s="7">
        <f t="shared" si="1"/>
        <v>43879</v>
      </c>
      <c r="C1725" s="33" t="s">
        <v>16</v>
      </c>
      <c r="D1725" s="4" t="s">
        <v>21</v>
      </c>
      <c r="E1725" s="4" t="s">
        <v>21</v>
      </c>
      <c r="F1725" s="4">
        <f t="shared" si="2"/>
        <v>8</v>
      </c>
    </row>
    <row r="1726">
      <c r="A1726" s="5">
        <v>43879.670949074076</v>
      </c>
      <c r="B1726" s="7">
        <f t="shared" si="1"/>
        <v>43879</v>
      </c>
      <c r="C1726" s="33" t="s">
        <v>16</v>
      </c>
      <c r="D1726" s="4" t="s">
        <v>21</v>
      </c>
      <c r="E1726" s="4" t="s">
        <v>21</v>
      </c>
      <c r="F1726" s="4">
        <f t="shared" si="2"/>
        <v>8</v>
      </c>
    </row>
    <row r="1727">
      <c r="A1727" s="5">
        <v>43879.67101851852</v>
      </c>
      <c r="B1727" s="7">
        <f t="shared" si="1"/>
        <v>43879</v>
      </c>
      <c r="C1727" s="33" t="s">
        <v>16</v>
      </c>
      <c r="D1727" s="4" t="s">
        <v>21</v>
      </c>
      <c r="E1727" s="4" t="s">
        <v>21</v>
      </c>
      <c r="F1727" s="4">
        <f t="shared" si="2"/>
        <v>8</v>
      </c>
    </row>
    <row r="1728">
      <c r="A1728" s="5">
        <v>43879.67108796296</v>
      </c>
      <c r="B1728" s="7">
        <f t="shared" si="1"/>
        <v>43879</v>
      </c>
      <c r="C1728" s="33" t="s">
        <v>16</v>
      </c>
      <c r="D1728" s="4" t="s">
        <v>21</v>
      </c>
      <c r="E1728" s="4" t="s">
        <v>21</v>
      </c>
      <c r="F1728" s="4">
        <f t="shared" si="2"/>
        <v>8</v>
      </c>
    </row>
    <row r="1729">
      <c r="A1729" s="5">
        <v>43879.671168981484</v>
      </c>
      <c r="B1729" s="7">
        <f t="shared" si="1"/>
        <v>43879</v>
      </c>
      <c r="C1729" s="33" t="s">
        <v>16</v>
      </c>
      <c r="D1729" s="4" t="s">
        <v>21</v>
      </c>
      <c r="E1729" s="4" t="s">
        <v>21</v>
      </c>
      <c r="F1729" s="4">
        <f t="shared" si="2"/>
        <v>8</v>
      </c>
    </row>
    <row r="1730">
      <c r="A1730" s="5">
        <v>43879.67123842592</v>
      </c>
      <c r="B1730" s="7">
        <f t="shared" si="1"/>
        <v>43879</v>
      </c>
      <c r="C1730" s="33" t="s">
        <v>16</v>
      </c>
      <c r="D1730" s="4" t="s">
        <v>21</v>
      </c>
      <c r="E1730" s="4" t="s">
        <v>21</v>
      </c>
      <c r="F1730" s="4">
        <f t="shared" si="2"/>
        <v>8</v>
      </c>
    </row>
    <row r="1731">
      <c r="A1731" s="5">
        <v>43879.67130787037</v>
      </c>
      <c r="B1731" s="7">
        <f t="shared" si="1"/>
        <v>43879</v>
      </c>
      <c r="C1731" s="33" t="s">
        <v>16</v>
      </c>
      <c r="D1731" s="4" t="s">
        <v>21</v>
      </c>
      <c r="E1731" s="4" t="s">
        <v>21</v>
      </c>
      <c r="F1731" s="4">
        <f t="shared" si="2"/>
        <v>8</v>
      </c>
    </row>
    <row r="1732">
      <c r="A1732" s="5">
        <v>43879.67138888889</v>
      </c>
      <c r="B1732" s="7">
        <f t="shared" si="1"/>
        <v>43879</v>
      </c>
      <c r="C1732" s="33" t="s">
        <v>16</v>
      </c>
      <c r="D1732" s="4" t="s">
        <v>21</v>
      </c>
      <c r="E1732" s="4" t="s">
        <v>21</v>
      </c>
      <c r="F1732" s="4">
        <f t="shared" si="2"/>
        <v>8</v>
      </c>
    </row>
    <row r="1733">
      <c r="A1733" s="5">
        <v>43879.67145833333</v>
      </c>
      <c r="B1733" s="7">
        <f t="shared" si="1"/>
        <v>43879</v>
      </c>
      <c r="C1733" s="33" t="s">
        <v>16</v>
      </c>
      <c r="D1733" s="4" t="s">
        <v>21</v>
      </c>
      <c r="E1733" s="4" t="s">
        <v>21</v>
      </c>
      <c r="F1733" s="4">
        <f t="shared" si="2"/>
        <v>8</v>
      </c>
    </row>
    <row r="1734">
      <c r="A1734" s="5">
        <v>43879.67153935185</v>
      </c>
      <c r="B1734" s="7">
        <f t="shared" si="1"/>
        <v>43879</v>
      </c>
      <c r="C1734" s="33" t="s">
        <v>16</v>
      </c>
      <c r="D1734" s="4" t="s">
        <v>21</v>
      </c>
      <c r="E1734" s="4" t="s">
        <v>21</v>
      </c>
      <c r="F1734" s="4">
        <f t="shared" si="2"/>
        <v>8</v>
      </c>
    </row>
    <row r="1735">
      <c r="A1735" s="5">
        <v>43879.67162037037</v>
      </c>
      <c r="B1735" s="7">
        <f t="shared" si="1"/>
        <v>43879</v>
      </c>
      <c r="C1735" s="33" t="s">
        <v>16</v>
      </c>
      <c r="D1735" s="4" t="s">
        <v>21</v>
      </c>
      <c r="E1735" s="4" t="s">
        <v>21</v>
      </c>
      <c r="F1735" s="4">
        <f t="shared" si="2"/>
        <v>8</v>
      </c>
    </row>
    <row r="1736">
      <c r="A1736" s="5">
        <v>43879.67171296296</v>
      </c>
      <c r="B1736" s="7">
        <f t="shared" si="1"/>
        <v>43879</v>
      </c>
      <c r="C1736" s="33" t="s">
        <v>16</v>
      </c>
      <c r="D1736" s="4" t="s">
        <v>21</v>
      </c>
      <c r="E1736" s="4" t="s">
        <v>21</v>
      </c>
      <c r="F1736" s="4">
        <f t="shared" si="2"/>
        <v>8</v>
      </c>
    </row>
    <row r="1737">
      <c r="A1737" s="5">
        <v>43879.67178240741</v>
      </c>
      <c r="B1737" s="7">
        <f t="shared" si="1"/>
        <v>43879</v>
      </c>
      <c r="C1737" s="33" t="s">
        <v>16</v>
      </c>
      <c r="D1737" s="4" t="s">
        <v>21</v>
      </c>
      <c r="E1737" s="4" t="s">
        <v>21</v>
      </c>
      <c r="F1737" s="4">
        <f t="shared" si="2"/>
        <v>8</v>
      </c>
    </row>
    <row r="1738">
      <c r="A1738" s="5">
        <v>43879.67186342592</v>
      </c>
      <c r="B1738" s="7">
        <f t="shared" si="1"/>
        <v>43879</v>
      </c>
      <c r="C1738" s="33" t="s">
        <v>16</v>
      </c>
      <c r="D1738" s="4" t="s">
        <v>21</v>
      </c>
      <c r="E1738" s="4" t="s">
        <v>21</v>
      </c>
      <c r="F1738" s="4">
        <f t="shared" si="2"/>
        <v>8</v>
      </c>
    </row>
    <row r="1739">
      <c r="A1739" s="5">
        <v>43879.67193287037</v>
      </c>
      <c r="B1739" s="7">
        <f t="shared" si="1"/>
        <v>43879</v>
      </c>
      <c r="C1739" s="33" t="s">
        <v>16</v>
      </c>
      <c r="D1739" s="4" t="s">
        <v>21</v>
      </c>
      <c r="E1739" s="4" t="s">
        <v>21</v>
      </c>
      <c r="F1739" s="4">
        <f t="shared" si="2"/>
        <v>8</v>
      </c>
    </row>
    <row r="1740">
      <c r="A1740" s="5">
        <v>43879.67201388889</v>
      </c>
      <c r="B1740" s="7">
        <f t="shared" si="1"/>
        <v>43879</v>
      </c>
      <c r="C1740" s="33" t="s">
        <v>16</v>
      </c>
      <c r="D1740" s="4" t="s">
        <v>21</v>
      </c>
      <c r="E1740" s="4" t="s">
        <v>21</v>
      </c>
      <c r="F1740" s="4">
        <f t="shared" si="2"/>
        <v>8</v>
      </c>
    </row>
    <row r="1741">
      <c r="A1741" s="5">
        <v>43879.67208333333</v>
      </c>
      <c r="B1741" s="7">
        <f t="shared" si="1"/>
        <v>43879</v>
      </c>
      <c r="C1741" s="33" t="s">
        <v>16</v>
      </c>
      <c r="D1741" s="4" t="s">
        <v>21</v>
      </c>
      <c r="E1741" s="4" t="s">
        <v>21</v>
      </c>
      <c r="F1741" s="4">
        <f t="shared" si="2"/>
        <v>8</v>
      </c>
    </row>
    <row r="1742">
      <c r="A1742" s="5">
        <v>43879.67215277778</v>
      </c>
      <c r="B1742" s="7">
        <f t="shared" si="1"/>
        <v>43879</v>
      </c>
      <c r="C1742" s="33" t="s">
        <v>16</v>
      </c>
      <c r="D1742" s="4" t="s">
        <v>21</v>
      </c>
      <c r="E1742" s="4" t="s">
        <v>21</v>
      </c>
      <c r="F1742" s="4">
        <f t="shared" si="2"/>
        <v>8</v>
      </c>
    </row>
    <row r="1743">
      <c r="A1743" s="5">
        <v>43879.67223379629</v>
      </c>
      <c r="B1743" s="7">
        <f t="shared" si="1"/>
        <v>43879</v>
      </c>
      <c r="C1743" s="33" t="s">
        <v>16</v>
      </c>
      <c r="D1743" s="4" t="s">
        <v>21</v>
      </c>
      <c r="E1743" s="4" t="s">
        <v>21</v>
      </c>
      <c r="F1743" s="4">
        <f t="shared" si="2"/>
        <v>8</v>
      </c>
    </row>
    <row r="1744">
      <c r="A1744" s="5">
        <v>43879.67230324074</v>
      </c>
      <c r="B1744" s="7">
        <f t="shared" si="1"/>
        <v>43879</v>
      </c>
      <c r="C1744" s="33" t="s">
        <v>16</v>
      </c>
      <c r="D1744" s="4" t="s">
        <v>21</v>
      </c>
      <c r="E1744" s="4" t="s">
        <v>21</v>
      </c>
      <c r="F1744" s="4">
        <f t="shared" si="2"/>
        <v>8</v>
      </c>
    </row>
    <row r="1745">
      <c r="A1745" s="5">
        <v>43879.67238425926</v>
      </c>
      <c r="B1745" s="7">
        <f t="shared" si="1"/>
        <v>43879</v>
      </c>
      <c r="C1745" s="33" t="s">
        <v>16</v>
      </c>
      <c r="D1745" s="4" t="s">
        <v>21</v>
      </c>
      <c r="E1745" s="4" t="s">
        <v>21</v>
      </c>
      <c r="F1745" s="4">
        <f t="shared" si="2"/>
        <v>8</v>
      </c>
    </row>
    <row r="1746">
      <c r="A1746" s="5">
        <v>43879.6724537037</v>
      </c>
      <c r="B1746" s="7">
        <f t="shared" si="1"/>
        <v>43879</v>
      </c>
      <c r="C1746" s="33" t="s">
        <v>16</v>
      </c>
      <c r="D1746" s="4" t="s">
        <v>21</v>
      </c>
      <c r="E1746" s="4" t="s">
        <v>21</v>
      </c>
      <c r="F1746" s="4">
        <f t="shared" si="2"/>
        <v>8</v>
      </c>
    </row>
    <row r="1747">
      <c r="A1747" s="5">
        <v>43879.67252314815</v>
      </c>
      <c r="B1747" s="7">
        <f t="shared" si="1"/>
        <v>43879</v>
      </c>
      <c r="C1747" s="33" t="s">
        <v>16</v>
      </c>
      <c r="D1747" s="4" t="s">
        <v>21</v>
      </c>
      <c r="E1747" s="4" t="s">
        <v>21</v>
      </c>
      <c r="F1747" s="4">
        <f t="shared" si="2"/>
        <v>8</v>
      </c>
    </row>
    <row r="1748">
      <c r="A1748" s="5">
        <v>43879.67260416667</v>
      </c>
      <c r="B1748" s="7">
        <f t="shared" si="1"/>
        <v>43879</v>
      </c>
      <c r="C1748" s="33" t="s">
        <v>16</v>
      </c>
      <c r="D1748" s="4" t="s">
        <v>21</v>
      </c>
      <c r="E1748" s="4" t="s">
        <v>21</v>
      </c>
      <c r="F1748" s="4">
        <f t="shared" si="2"/>
        <v>8</v>
      </c>
    </row>
    <row r="1749">
      <c r="A1749" s="5">
        <v>43879.67267361111</v>
      </c>
      <c r="B1749" s="7">
        <f t="shared" si="1"/>
        <v>43879</v>
      </c>
      <c r="C1749" s="33" t="s">
        <v>16</v>
      </c>
      <c r="D1749" s="4" t="s">
        <v>21</v>
      </c>
      <c r="E1749" s="4" t="s">
        <v>21</v>
      </c>
      <c r="F1749" s="4">
        <f t="shared" si="2"/>
        <v>8</v>
      </c>
    </row>
    <row r="1750">
      <c r="A1750" s="5">
        <v>43880.371724537035</v>
      </c>
      <c r="B1750" s="7">
        <f t="shared" si="1"/>
        <v>43880</v>
      </c>
      <c r="C1750" s="33" t="s">
        <v>16</v>
      </c>
      <c r="D1750" s="4" t="s">
        <v>21</v>
      </c>
      <c r="E1750" s="4" t="s">
        <v>21</v>
      </c>
      <c r="F1750" s="4">
        <f t="shared" si="2"/>
        <v>8</v>
      </c>
    </row>
    <row r="1751">
      <c r="A1751" s="5">
        <v>43880.38296296296</v>
      </c>
      <c r="B1751" s="7">
        <f t="shared" si="1"/>
        <v>43880</v>
      </c>
      <c r="C1751" s="33" t="s">
        <v>16</v>
      </c>
      <c r="D1751" s="4" t="s">
        <v>21</v>
      </c>
      <c r="E1751" s="4" t="s">
        <v>21</v>
      </c>
      <c r="F1751" s="4">
        <f t="shared" si="2"/>
        <v>8</v>
      </c>
    </row>
    <row r="1752">
      <c r="A1752" s="5">
        <v>43881.4425</v>
      </c>
      <c r="B1752" s="7">
        <f t="shared" si="1"/>
        <v>43881</v>
      </c>
      <c r="C1752" s="33" t="s">
        <v>16</v>
      </c>
      <c r="D1752" s="4" t="s">
        <v>21</v>
      </c>
      <c r="E1752" s="4" t="s">
        <v>21</v>
      </c>
      <c r="F1752" s="4">
        <f t="shared" si="2"/>
        <v>8</v>
      </c>
    </row>
    <row r="1753">
      <c r="A1753" s="5">
        <v>43966.62875</v>
      </c>
      <c r="B1753" s="7">
        <f t="shared" si="1"/>
        <v>43966</v>
      </c>
      <c r="C1753" s="33" t="s">
        <v>16</v>
      </c>
      <c r="D1753" s="4" t="s">
        <v>21</v>
      </c>
      <c r="E1753" s="4" t="s">
        <v>21</v>
      </c>
      <c r="F1753" s="4">
        <f t="shared" si="2"/>
        <v>20</v>
      </c>
    </row>
    <row r="1754">
      <c r="A1754" s="5">
        <v>43683.38175925926</v>
      </c>
      <c r="B1754" s="7">
        <f t="shared" si="1"/>
        <v>43683</v>
      </c>
      <c r="C1754" s="33" t="s">
        <v>16</v>
      </c>
      <c r="D1754" s="4" t="s">
        <v>21</v>
      </c>
      <c r="E1754" s="4" t="s">
        <v>21</v>
      </c>
      <c r="F1754" s="4">
        <f t="shared" si="2"/>
        <v>32</v>
      </c>
    </row>
    <row r="1755">
      <c r="A1755" s="5">
        <v>43685.82162037037</v>
      </c>
      <c r="B1755" s="7">
        <f t="shared" si="1"/>
        <v>43685</v>
      </c>
      <c r="C1755" s="33" t="s">
        <v>16</v>
      </c>
      <c r="D1755" s="4" t="s">
        <v>21</v>
      </c>
      <c r="E1755" s="4" t="s">
        <v>21</v>
      </c>
      <c r="F1755" s="4">
        <f t="shared" si="2"/>
        <v>32</v>
      </c>
    </row>
    <row r="1756">
      <c r="A1756" s="5">
        <v>43702.75616898148</v>
      </c>
      <c r="B1756" s="7">
        <f t="shared" si="1"/>
        <v>43702</v>
      </c>
      <c r="C1756" s="33" t="s">
        <v>16</v>
      </c>
      <c r="D1756" s="4" t="s">
        <v>21</v>
      </c>
      <c r="E1756" s="4" t="s">
        <v>21</v>
      </c>
      <c r="F1756" s="4">
        <f t="shared" si="2"/>
        <v>35</v>
      </c>
    </row>
    <row r="1757">
      <c r="A1757" s="5">
        <v>43936.39079861111</v>
      </c>
      <c r="B1757" s="7">
        <f t="shared" si="1"/>
        <v>43936</v>
      </c>
      <c r="C1757" s="33" t="s">
        <v>16</v>
      </c>
      <c r="D1757" s="4" t="s">
        <v>21</v>
      </c>
      <c r="E1757" s="4" t="s">
        <v>21</v>
      </c>
      <c r="F1757" s="4">
        <f t="shared" si="2"/>
        <v>16</v>
      </c>
    </row>
    <row r="1758">
      <c r="A1758" s="5">
        <v>43837.61655092592</v>
      </c>
      <c r="B1758" s="7">
        <f t="shared" si="1"/>
        <v>43837</v>
      </c>
      <c r="C1758" s="33" t="s">
        <v>16</v>
      </c>
      <c r="D1758" s="4" t="s">
        <v>21</v>
      </c>
      <c r="E1758" s="4" t="s">
        <v>21</v>
      </c>
      <c r="F1758" s="4">
        <f t="shared" si="2"/>
        <v>2</v>
      </c>
    </row>
    <row r="1759">
      <c r="A1759" s="5">
        <v>43684.59150462963</v>
      </c>
      <c r="B1759" s="7">
        <f t="shared" si="1"/>
        <v>43684</v>
      </c>
      <c r="C1759" s="33" t="s">
        <v>16</v>
      </c>
      <c r="D1759" s="4" t="s">
        <v>21</v>
      </c>
      <c r="E1759" s="4" t="s">
        <v>21</v>
      </c>
      <c r="F1759" s="4">
        <f t="shared" si="2"/>
        <v>32</v>
      </c>
    </row>
    <row r="1760">
      <c r="A1760" s="5">
        <v>43759.507372685184</v>
      </c>
      <c r="B1760" s="7">
        <f t="shared" si="1"/>
        <v>43759</v>
      </c>
      <c r="C1760" s="33" t="s">
        <v>16</v>
      </c>
      <c r="D1760" s="4" t="s">
        <v>21</v>
      </c>
      <c r="E1760" s="4" t="s">
        <v>21</v>
      </c>
      <c r="F1760" s="4">
        <f t="shared" si="2"/>
        <v>43</v>
      </c>
    </row>
    <row r="1761">
      <c r="A1761" s="5">
        <v>43885.538125</v>
      </c>
      <c r="B1761" s="7">
        <f t="shared" si="1"/>
        <v>43885</v>
      </c>
      <c r="C1761" s="33" t="s">
        <v>16</v>
      </c>
      <c r="D1761" s="4" t="s">
        <v>21</v>
      </c>
      <c r="E1761" s="4" t="s">
        <v>21</v>
      </c>
      <c r="F1761" s="4">
        <f t="shared" si="2"/>
        <v>9</v>
      </c>
    </row>
    <row r="1762">
      <c r="A1762" s="5">
        <v>43977.3490625</v>
      </c>
      <c r="B1762" s="7">
        <f t="shared" si="1"/>
        <v>43977</v>
      </c>
      <c r="C1762" s="33" t="s">
        <v>16</v>
      </c>
      <c r="D1762" s="4" t="s">
        <v>21</v>
      </c>
      <c r="E1762" s="4" t="s">
        <v>21</v>
      </c>
      <c r="F1762" s="4">
        <f t="shared" si="2"/>
        <v>22</v>
      </c>
    </row>
    <row r="1763">
      <c r="A1763" s="5">
        <v>43977.40013888889</v>
      </c>
      <c r="B1763" s="7">
        <f t="shared" si="1"/>
        <v>43977</v>
      </c>
      <c r="C1763" s="33" t="s">
        <v>16</v>
      </c>
      <c r="D1763" s="4" t="s">
        <v>21</v>
      </c>
      <c r="E1763" s="4" t="s">
        <v>21</v>
      </c>
      <c r="F1763" s="4">
        <f t="shared" si="2"/>
        <v>22</v>
      </c>
    </row>
    <row r="1764">
      <c r="A1764" s="5">
        <v>43983.50879629629</v>
      </c>
      <c r="B1764" s="7">
        <f t="shared" si="1"/>
        <v>43983</v>
      </c>
      <c r="C1764" s="33" t="s">
        <v>16</v>
      </c>
      <c r="D1764" s="4" t="s">
        <v>21</v>
      </c>
      <c r="E1764" s="4" t="s">
        <v>21</v>
      </c>
      <c r="F1764" s="4">
        <f t="shared" si="2"/>
        <v>23</v>
      </c>
    </row>
    <row r="1765">
      <c r="A1765" s="5">
        <v>43684.58770833333</v>
      </c>
      <c r="B1765" s="7">
        <f t="shared" si="1"/>
        <v>43684</v>
      </c>
      <c r="C1765" s="33" t="s">
        <v>16</v>
      </c>
      <c r="D1765" s="4" t="s">
        <v>21</v>
      </c>
      <c r="E1765" s="4" t="s">
        <v>21</v>
      </c>
      <c r="F1765" s="4">
        <f t="shared" si="2"/>
        <v>32</v>
      </c>
    </row>
    <row r="1766">
      <c r="A1766" s="5">
        <v>43684.59717592593</v>
      </c>
      <c r="B1766" s="7">
        <f t="shared" si="1"/>
        <v>43684</v>
      </c>
      <c r="C1766" s="33" t="s">
        <v>16</v>
      </c>
      <c r="D1766" s="4" t="s">
        <v>21</v>
      </c>
      <c r="E1766" s="4" t="s">
        <v>21</v>
      </c>
      <c r="F1766" s="4">
        <f t="shared" si="2"/>
        <v>32</v>
      </c>
    </row>
    <row r="1767">
      <c r="A1767" s="5">
        <v>43760.73002314815</v>
      </c>
      <c r="B1767" s="7">
        <f t="shared" si="1"/>
        <v>43760</v>
      </c>
      <c r="C1767" s="33" t="s">
        <v>16</v>
      </c>
      <c r="D1767" s="4" t="s">
        <v>21</v>
      </c>
      <c r="E1767" s="4" t="s">
        <v>21</v>
      </c>
      <c r="F1767" s="4">
        <f t="shared" si="2"/>
        <v>43</v>
      </c>
    </row>
    <row r="1768">
      <c r="A1768" s="5">
        <v>43986.62701388889</v>
      </c>
      <c r="B1768" s="7">
        <f t="shared" si="1"/>
        <v>43986</v>
      </c>
      <c r="C1768" s="33" t="s">
        <v>16</v>
      </c>
      <c r="D1768" s="4" t="s">
        <v>21</v>
      </c>
      <c r="E1768" s="4" t="s">
        <v>21</v>
      </c>
      <c r="F1768" s="4">
        <f t="shared" si="2"/>
        <v>23</v>
      </c>
    </row>
    <row r="1769">
      <c r="A1769" s="5">
        <v>43840.31964120371</v>
      </c>
      <c r="B1769" s="7">
        <f t="shared" si="1"/>
        <v>43840</v>
      </c>
      <c r="C1769" s="33" t="s">
        <v>16</v>
      </c>
      <c r="D1769" s="4" t="s">
        <v>21</v>
      </c>
      <c r="E1769" s="4" t="s">
        <v>21</v>
      </c>
      <c r="F1769" s="4">
        <f t="shared" si="2"/>
        <v>2</v>
      </c>
    </row>
    <row r="1770">
      <c r="A1770" s="5">
        <v>43851.354791666665</v>
      </c>
      <c r="B1770" s="7">
        <f t="shared" si="1"/>
        <v>43851</v>
      </c>
      <c r="C1770" s="33" t="s">
        <v>16</v>
      </c>
      <c r="D1770" s="4" t="s">
        <v>21</v>
      </c>
      <c r="E1770" s="4" t="s">
        <v>21</v>
      </c>
      <c r="F1770" s="4">
        <f t="shared" si="2"/>
        <v>4</v>
      </c>
    </row>
    <row r="1771">
      <c r="A1771" s="5">
        <v>43559.314479166664</v>
      </c>
      <c r="B1771" s="7">
        <f t="shared" si="1"/>
        <v>43559</v>
      </c>
      <c r="C1771" s="33" t="s">
        <v>17</v>
      </c>
      <c r="D1771" s="4" t="s">
        <v>21</v>
      </c>
      <c r="E1771" s="4" t="s">
        <v>21</v>
      </c>
      <c r="F1771" s="4">
        <f t="shared" si="2"/>
        <v>14</v>
      </c>
    </row>
    <row r="1772">
      <c r="A1772" s="5">
        <v>43507.711550925924</v>
      </c>
      <c r="B1772" s="7">
        <f t="shared" si="1"/>
        <v>43507</v>
      </c>
      <c r="C1772" s="33" t="s">
        <v>17</v>
      </c>
      <c r="D1772" s="4" t="s">
        <v>21</v>
      </c>
      <c r="E1772" s="4" t="s">
        <v>21</v>
      </c>
      <c r="F1772" s="4">
        <f t="shared" si="2"/>
        <v>7</v>
      </c>
    </row>
    <row r="1773">
      <c r="A1773" s="5">
        <v>43508.66688657407</v>
      </c>
      <c r="B1773" s="7">
        <f t="shared" si="1"/>
        <v>43508</v>
      </c>
      <c r="C1773" s="33" t="s">
        <v>17</v>
      </c>
      <c r="D1773" s="4" t="s">
        <v>21</v>
      </c>
      <c r="E1773" s="4" t="s">
        <v>21</v>
      </c>
      <c r="F1773" s="4">
        <f t="shared" si="2"/>
        <v>7</v>
      </c>
    </row>
    <row r="1774">
      <c r="A1774" s="5">
        <v>43563.55063657407</v>
      </c>
      <c r="B1774" s="7">
        <f t="shared" si="1"/>
        <v>43563</v>
      </c>
      <c r="C1774" s="33" t="s">
        <v>17</v>
      </c>
      <c r="D1774" s="4" t="s">
        <v>21</v>
      </c>
      <c r="E1774" s="4" t="s">
        <v>21</v>
      </c>
      <c r="F1774" s="4">
        <f t="shared" si="2"/>
        <v>15</v>
      </c>
    </row>
    <row r="1775">
      <c r="A1775" s="5">
        <v>43623.42130787037</v>
      </c>
      <c r="B1775" s="7">
        <f t="shared" si="1"/>
        <v>43623</v>
      </c>
      <c r="C1775" s="33" t="s">
        <v>17</v>
      </c>
      <c r="D1775" s="4" t="s">
        <v>21</v>
      </c>
      <c r="E1775" s="4" t="s">
        <v>21</v>
      </c>
      <c r="F1775" s="4">
        <f t="shared" si="2"/>
        <v>23</v>
      </c>
    </row>
    <row r="1776">
      <c r="A1776" s="5">
        <v>43556.592361111114</v>
      </c>
      <c r="B1776" s="7">
        <f t="shared" si="1"/>
        <v>43556</v>
      </c>
      <c r="C1776" s="33" t="s">
        <v>17</v>
      </c>
      <c r="D1776" s="4" t="s">
        <v>21</v>
      </c>
      <c r="E1776" s="4" t="s">
        <v>21</v>
      </c>
      <c r="F1776" s="4">
        <f t="shared" si="2"/>
        <v>14</v>
      </c>
    </row>
    <row r="1777">
      <c r="A1777" s="5">
        <v>43418.65840277778</v>
      </c>
      <c r="B1777" s="7">
        <f t="shared" si="1"/>
        <v>43418</v>
      </c>
      <c r="C1777" s="33" t="s">
        <v>17</v>
      </c>
      <c r="D1777" s="4" t="s">
        <v>21</v>
      </c>
      <c r="E1777" s="4" t="s">
        <v>21</v>
      </c>
      <c r="F1777" s="4">
        <f t="shared" si="2"/>
        <v>46</v>
      </c>
    </row>
    <row r="1778">
      <c r="A1778" s="5">
        <v>43528.36142361111</v>
      </c>
      <c r="B1778" s="7">
        <f t="shared" si="1"/>
        <v>43528</v>
      </c>
      <c r="C1778" s="33" t="s">
        <v>17</v>
      </c>
      <c r="D1778" s="4" t="s">
        <v>21</v>
      </c>
      <c r="E1778" s="4" t="s">
        <v>21</v>
      </c>
      <c r="F1778" s="4">
        <f t="shared" si="2"/>
        <v>10</v>
      </c>
    </row>
    <row r="1779">
      <c r="A1779" s="5">
        <v>43509.50042824074</v>
      </c>
      <c r="B1779" s="7">
        <f t="shared" si="1"/>
        <v>43509</v>
      </c>
      <c r="C1779" s="33" t="s">
        <v>17</v>
      </c>
      <c r="D1779" s="4" t="s">
        <v>21</v>
      </c>
      <c r="E1779" s="4" t="s">
        <v>21</v>
      </c>
      <c r="F1779" s="4">
        <f t="shared" si="2"/>
        <v>7</v>
      </c>
    </row>
    <row r="1780">
      <c r="A1780" s="5">
        <v>43570.25760416667</v>
      </c>
      <c r="B1780" s="7">
        <f t="shared" si="1"/>
        <v>43570</v>
      </c>
      <c r="C1780" s="33" t="s">
        <v>17</v>
      </c>
      <c r="D1780" s="4" t="s">
        <v>21</v>
      </c>
      <c r="E1780" s="4" t="s">
        <v>21</v>
      </c>
      <c r="F1780" s="4">
        <f t="shared" si="2"/>
        <v>16</v>
      </c>
    </row>
    <row r="1781">
      <c r="A1781" s="5">
        <v>43488.42412037037</v>
      </c>
      <c r="B1781" s="7">
        <f t="shared" si="1"/>
        <v>43488</v>
      </c>
      <c r="C1781" s="33" t="s">
        <v>17</v>
      </c>
      <c r="D1781" s="4" t="s">
        <v>21</v>
      </c>
      <c r="E1781" s="4" t="s">
        <v>21</v>
      </c>
      <c r="F1781" s="4">
        <f t="shared" si="2"/>
        <v>4</v>
      </c>
    </row>
    <row r="1782">
      <c r="A1782" s="5">
        <v>43481.44096064815</v>
      </c>
      <c r="B1782" s="7">
        <f t="shared" si="1"/>
        <v>43481</v>
      </c>
      <c r="C1782" s="33" t="s">
        <v>17</v>
      </c>
      <c r="D1782" s="4" t="s">
        <v>21</v>
      </c>
      <c r="E1782" s="4" t="s">
        <v>21</v>
      </c>
      <c r="F1782" s="4">
        <f t="shared" si="2"/>
        <v>3</v>
      </c>
    </row>
    <row r="1783">
      <c r="A1783" s="5">
        <v>43446.35590277778</v>
      </c>
      <c r="B1783" s="7">
        <f t="shared" si="1"/>
        <v>43446</v>
      </c>
      <c r="C1783" s="33" t="s">
        <v>17</v>
      </c>
      <c r="D1783" s="4" t="s">
        <v>21</v>
      </c>
      <c r="E1783" s="4" t="s">
        <v>21</v>
      </c>
      <c r="F1783" s="4">
        <f t="shared" si="2"/>
        <v>50</v>
      </c>
    </row>
    <row r="1784">
      <c r="A1784" s="5">
        <v>43445.423368055555</v>
      </c>
      <c r="B1784" s="7">
        <f t="shared" si="1"/>
        <v>43445</v>
      </c>
      <c r="C1784" s="33" t="s">
        <v>17</v>
      </c>
      <c r="D1784" s="4" t="s">
        <v>21</v>
      </c>
      <c r="E1784" s="4" t="s">
        <v>21</v>
      </c>
      <c r="F1784" s="4">
        <f t="shared" si="2"/>
        <v>50</v>
      </c>
    </row>
    <row r="1785">
      <c r="A1785" s="5">
        <v>43571.369988425926</v>
      </c>
      <c r="B1785" s="7">
        <f t="shared" si="1"/>
        <v>43571</v>
      </c>
      <c r="C1785" s="33" t="s">
        <v>17</v>
      </c>
      <c r="D1785" s="4" t="s">
        <v>21</v>
      </c>
      <c r="E1785" s="4" t="s">
        <v>21</v>
      </c>
      <c r="F1785" s="4">
        <f t="shared" si="2"/>
        <v>16</v>
      </c>
    </row>
    <row r="1786">
      <c r="A1786" s="5">
        <v>43564.021782407406</v>
      </c>
      <c r="B1786" s="7">
        <f t="shared" si="1"/>
        <v>43564</v>
      </c>
      <c r="C1786" s="33" t="s">
        <v>17</v>
      </c>
      <c r="D1786" s="4" t="s">
        <v>21</v>
      </c>
      <c r="E1786" s="4" t="s">
        <v>21</v>
      </c>
      <c r="F1786" s="4">
        <f t="shared" si="2"/>
        <v>15</v>
      </c>
    </row>
    <row r="1787">
      <c r="A1787" s="5">
        <v>43455.323599537034</v>
      </c>
      <c r="B1787" s="7">
        <f t="shared" si="1"/>
        <v>43455</v>
      </c>
      <c r="C1787" s="33" t="s">
        <v>17</v>
      </c>
      <c r="D1787" s="4" t="s">
        <v>21</v>
      </c>
      <c r="E1787" s="4" t="s">
        <v>21</v>
      </c>
      <c r="F1787" s="4">
        <f t="shared" si="2"/>
        <v>51</v>
      </c>
    </row>
    <row r="1788">
      <c r="A1788" s="5">
        <v>43483.442407407405</v>
      </c>
      <c r="B1788" s="7">
        <f t="shared" si="1"/>
        <v>43483</v>
      </c>
      <c r="C1788" s="33" t="s">
        <v>17</v>
      </c>
      <c r="D1788" s="4" t="s">
        <v>21</v>
      </c>
      <c r="E1788" s="4" t="s">
        <v>21</v>
      </c>
      <c r="F1788" s="4">
        <f t="shared" si="2"/>
        <v>3</v>
      </c>
    </row>
    <row r="1789">
      <c r="A1789" s="5">
        <v>43518.45070601852</v>
      </c>
      <c r="B1789" s="7">
        <f t="shared" si="1"/>
        <v>43518</v>
      </c>
      <c r="C1789" s="33" t="s">
        <v>17</v>
      </c>
      <c r="D1789" s="4" t="s">
        <v>21</v>
      </c>
      <c r="E1789" s="4" t="s">
        <v>21</v>
      </c>
      <c r="F1789" s="4">
        <f t="shared" si="2"/>
        <v>8</v>
      </c>
    </row>
    <row r="1790">
      <c r="A1790" s="5">
        <v>43614.295949074076</v>
      </c>
      <c r="B1790" s="7">
        <f t="shared" si="1"/>
        <v>43614</v>
      </c>
      <c r="C1790" s="33" t="s">
        <v>17</v>
      </c>
      <c r="D1790" s="4" t="s">
        <v>21</v>
      </c>
      <c r="E1790" s="4" t="s">
        <v>21</v>
      </c>
      <c r="F1790" s="4">
        <f t="shared" si="2"/>
        <v>22</v>
      </c>
    </row>
    <row r="1791">
      <c r="A1791" s="5">
        <v>43642.23652777778</v>
      </c>
      <c r="B1791" s="7">
        <f t="shared" si="1"/>
        <v>43642</v>
      </c>
      <c r="C1791" s="33" t="s">
        <v>17</v>
      </c>
      <c r="D1791" s="4" t="s">
        <v>21</v>
      </c>
      <c r="E1791" s="4" t="s">
        <v>21</v>
      </c>
      <c r="F1791" s="4">
        <f t="shared" si="2"/>
        <v>26</v>
      </c>
    </row>
    <row r="1792">
      <c r="A1792" s="5">
        <v>43384.71650462963</v>
      </c>
      <c r="B1792" s="7">
        <f t="shared" si="1"/>
        <v>43384</v>
      </c>
      <c r="C1792" s="33" t="s">
        <v>17</v>
      </c>
      <c r="D1792" s="4" t="s">
        <v>21</v>
      </c>
      <c r="E1792" s="4" t="s">
        <v>21</v>
      </c>
      <c r="F1792" s="4">
        <f t="shared" si="2"/>
        <v>41</v>
      </c>
    </row>
    <row r="1793">
      <c r="A1793" s="5">
        <v>43502.36818287037</v>
      </c>
      <c r="B1793" s="7">
        <f t="shared" si="1"/>
        <v>43502</v>
      </c>
      <c r="C1793" s="33" t="s">
        <v>17</v>
      </c>
      <c r="D1793" s="4" t="s">
        <v>21</v>
      </c>
      <c r="E1793" s="4" t="s">
        <v>23</v>
      </c>
      <c r="F1793" s="4">
        <f t="shared" si="2"/>
        <v>6</v>
      </c>
    </row>
    <row r="1794">
      <c r="A1794" s="5">
        <v>43455.30701388889</v>
      </c>
      <c r="B1794" s="7">
        <f t="shared" si="1"/>
        <v>43455</v>
      </c>
      <c r="C1794" s="33" t="s">
        <v>17</v>
      </c>
      <c r="D1794" s="4" t="s">
        <v>21</v>
      </c>
      <c r="E1794" s="4" t="s">
        <v>21</v>
      </c>
      <c r="F1794" s="4">
        <f t="shared" si="2"/>
        <v>51</v>
      </c>
    </row>
    <row r="1795">
      <c r="A1795" s="5">
        <v>43602.47599537037</v>
      </c>
      <c r="B1795" s="7">
        <f t="shared" si="1"/>
        <v>43602</v>
      </c>
      <c r="C1795" s="33" t="s">
        <v>17</v>
      </c>
      <c r="D1795" s="4" t="s">
        <v>21</v>
      </c>
      <c r="E1795" s="4" t="s">
        <v>21</v>
      </c>
      <c r="F1795" s="4">
        <f t="shared" si="2"/>
        <v>20</v>
      </c>
    </row>
    <row r="1796">
      <c r="A1796" s="5">
        <v>43455.298993055556</v>
      </c>
      <c r="B1796" s="7">
        <f t="shared" si="1"/>
        <v>43455</v>
      </c>
      <c r="C1796" s="33" t="s">
        <v>17</v>
      </c>
      <c r="D1796" s="4" t="s">
        <v>21</v>
      </c>
      <c r="E1796" s="4" t="s">
        <v>21</v>
      </c>
      <c r="F1796" s="4">
        <f t="shared" si="2"/>
        <v>51</v>
      </c>
    </row>
    <row r="1797">
      <c r="A1797" s="5">
        <v>43482.391018518516</v>
      </c>
      <c r="B1797" s="7">
        <f t="shared" si="1"/>
        <v>43482</v>
      </c>
      <c r="C1797" s="33" t="s">
        <v>17</v>
      </c>
      <c r="D1797" s="4" t="s">
        <v>21</v>
      </c>
      <c r="E1797" s="4" t="s">
        <v>21</v>
      </c>
      <c r="F1797" s="4">
        <f t="shared" si="2"/>
        <v>3</v>
      </c>
    </row>
    <row r="1798">
      <c r="A1798" s="5">
        <v>43495.431655092594</v>
      </c>
      <c r="B1798" s="7">
        <f t="shared" si="1"/>
        <v>43495</v>
      </c>
      <c r="C1798" s="33" t="s">
        <v>17</v>
      </c>
      <c r="D1798" s="4" t="s">
        <v>21</v>
      </c>
      <c r="E1798" s="4" t="s">
        <v>21</v>
      </c>
      <c r="F1798" s="4">
        <f t="shared" si="2"/>
        <v>5</v>
      </c>
    </row>
    <row r="1799">
      <c r="A1799" s="5">
        <v>43602.09768518519</v>
      </c>
      <c r="B1799" s="7">
        <f t="shared" si="1"/>
        <v>43602</v>
      </c>
      <c r="C1799" s="33" t="s">
        <v>17</v>
      </c>
      <c r="D1799" s="4" t="s">
        <v>21</v>
      </c>
      <c r="E1799" s="4" t="s">
        <v>21</v>
      </c>
      <c r="F1799" s="4">
        <f t="shared" si="2"/>
        <v>20</v>
      </c>
    </row>
    <row r="1800">
      <c r="A1800" s="5">
        <v>43602.44479166667</v>
      </c>
      <c r="B1800" s="7">
        <f t="shared" si="1"/>
        <v>43602</v>
      </c>
      <c r="C1800" s="33" t="s">
        <v>17</v>
      </c>
      <c r="D1800" s="4" t="s">
        <v>21</v>
      </c>
      <c r="E1800" s="4" t="s">
        <v>21</v>
      </c>
      <c r="F1800" s="4">
        <f t="shared" si="2"/>
        <v>20</v>
      </c>
    </row>
    <row r="1801">
      <c r="A1801" s="5">
        <v>43271.51755787037</v>
      </c>
      <c r="B1801" s="7">
        <f t="shared" si="1"/>
        <v>43271</v>
      </c>
      <c r="C1801" s="33" t="s">
        <v>17</v>
      </c>
      <c r="D1801" s="4" t="s">
        <v>21</v>
      </c>
      <c r="E1801" s="4" t="s">
        <v>21</v>
      </c>
      <c r="F1801" s="4">
        <f t="shared" si="2"/>
        <v>25</v>
      </c>
    </row>
    <row r="1802">
      <c r="A1802" s="5">
        <v>43525.57666666667</v>
      </c>
      <c r="B1802" s="7">
        <f t="shared" si="1"/>
        <v>43525</v>
      </c>
      <c r="C1802" s="33" t="s">
        <v>17</v>
      </c>
      <c r="D1802" s="4" t="s">
        <v>21</v>
      </c>
      <c r="E1802" s="4" t="s">
        <v>21</v>
      </c>
      <c r="F1802" s="4">
        <f t="shared" si="2"/>
        <v>9</v>
      </c>
    </row>
    <row r="1803">
      <c r="A1803" s="5">
        <v>43525.7296875</v>
      </c>
      <c r="B1803" s="7">
        <f t="shared" si="1"/>
        <v>43525</v>
      </c>
      <c r="C1803" s="33" t="s">
        <v>17</v>
      </c>
      <c r="D1803" s="4" t="s">
        <v>21</v>
      </c>
      <c r="E1803" s="4" t="s">
        <v>21</v>
      </c>
      <c r="F1803" s="4">
        <f t="shared" si="2"/>
        <v>9</v>
      </c>
    </row>
    <row r="1804">
      <c r="A1804" s="5">
        <v>43525.75037037037</v>
      </c>
      <c r="B1804" s="7">
        <f t="shared" si="1"/>
        <v>43525</v>
      </c>
      <c r="C1804" s="33" t="s">
        <v>17</v>
      </c>
      <c r="D1804" s="4" t="s">
        <v>21</v>
      </c>
      <c r="E1804" s="4" t="s">
        <v>21</v>
      </c>
      <c r="F1804" s="4">
        <f t="shared" si="2"/>
        <v>9</v>
      </c>
    </row>
    <row r="1805">
      <c r="A1805" s="5">
        <v>43501.3615162037</v>
      </c>
      <c r="B1805" s="7">
        <f t="shared" si="1"/>
        <v>43501</v>
      </c>
      <c r="C1805" s="33" t="s">
        <v>17</v>
      </c>
      <c r="D1805" s="4" t="s">
        <v>21</v>
      </c>
      <c r="E1805" s="4" t="s">
        <v>23</v>
      </c>
      <c r="F1805" s="4">
        <f t="shared" si="2"/>
        <v>6</v>
      </c>
    </row>
    <row r="1806">
      <c r="A1806" s="5">
        <v>43494.33354166667</v>
      </c>
      <c r="B1806" s="7">
        <f t="shared" si="1"/>
        <v>43494</v>
      </c>
      <c r="C1806" s="33" t="s">
        <v>17</v>
      </c>
      <c r="D1806" s="4" t="s">
        <v>21</v>
      </c>
      <c r="E1806" s="4" t="s">
        <v>21</v>
      </c>
      <c r="F1806" s="4">
        <f t="shared" si="2"/>
        <v>5</v>
      </c>
    </row>
    <row r="1807">
      <c r="A1807" s="5">
        <v>43574.92017361111</v>
      </c>
      <c r="B1807" s="7">
        <f t="shared" si="1"/>
        <v>43574</v>
      </c>
      <c r="C1807" s="33" t="s">
        <v>17</v>
      </c>
      <c r="D1807" s="4" t="s">
        <v>21</v>
      </c>
      <c r="E1807" s="4" t="s">
        <v>21</v>
      </c>
      <c r="F1807" s="4">
        <f t="shared" si="2"/>
        <v>16</v>
      </c>
    </row>
    <row r="1808">
      <c r="A1808" s="5">
        <v>43437.55479166667</v>
      </c>
      <c r="B1808" s="7">
        <f t="shared" si="1"/>
        <v>43437</v>
      </c>
      <c r="C1808" s="33" t="s">
        <v>17</v>
      </c>
      <c r="D1808" s="4" t="s">
        <v>21</v>
      </c>
      <c r="E1808" s="4" t="s">
        <v>21</v>
      </c>
      <c r="F1808" s="4">
        <f t="shared" si="2"/>
        <v>49</v>
      </c>
    </row>
    <row r="1809">
      <c r="A1809" s="5">
        <v>43446.55800925926</v>
      </c>
      <c r="B1809" s="7">
        <f t="shared" si="1"/>
        <v>43446</v>
      </c>
      <c r="C1809" s="33" t="s">
        <v>17</v>
      </c>
      <c r="D1809" s="4" t="s">
        <v>21</v>
      </c>
      <c r="E1809" s="4" t="s">
        <v>21</v>
      </c>
      <c r="F1809" s="4">
        <f t="shared" si="2"/>
        <v>50</v>
      </c>
    </row>
    <row r="1810">
      <c r="A1810" s="5">
        <v>43453.54525462963</v>
      </c>
      <c r="B1810" s="7">
        <f t="shared" si="1"/>
        <v>43453</v>
      </c>
      <c r="C1810" s="33" t="s">
        <v>17</v>
      </c>
      <c r="D1810" s="4" t="s">
        <v>21</v>
      </c>
      <c r="E1810" s="4" t="s">
        <v>21</v>
      </c>
      <c r="F1810" s="4">
        <f t="shared" si="2"/>
        <v>51</v>
      </c>
    </row>
    <row r="1811">
      <c r="A1811" s="5">
        <v>43487.46256944445</v>
      </c>
      <c r="B1811" s="7">
        <f t="shared" si="1"/>
        <v>43487</v>
      </c>
      <c r="C1811" s="33" t="s">
        <v>17</v>
      </c>
      <c r="D1811" s="4" t="s">
        <v>21</v>
      </c>
      <c r="E1811" s="4" t="s">
        <v>21</v>
      </c>
      <c r="F1811" s="4">
        <f t="shared" si="2"/>
        <v>4</v>
      </c>
    </row>
    <row r="1812">
      <c r="A1812" s="5">
        <v>43490.98105324074</v>
      </c>
      <c r="B1812" s="7">
        <f t="shared" si="1"/>
        <v>43490</v>
      </c>
      <c r="C1812" s="33" t="s">
        <v>17</v>
      </c>
      <c r="D1812" s="4" t="s">
        <v>21</v>
      </c>
      <c r="E1812" s="4" t="s">
        <v>21</v>
      </c>
      <c r="F1812" s="4">
        <f t="shared" si="2"/>
        <v>4</v>
      </c>
    </row>
    <row r="1813">
      <c r="A1813" s="5">
        <v>43496.611967592595</v>
      </c>
      <c r="B1813" s="7">
        <f t="shared" si="1"/>
        <v>43496</v>
      </c>
      <c r="C1813" s="33" t="s">
        <v>17</v>
      </c>
      <c r="D1813" s="4" t="s">
        <v>21</v>
      </c>
      <c r="E1813" s="4" t="s">
        <v>21</v>
      </c>
      <c r="F1813" s="4">
        <f t="shared" si="2"/>
        <v>5</v>
      </c>
    </row>
    <row r="1814">
      <c r="A1814" s="5">
        <v>43502.91143518518</v>
      </c>
      <c r="B1814" s="7">
        <f t="shared" si="1"/>
        <v>43502</v>
      </c>
      <c r="C1814" s="33" t="s">
        <v>17</v>
      </c>
      <c r="D1814" s="4" t="s">
        <v>21</v>
      </c>
      <c r="E1814" s="4" t="s">
        <v>23</v>
      </c>
      <c r="F1814" s="4">
        <f t="shared" si="2"/>
        <v>6</v>
      </c>
    </row>
    <row r="1815">
      <c r="A1815" s="5">
        <v>43504.013194444444</v>
      </c>
      <c r="B1815" s="7">
        <f t="shared" si="1"/>
        <v>43504</v>
      </c>
      <c r="C1815" s="33" t="s">
        <v>17</v>
      </c>
      <c r="D1815" s="4" t="s">
        <v>21</v>
      </c>
      <c r="E1815" s="4" t="s">
        <v>23</v>
      </c>
      <c r="F1815" s="4">
        <f t="shared" si="2"/>
        <v>6</v>
      </c>
    </row>
    <row r="1816">
      <c r="A1816" s="5">
        <v>43518.75603009259</v>
      </c>
      <c r="B1816" s="7">
        <f t="shared" si="1"/>
        <v>43518</v>
      </c>
      <c r="C1816" s="33" t="s">
        <v>17</v>
      </c>
      <c r="D1816" s="4" t="s">
        <v>21</v>
      </c>
      <c r="E1816" s="4" t="s">
        <v>21</v>
      </c>
      <c r="F1816" s="4">
        <f t="shared" si="2"/>
        <v>8</v>
      </c>
    </row>
    <row r="1817">
      <c r="A1817" s="5">
        <v>43536.809479166666</v>
      </c>
      <c r="B1817" s="7">
        <f t="shared" si="1"/>
        <v>43536</v>
      </c>
      <c r="C1817" s="33" t="s">
        <v>17</v>
      </c>
      <c r="D1817" s="4" t="s">
        <v>21</v>
      </c>
      <c r="E1817" s="4" t="s">
        <v>21</v>
      </c>
      <c r="F1817" s="4">
        <f t="shared" si="2"/>
        <v>11</v>
      </c>
    </row>
    <row r="1818">
      <c r="A1818" s="5">
        <v>43551.49224537037</v>
      </c>
      <c r="B1818" s="7">
        <f t="shared" si="1"/>
        <v>43551</v>
      </c>
      <c r="C1818" s="33" t="s">
        <v>17</v>
      </c>
      <c r="D1818" s="4" t="s">
        <v>21</v>
      </c>
      <c r="E1818" s="4" t="s">
        <v>21</v>
      </c>
      <c r="F1818" s="4">
        <f t="shared" si="2"/>
        <v>13</v>
      </c>
    </row>
    <row r="1819">
      <c r="A1819" s="5">
        <v>43553.37875</v>
      </c>
      <c r="B1819" s="7">
        <f t="shared" si="1"/>
        <v>43553</v>
      </c>
      <c r="C1819" s="33" t="s">
        <v>17</v>
      </c>
      <c r="D1819" s="4" t="s">
        <v>21</v>
      </c>
      <c r="E1819" s="4" t="s">
        <v>21</v>
      </c>
      <c r="F1819" s="4">
        <f t="shared" si="2"/>
        <v>13</v>
      </c>
    </row>
    <row r="1820">
      <c r="A1820" s="5">
        <v>43557.28251157407</v>
      </c>
      <c r="B1820" s="7">
        <f t="shared" si="1"/>
        <v>43557</v>
      </c>
      <c r="C1820" s="33" t="s">
        <v>17</v>
      </c>
      <c r="D1820" s="4" t="s">
        <v>21</v>
      </c>
      <c r="E1820" s="4" t="s">
        <v>21</v>
      </c>
      <c r="F1820" s="4">
        <f t="shared" si="2"/>
        <v>14</v>
      </c>
    </row>
    <row r="1821">
      <c r="A1821" s="5">
        <v>43591.82670138889</v>
      </c>
      <c r="B1821" s="7">
        <f t="shared" si="1"/>
        <v>43591</v>
      </c>
      <c r="C1821" s="33" t="s">
        <v>17</v>
      </c>
      <c r="D1821" s="4" t="s">
        <v>21</v>
      </c>
      <c r="E1821" s="4" t="s">
        <v>21</v>
      </c>
      <c r="F1821" s="4">
        <f t="shared" si="2"/>
        <v>19</v>
      </c>
    </row>
    <row r="1822">
      <c r="A1822" s="5">
        <v>43602.17228009259</v>
      </c>
      <c r="B1822" s="7">
        <f t="shared" si="1"/>
        <v>43602</v>
      </c>
      <c r="C1822" s="33" t="s">
        <v>17</v>
      </c>
      <c r="D1822" s="4" t="s">
        <v>21</v>
      </c>
      <c r="E1822" s="4" t="s">
        <v>21</v>
      </c>
      <c r="F1822" s="4">
        <f t="shared" si="2"/>
        <v>20</v>
      </c>
    </row>
    <row r="1823">
      <c r="A1823" s="5">
        <v>43602.447291666664</v>
      </c>
      <c r="B1823" s="7">
        <f t="shared" si="1"/>
        <v>43602</v>
      </c>
      <c r="C1823" s="33" t="s">
        <v>17</v>
      </c>
      <c r="D1823" s="4" t="s">
        <v>21</v>
      </c>
      <c r="E1823" s="4" t="s">
        <v>21</v>
      </c>
      <c r="F1823" s="4">
        <f t="shared" si="2"/>
        <v>20</v>
      </c>
    </row>
    <row r="1824">
      <c r="A1824" s="5">
        <v>43644.67414351852</v>
      </c>
      <c r="B1824" s="7">
        <f t="shared" si="1"/>
        <v>43644</v>
      </c>
      <c r="C1824" s="33" t="s">
        <v>17</v>
      </c>
      <c r="D1824" s="4" t="s">
        <v>21</v>
      </c>
      <c r="E1824" s="4" t="s">
        <v>21</v>
      </c>
      <c r="F1824" s="4">
        <f t="shared" si="2"/>
        <v>26</v>
      </c>
    </row>
    <row r="1825">
      <c r="A1825" s="5">
        <v>43425.742164351854</v>
      </c>
      <c r="B1825" s="7">
        <f t="shared" si="1"/>
        <v>43425</v>
      </c>
      <c r="C1825" s="33" t="s">
        <v>17</v>
      </c>
      <c r="D1825" s="4" t="s">
        <v>21</v>
      </c>
      <c r="E1825" s="4" t="s">
        <v>21</v>
      </c>
      <c r="F1825" s="4">
        <f t="shared" si="2"/>
        <v>47</v>
      </c>
    </row>
    <row r="1826">
      <c r="A1826" s="5">
        <v>43364.315104166664</v>
      </c>
      <c r="B1826" s="7">
        <f t="shared" si="1"/>
        <v>43364</v>
      </c>
      <c r="C1826" s="33" t="s">
        <v>17</v>
      </c>
      <c r="D1826" s="4" t="s">
        <v>21</v>
      </c>
      <c r="E1826" s="4" t="s">
        <v>21</v>
      </c>
      <c r="F1826" s="4">
        <f t="shared" si="2"/>
        <v>38</v>
      </c>
    </row>
    <row r="1827">
      <c r="A1827" s="5">
        <v>43504.389398148145</v>
      </c>
      <c r="B1827" s="7">
        <f t="shared" si="1"/>
        <v>43504</v>
      </c>
      <c r="C1827" s="33" t="s">
        <v>17</v>
      </c>
      <c r="D1827" s="4" t="s">
        <v>21</v>
      </c>
      <c r="E1827" s="4" t="s">
        <v>23</v>
      </c>
      <c r="F1827" s="4">
        <f t="shared" si="2"/>
        <v>6</v>
      </c>
    </row>
    <row r="1828">
      <c r="A1828" s="5">
        <v>43560.46619212963</v>
      </c>
      <c r="B1828" s="7">
        <f t="shared" si="1"/>
        <v>43560</v>
      </c>
      <c r="C1828" s="33" t="s">
        <v>17</v>
      </c>
      <c r="D1828" s="4" t="s">
        <v>21</v>
      </c>
      <c r="E1828" s="4" t="s">
        <v>21</v>
      </c>
      <c r="F1828" s="4">
        <f t="shared" si="2"/>
        <v>14</v>
      </c>
    </row>
    <row r="1829">
      <c r="A1829" s="5">
        <v>43521.354467592595</v>
      </c>
      <c r="B1829" s="7">
        <f t="shared" si="1"/>
        <v>43521</v>
      </c>
      <c r="C1829" s="33" t="s">
        <v>17</v>
      </c>
      <c r="D1829" s="4" t="s">
        <v>21</v>
      </c>
      <c r="E1829" s="4" t="s">
        <v>21</v>
      </c>
      <c r="F1829" s="4">
        <f t="shared" si="2"/>
        <v>9</v>
      </c>
    </row>
    <row r="1830">
      <c r="A1830" s="5">
        <v>43551.243310185186</v>
      </c>
      <c r="B1830" s="7">
        <f t="shared" si="1"/>
        <v>43551</v>
      </c>
      <c r="C1830" s="33" t="s">
        <v>17</v>
      </c>
      <c r="D1830" s="4" t="s">
        <v>21</v>
      </c>
      <c r="E1830" s="4" t="s">
        <v>21</v>
      </c>
      <c r="F1830" s="4">
        <f t="shared" si="2"/>
        <v>13</v>
      </c>
    </row>
    <row r="1831">
      <c r="A1831" s="5">
        <v>43621.71295138889</v>
      </c>
      <c r="B1831" s="7">
        <f t="shared" si="1"/>
        <v>43621</v>
      </c>
      <c r="C1831" s="33" t="s">
        <v>17</v>
      </c>
      <c r="D1831" s="4" t="s">
        <v>21</v>
      </c>
      <c r="E1831" s="4" t="s">
        <v>21</v>
      </c>
      <c r="F1831" s="4">
        <f t="shared" si="2"/>
        <v>23</v>
      </c>
    </row>
    <row r="1832">
      <c r="A1832" s="5">
        <v>43474.74165509259</v>
      </c>
      <c r="B1832" s="7">
        <f t="shared" si="1"/>
        <v>43474</v>
      </c>
      <c r="C1832" s="33" t="s">
        <v>17</v>
      </c>
      <c r="D1832" s="4" t="s">
        <v>21</v>
      </c>
      <c r="E1832" s="4" t="s">
        <v>21</v>
      </c>
      <c r="F1832" s="4">
        <f t="shared" si="2"/>
        <v>2</v>
      </c>
    </row>
    <row r="1833">
      <c r="A1833" s="5">
        <v>43542.34060185185</v>
      </c>
      <c r="B1833" s="7">
        <f t="shared" si="1"/>
        <v>43542</v>
      </c>
      <c r="C1833" s="33" t="s">
        <v>17</v>
      </c>
      <c r="D1833" s="4" t="s">
        <v>21</v>
      </c>
      <c r="E1833" s="4" t="s">
        <v>21</v>
      </c>
      <c r="F1833" s="4">
        <f t="shared" si="2"/>
        <v>12</v>
      </c>
    </row>
    <row r="1834">
      <c r="A1834" s="5">
        <v>43620.48783564815</v>
      </c>
      <c r="B1834" s="7">
        <f t="shared" si="1"/>
        <v>43620</v>
      </c>
      <c r="C1834" s="33" t="s">
        <v>17</v>
      </c>
      <c r="D1834" s="4" t="s">
        <v>21</v>
      </c>
      <c r="E1834" s="4" t="s">
        <v>21</v>
      </c>
      <c r="F1834" s="4">
        <f t="shared" si="2"/>
        <v>23</v>
      </c>
    </row>
    <row r="1835">
      <c r="A1835" s="5">
        <v>43495.464907407404</v>
      </c>
      <c r="B1835" s="7">
        <f t="shared" si="1"/>
        <v>43495</v>
      </c>
      <c r="C1835" s="33" t="s">
        <v>17</v>
      </c>
      <c r="D1835" s="4" t="s">
        <v>21</v>
      </c>
      <c r="E1835" s="4" t="s">
        <v>21</v>
      </c>
      <c r="F1835" s="4">
        <f t="shared" si="2"/>
        <v>5</v>
      </c>
    </row>
    <row r="1836">
      <c r="A1836" s="5">
        <v>43490.73674768519</v>
      </c>
      <c r="B1836" s="7">
        <f t="shared" si="1"/>
        <v>43490</v>
      </c>
      <c r="C1836" s="33" t="s">
        <v>17</v>
      </c>
      <c r="D1836" s="4" t="s">
        <v>21</v>
      </c>
      <c r="E1836" s="4" t="s">
        <v>21</v>
      </c>
      <c r="F1836" s="4">
        <f t="shared" si="2"/>
        <v>4</v>
      </c>
    </row>
    <row r="1837">
      <c r="A1837" s="5">
        <v>43545.875289351854</v>
      </c>
      <c r="B1837" s="7">
        <f t="shared" si="1"/>
        <v>43545</v>
      </c>
      <c r="C1837" s="33" t="s">
        <v>17</v>
      </c>
      <c r="D1837" s="4" t="s">
        <v>21</v>
      </c>
      <c r="E1837" s="4" t="s">
        <v>21</v>
      </c>
      <c r="F1837" s="4">
        <f t="shared" si="2"/>
        <v>12</v>
      </c>
    </row>
    <row r="1838">
      <c r="A1838" s="5">
        <v>43608.38141203704</v>
      </c>
      <c r="B1838" s="7">
        <f t="shared" si="1"/>
        <v>43608</v>
      </c>
      <c r="C1838" s="33" t="s">
        <v>17</v>
      </c>
      <c r="D1838" s="4" t="s">
        <v>21</v>
      </c>
      <c r="E1838" s="4" t="s">
        <v>21</v>
      </c>
      <c r="F1838" s="4">
        <f t="shared" si="2"/>
        <v>21</v>
      </c>
    </row>
    <row r="1839">
      <c r="A1839" s="5">
        <v>43543.28700231481</v>
      </c>
      <c r="B1839" s="7">
        <f t="shared" si="1"/>
        <v>43543</v>
      </c>
      <c r="C1839" s="33" t="s">
        <v>17</v>
      </c>
      <c r="D1839" s="4" t="s">
        <v>21</v>
      </c>
      <c r="E1839" s="4" t="s">
        <v>21</v>
      </c>
      <c r="F1839" s="4">
        <f t="shared" si="2"/>
        <v>12</v>
      </c>
    </row>
    <row r="1840">
      <c r="A1840" s="5">
        <v>43489.89246527778</v>
      </c>
      <c r="B1840" s="7">
        <f t="shared" si="1"/>
        <v>43489</v>
      </c>
      <c r="C1840" s="33" t="s">
        <v>17</v>
      </c>
      <c r="D1840" s="4" t="s">
        <v>21</v>
      </c>
      <c r="E1840" s="4" t="s">
        <v>21</v>
      </c>
      <c r="F1840" s="4">
        <f t="shared" si="2"/>
        <v>4</v>
      </c>
    </row>
    <row r="1841">
      <c r="A1841" s="5">
        <v>43556.76641203704</v>
      </c>
      <c r="B1841" s="7">
        <f t="shared" si="1"/>
        <v>43556</v>
      </c>
      <c r="C1841" s="33" t="s">
        <v>17</v>
      </c>
      <c r="D1841" s="4" t="s">
        <v>21</v>
      </c>
      <c r="E1841" s="4" t="s">
        <v>21</v>
      </c>
      <c r="F1841" s="4">
        <f t="shared" si="2"/>
        <v>14</v>
      </c>
    </row>
    <row r="1842">
      <c r="A1842" s="5">
        <v>43577.428564814814</v>
      </c>
      <c r="B1842" s="7">
        <f t="shared" si="1"/>
        <v>43577</v>
      </c>
      <c r="C1842" s="33" t="s">
        <v>17</v>
      </c>
      <c r="D1842" s="4" t="s">
        <v>21</v>
      </c>
      <c r="E1842" s="4" t="s">
        <v>21</v>
      </c>
      <c r="F1842" s="4">
        <f t="shared" si="2"/>
        <v>17</v>
      </c>
    </row>
    <row r="1843">
      <c r="A1843" s="5">
        <v>43628.5165162037</v>
      </c>
      <c r="B1843" s="7">
        <f t="shared" si="1"/>
        <v>43628</v>
      </c>
      <c r="C1843" s="33" t="s">
        <v>17</v>
      </c>
      <c r="D1843" s="4" t="s">
        <v>21</v>
      </c>
      <c r="E1843" s="4" t="s">
        <v>21</v>
      </c>
      <c r="F1843" s="4">
        <f t="shared" si="2"/>
        <v>24</v>
      </c>
    </row>
    <row r="1844">
      <c r="A1844" s="5">
        <v>43395.318715277775</v>
      </c>
      <c r="B1844" s="7">
        <f t="shared" si="1"/>
        <v>43395</v>
      </c>
      <c r="C1844" s="33" t="s">
        <v>17</v>
      </c>
      <c r="D1844" s="4" t="s">
        <v>21</v>
      </c>
      <c r="E1844" s="4" t="s">
        <v>21</v>
      </c>
      <c r="F1844" s="4">
        <f t="shared" si="2"/>
        <v>43</v>
      </c>
    </row>
    <row r="1845">
      <c r="A1845" s="5">
        <v>43467.42134259259</v>
      </c>
      <c r="B1845" s="7">
        <f t="shared" si="1"/>
        <v>43467</v>
      </c>
      <c r="C1845" s="33" t="s">
        <v>17</v>
      </c>
      <c r="D1845" s="4" t="s">
        <v>23</v>
      </c>
      <c r="E1845" s="4" t="s">
        <v>21</v>
      </c>
      <c r="F1845" s="4">
        <f t="shared" si="2"/>
        <v>1</v>
      </c>
    </row>
    <row r="1846">
      <c r="A1846" s="5">
        <v>43489.28078703704</v>
      </c>
      <c r="B1846" s="7">
        <f t="shared" si="1"/>
        <v>43489</v>
      </c>
      <c r="C1846" s="33" t="s">
        <v>17</v>
      </c>
      <c r="D1846" s="4" t="s">
        <v>21</v>
      </c>
      <c r="E1846" s="4" t="s">
        <v>21</v>
      </c>
      <c r="F1846" s="4">
        <f t="shared" si="2"/>
        <v>4</v>
      </c>
    </row>
    <row r="1847">
      <c r="A1847" s="5">
        <v>43531.46921296296</v>
      </c>
      <c r="B1847" s="7">
        <f t="shared" si="1"/>
        <v>43531</v>
      </c>
      <c r="C1847" s="33" t="s">
        <v>17</v>
      </c>
      <c r="D1847" s="4" t="s">
        <v>21</v>
      </c>
      <c r="E1847" s="4" t="s">
        <v>21</v>
      </c>
      <c r="F1847" s="4">
        <f t="shared" si="2"/>
        <v>10</v>
      </c>
    </row>
    <row r="1848">
      <c r="A1848" s="5">
        <v>43531.47258101852</v>
      </c>
      <c r="B1848" s="7">
        <f t="shared" si="1"/>
        <v>43531</v>
      </c>
      <c r="C1848" s="33" t="s">
        <v>17</v>
      </c>
      <c r="D1848" s="4" t="s">
        <v>21</v>
      </c>
      <c r="E1848" s="4" t="s">
        <v>21</v>
      </c>
      <c r="F1848" s="4">
        <f t="shared" si="2"/>
        <v>10</v>
      </c>
    </row>
    <row r="1849">
      <c r="A1849" s="5">
        <v>43539.39011574074</v>
      </c>
      <c r="B1849" s="7">
        <f t="shared" si="1"/>
        <v>43539</v>
      </c>
      <c r="C1849" s="33" t="s">
        <v>17</v>
      </c>
      <c r="D1849" s="4" t="s">
        <v>21</v>
      </c>
      <c r="E1849" s="4" t="s">
        <v>21</v>
      </c>
      <c r="F1849" s="4">
        <f t="shared" si="2"/>
        <v>11</v>
      </c>
    </row>
    <row r="1850">
      <c r="A1850" s="5">
        <v>43565.45365740741</v>
      </c>
      <c r="B1850" s="7">
        <f t="shared" si="1"/>
        <v>43565</v>
      </c>
      <c r="C1850" s="33" t="s">
        <v>17</v>
      </c>
      <c r="D1850" s="4" t="s">
        <v>21</v>
      </c>
      <c r="E1850" s="4" t="s">
        <v>21</v>
      </c>
      <c r="F1850" s="4">
        <f t="shared" si="2"/>
        <v>15</v>
      </c>
    </row>
    <row r="1851">
      <c r="A1851" s="5">
        <v>43578.44106481481</v>
      </c>
      <c r="B1851" s="7">
        <f t="shared" si="1"/>
        <v>43578</v>
      </c>
      <c r="C1851" s="33" t="s">
        <v>17</v>
      </c>
      <c r="D1851" s="4" t="s">
        <v>21</v>
      </c>
      <c r="E1851" s="4" t="s">
        <v>21</v>
      </c>
      <c r="F1851" s="4">
        <f t="shared" si="2"/>
        <v>17</v>
      </c>
    </row>
    <row r="1852">
      <c r="A1852" s="5">
        <v>43581.305983796294</v>
      </c>
      <c r="B1852" s="7">
        <f t="shared" si="1"/>
        <v>43581</v>
      </c>
      <c r="C1852" s="33" t="s">
        <v>17</v>
      </c>
      <c r="D1852" s="4" t="s">
        <v>21</v>
      </c>
      <c r="E1852" s="4" t="s">
        <v>21</v>
      </c>
      <c r="F1852" s="4">
        <f t="shared" si="2"/>
        <v>17</v>
      </c>
    </row>
    <row r="1853">
      <c r="A1853" s="5">
        <v>43601.33925925926</v>
      </c>
      <c r="B1853" s="7">
        <f t="shared" si="1"/>
        <v>43601</v>
      </c>
      <c r="C1853" s="33" t="s">
        <v>17</v>
      </c>
      <c r="D1853" s="4" t="s">
        <v>21</v>
      </c>
      <c r="E1853" s="4" t="s">
        <v>21</v>
      </c>
      <c r="F1853" s="4">
        <f t="shared" si="2"/>
        <v>20</v>
      </c>
    </row>
    <row r="1854">
      <c r="A1854" s="5">
        <v>43602.475810185184</v>
      </c>
      <c r="B1854" s="7">
        <f t="shared" si="1"/>
        <v>43602</v>
      </c>
      <c r="C1854" s="33" t="s">
        <v>17</v>
      </c>
      <c r="D1854" s="4" t="s">
        <v>21</v>
      </c>
      <c r="E1854" s="4" t="s">
        <v>21</v>
      </c>
      <c r="F1854" s="4">
        <f t="shared" si="2"/>
        <v>20</v>
      </c>
    </row>
    <row r="1855">
      <c r="A1855" s="5">
        <v>43608.47268518519</v>
      </c>
      <c r="B1855" s="7">
        <f t="shared" si="1"/>
        <v>43608</v>
      </c>
      <c r="C1855" s="33" t="s">
        <v>17</v>
      </c>
      <c r="D1855" s="4" t="s">
        <v>21</v>
      </c>
      <c r="E1855" s="4" t="s">
        <v>21</v>
      </c>
      <c r="F1855" s="4">
        <f t="shared" si="2"/>
        <v>21</v>
      </c>
    </row>
    <row r="1856">
      <c r="A1856" s="5">
        <v>43620.45274305555</v>
      </c>
      <c r="B1856" s="7">
        <f t="shared" si="1"/>
        <v>43620</v>
      </c>
      <c r="C1856" s="33" t="s">
        <v>17</v>
      </c>
      <c r="D1856" s="4" t="s">
        <v>21</v>
      </c>
      <c r="E1856" s="4" t="s">
        <v>21</v>
      </c>
      <c r="F1856" s="4">
        <f t="shared" si="2"/>
        <v>23</v>
      </c>
    </row>
    <row r="1857">
      <c r="A1857" s="5">
        <v>43640.522569444445</v>
      </c>
      <c r="B1857" s="7">
        <f t="shared" si="1"/>
        <v>43640</v>
      </c>
      <c r="C1857" s="33" t="s">
        <v>17</v>
      </c>
      <c r="D1857" s="4" t="s">
        <v>21</v>
      </c>
      <c r="E1857" s="4" t="s">
        <v>21</v>
      </c>
      <c r="F1857" s="4">
        <f t="shared" si="2"/>
        <v>26</v>
      </c>
    </row>
    <row r="1858">
      <c r="A1858" s="5">
        <v>43489.00997685185</v>
      </c>
      <c r="B1858" s="7">
        <f t="shared" si="1"/>
        <v>43489</v>
      </c>
      <c r="C1858" s="33" t="s">
        <v>17</v>
      </c>
      <c r="D1858" s="4" t="s">
        <v>21</v>
      </c>
      <c r="E1858" s="4" t="s">
        <v>21</v>
      </c>
      <c r="F1858" s="4">
        <f t="shared" si="2"/>
        <v>4</v>
      </c>
    </row>
    <row r="1859">
      <c r="A1859" s="5">
        <v>43524.525555555556</v>
      </c>
      <c r="B1859" s="7">
        <f t="shared" si="1"/>
        <v>43524</v>
      </c>
      <c r="C1859" s="33" t="s">
        <v>17</v>
      </c>
      <c r="D1859" s="4" t="s">
        <v>21</v>
      </c>
      <c r="E1859" s="4" t="s">
        <v>21</v>
      </c>
      <c r="F1859" s="4">
        <f t="shared" si="2"/>
        <v>9</v>
      </c>
    </row>
    <row r="1860">
      <c r="A1860" s="5">
        <v>43529.516493055555</v>
      </c>
      <c r="B1860" s="7">
        <f t="shared" si="1"/>
        <v>43529</v>
      </c>
      <c r="C1860" s="33" t="s">
        <v>17</v>
      </c>
      <c r="D1860" s="4" t="s">
        <v>21</v>
      </c>
      <c r="E1860" s="4" t="s">
        <v>21</v>
      </c>
      <c r="F1860" s="4">
        <f t="shared" si="2"/>
        <v>10</v>
      </c>
    </row>
    <row r="1861">
      <c r="A1861" s="5">
        <v>43514.64519675926</v>
      </c>
      <c r="B1861" s="7">
        <f t="shared" si="1"/>
        <v>43514</v>
      </c>
      <c r="C1861" s="33" t="s">
        <v>17</v>
      </c>
      <c r="D1861" s="4" t="s">
        <v>21</v>
      </c>
      <c r="E1861" s="4" t="s">
        <v>21</v>
      </c>
      <c r="F1861" s="4">
        <f t="shared" si="2"/>
        <v>8</v>
      </c>
    </row>
    <row r="1862">
      <c r="A1862" s="5">
        <v>43514.645462962966</v>
      </c>
      <c r="B1862" s="7">
        <f t="shared" si="1"/>
        <v>43514</v>
      </c>
      <c r="C1862" s="33" t="s">
        <v>17</v>
      </c>
      <c r="D1862" s="4" t="s">
        <v>21</v>
      </c>
      <c r="E1862" s="4" t="s">
        <v>21</v>
      </c>
      <c r="F1862" s="4">
        <f t="shared" si="2"/>
        <v>8</v>
      </c>
    </row>
    <row r="1863">
      <c r="A1863" s="5">
        <v>43514.64569444444</v>
      </c>
      <c r="B1863" s="7">
        <f t="shared" si="1"/>
        <v>43514</v>
      </c>
      <c r="C1863" s="33" t="s">
        <v>17</v>
      </c>
      <c r="D1863" s="4" t="s">
        <v>21</v>
      </c>
      <c r="E1863" s="4" t="s">
        <v>21</v>
      </c>
      <c r="F1863" s="4">
        <f t="shared" si="2"/>
        <v>8</v>
      </c>
    </row>
    <row r="1864">
      <c r="A1864" s="5">
        <v>43595.60710648148</v>
      </c>
      <c r="B1864" s="7">
        <f t="shared" si="1"/>
        <v>43595</v>
      </c>
      <c r="C1864" s="33" t="s">
        <v>17</v>
      </c>
      <c r="D1864" s="4" t="s">
        <v>21</v>
      </c>
      <c r="E1864" s="4" t="s">
        <v>21</v>
      </c>
      <c r="F1864" s="4">
        <f t="shared" si="2"/>
        <v>19</v>
      </c>
    </row>
    <row r="1865">
      <c r="A1865" s="5">
        <v>43424.37563657408</v>
      </c>
      <c r="B1865" s="7">
        <f t="shared" si="1"/>
        <v>43424</v>
      </c>
      <c r="C1865" s="33" t="s">
        <v>17</v>
      </c>
      <c r="D1865" s="4" t="s">
        <v>21</v>
      </c>
      <c r="E1865" s="4" t="s">
        <v>21</v>
      </c>
      <c r="F1865" s="4">
        <f t="shared" si="2"/>
        <v>47</v>
      </c>
    </row>
    <row r="1866">
      <c r="A1866" s="5">
        <v>43448.625127314815</v>
      </c>
      <c r="B1866" s="7">
        <f t="shared" si="1"/>
        <v>43448</v>
      </c>
      <c r="C1866" s="33" t="s">
        <v>17</v>
      </c>
      <c r="D1866" s="4" t="s">
        <v>21</v>
      </c>
      <c r="E1866" s="4" t="s">
        <v>21</v>
      </c>
      <c r="F1866" s="4">
        <f t="shared" si="2"/>
        <v>50</v>
      </c>
    </row>
    <row r="1867">
      <c r="A1867" s="5">
        <v>43480.54194444444</v>
      </c>
      <c r="B1867" s="7">
        <f t="shared" si="1"/>
        <v>43480</v>
      </c>
      <c r="C1867" s="33" t="s">
        <v>17</v>
      </c>
      <c r="D1867" s="4" t="s">
        <v>21</v>
      </c>
      <c r="E1867" s="4" t="s">
        <v>21</v>
      </c>
      <c r="F1867" s="4">
        <f t="shared" si="2"/>
        <v>3</v>
      </c>
    </row>
    <row r="1868">
      <c r="A1868" s="5">
        <v>43560.19337962963</v>
      </c>
      <c r="B1868" s="7">
        <f t="shared" si="1"/>
        <v>43560</v>
      </c>
      <c r="C1868" s="33" t="s">
        <v>17</v>
      </c>
      <c r="D1868" s="4" t="s">
        <v>21</v>
      </c>
      <c r="E1868" s="4" t="s">
        <v>21</v>
      </c>
      <c r="F1868" s="4">
        <f t="shared" si="2"/>
        <v>14</v>
      </c>
    </row>
    <row r="1869">
      <c r="A1869" s="5">
        <v>43342.63538194444</v>
      </c>
      <c r="B1869" s="7">
        <f t="shared" si="1"/>
        <v>43342</v>
      </c>
      <c r="C1869" s="33" t="s">
        <v>17</v>
      </c>
      <c r="D1869" s="4" t="s">
        <v>21</v>
      </c>
      <c r="E1869" s="4" t="s">
        <v>21</v>
      </c>
      <c r="F1869" s="4">
        <f t="shared" si="2"/>
        <v>35</v>
      </c>
    </row>
    <row r="1870">
      <c r="A1870" s="5">
        <v>43518.054756944446</v>
      </c>
      <c r="B1870" s="7">
        <f t="shared" si="1"/>
        <v>43518</v>
      </c>
      <c r="C1870" s="33" t="s">
        <v>17</v>
      </c>
      <c r="D1870" s="4" t="s">
        <v>21</v>
      </c>
      <c r="E1870" s="4" t="s">
        <v>21</v>
      </c>
      <c r="F1870" s="4">
        <f t="shared" si="2"/>
        <v>8</v>
      </c>
    </row>
    <row r="1871">
      <c r="A1871" s="5">
        <v>43509.32164351852</v>
      </c>
      <c r="B1871" s="7">
        <f t="shared" si="1"/>
        <v>43509</v>
      </c>
      <c r="C1871" s="33" t="s">
        <v>17</v>
      </c>
      <c r="D1871" s="4" t="s">
        <v>21</v>
      </c>
      <c r="E1871" s="4" t="s">
        <v>21</v>
      </c>
      <c r="F1871" s="4">
        <f t="shared" si="2"/>
        <v>7</v>
      </c>
    </row>
    <row r="1872">
      <c r="A1872" s="5">
        <v>43539.94293981481</v>
      </c>
      <c r="B1872" s="7">
        <f t="shared" si="1"/>
        <v>43539</v>
      </c>
      <c r="C1872" s="33" t="s">
        <v>17</v>
      </c>
      <c r="D1872" s="4" t="s">
        <v>21</v>
      </c>
      <c r="E1872" s="4" t="s">
        <v>21</v>
      </c>
      <c r="F1872" s="4">
        <f t="shared" si="2"/>
        <v>11</v>
      </c>
    </row>
    <row r="1873">
      <c r="A1873" s="5">
        <v>43476.44480324074</v>
      </c>
      <c r="B1873" s="7">
        <f t="shared" si="1"/>
        <v>43476</v>
      </c>
      <c r="C1873" s="33" t="s">
        <v>17</v>
      </c>
      <c r="D1873" s="4" t="s">
        <v>21</v>
      </c>
      <c r="E1873" s="4" t="s">
        <v>21</v>
      </c>
      <c r="F1873" s="4">
        <f t="shared" si="2"/>
        <v>2</v>
      </c>
    </row>
    <row r="1874">
      <c r="A1874" s="5">
        <v>43523.397731481484</v>
      </c>
      <c r="B1874" s="7">
        <f t="shared" si="1"/>
        <v>43523</v>
      </c>
      <c r="C1874" s="33" t="s">
        <v>17</v>
      </c>
      <c r="D1874" s="4" t="s">
        <v>21</v>
      </c>
      <c r="E1874" s="4" t="s">
        <v>21</v>
      </c>
      <c r="F1874" s="4">
        <f t="shared" si="2"/>
        <v>9</v>
      </c>
    </row>
    <row r="1875">
      <c r="A1875" s="5">
        <v>43472.67387731482</v>
      </c>
      <c r="B1875" s="7">
        <f t="shared" si="1"/>
        <v>43472</v>
      </c>
      <c r="C1875" s="33" t="s">
        <v>17</v>
      </c>
      <c r="D1875" s="4" t="s">
        <v>21</v>
      </c>
      <c r="E1875" s="4" t="s">
        <v>21</v>
      </c>
      <c r="F1875" s="4">
        <f t="shared" si="2"/>
        <v>2</v>
      </c>
    </row>
    <row r="1876">
      <c r="A1876" s="5">
        <v>43500.57915509259</v>
      </c>
      <c r="B1876" s="7">
        <f t="shared" si="1"/>
        <v>43500</v>
      </c>
      <c r="C1876" s="33" t="s">
        <v>17</v>
      </c>
      <c r="D1876" s="4" t="s">
        <v>21</v>
      </c>
      <c r="E1876" s="4" t="s">
        <v>23</v>
      </c>
      <c r="F1876" s="4">
        <f t="shared" si="2"/>
        <v>6</v>
      </c>
    </row>
    <row r="1877">
      <c r="A1877" s="5">
        <v>43544.56296296296</v>
      </c>
      <c r="B1877" s="7">
        <f t="shared" si="1"/>
        <v>43544</v>
      </c>
      <c r="C1877" s="33" t="s">
        <v>17</v>
      </c>
      <c r="D1877" s="4" t="s">
        <v>21</v>
      </c>
      <c r="E1877" s="4" t="s">
        <v>21</v>
      </c>
      <c r="F1877" s="4">
        <f t="shared" si="2"/>
        <v>12</v>
      </c>
    </row>
    <row r="1878">
      <c r="A1878" s="5">
        <v>43556.347766203704</v>
      </c>
      <c r="B1878" s="7">
        <f t="shared" si="1"/>
        <v>43556</v>
      </c>
      <c r="C1878" s="33" t="s">
        <v>17</v>
      </c>
      <c r="D1878" s="4" t="s">
        <v>21</v>
      </c>
      <c r="E1878" s="4" t="s">
        <v>21</v>
      </c>
      <c r="F1878" s="4">
        <f t="shared" si="2"/>
        <v>14</v>
      </c>
    </row>
    <row r="1879">
      <c r="A1879" s="5">
        <v>43557.67390046296</v>
      </c>
      <c r="B1879" s="7">
        <f t="shared" si="1"/>
        <v>43557</v>
      </c>
      <c r="C1879" s="33" t="s">
        <v>17</v>
      </c>
      <c r="D1879" s="4" t="s">
        <v>21</v>
      </c>
      <c r="E1879" s="4" t="s">
        <v>21</v>
      </c>
      <c r="F1879" s="4">
        <f t="shared" si="2"/>
        <v>14</v>
      </c>
    </row>
    <row r="1880">
      <c r="A1880" s="5">
        <v>43570.868425925924</v>
      </c>
      <c r="B1880" s="7">
        <f t="shared" si="1"/>
        <v>43570</v>
      </c>
      <c r="C1880" s="33" t="s">
        <v>17</v>
      </c>
      <c r="D1880" s="4" t="s">
        <v>21</v>
      </c>
      <c r="E1880" s="4" t="s">
        <v>21</v>
      </c>
      <c r="F1880" s="4">
        <f t="shared" si="2"/>
        <v>16</v>
      </c>
    </row>
    <row r="1881">
      <c r="A1881" s="5">
        <v>43454.40181712963</v>
      </c>
      <c r="B1881" s="7">
        <f t="shared" si="1"/>
        <v>43454</v>
      </c>
      <c r="C1881" s="33" t="s">
        <v>17</v>
      </c>
      <c r="D1881" s="4" t="s">
        <v>21</v>
      </c>
      <c r="E1881" s="4" t="s">
        <v>21</v>
      </c>
      <c r="F1881" s="4">
        <f t="shared" si="2"/>
        <v>51</v>
      </c>
    </row>
    <row r="1882">
      <c r="A1882" s="5">
        <v>43602.47583333333</v>
      </c>
      <c r="B1882" s="7">
        <f t="shared" si="1"/>
        <v>43602</v>
      </c>
      <c r="C1882" s="33" t="s">
        <v>17</v>
      </c>
      <c r="D1882" s="4" t="s">
        <v>21</v>
      </c>
      <c r="E1882" s="4" t="s">
        <v>21</v>
      </c>
      <c r="F1882" s="4">
        <f t="shared" si="2"/>
        <v>20</v>
      </c>
    </row>
    <row r="1883">
      <c r="A1883" s="5">
        <v>43602.47589120371</v>
      </c>
      <c r="B1883" s="7">
        <f t="shared" si="1"/>
        <v>43602</v>
      </c>
      <c r="C1883" s="33" t="s">
        <v>17</v>
      </c>
      <c r="D1883" s="4" t="s">
        <v>21</v>
      </c>
      <c r="E1883" s="4" t="s">
        <v>21</v>
      </c>
      <c r="F1883" s="4">
        <f t="shared" si="2"/>
        <v>20</v>
      </c>
    </row>
    <row r="1884">
      <c r="A1884" s="5">
        <v>43313.967256944445</v>
      </c>
      <c r="B1884" s="7">
        <f t="shared" si="1"/>
        <v>43313</v>
      </c>
      <c r="C1884" s="33" t="s">
        <v>17</v>
      </c>
      <c r="D1884" s="4" t="s">
        <v>21</v>
      </c>
      <c r="E1884" s="4" t="s">
        <v>21</v>
      </c>
      <c r="F1884" s="4">
        <f t="shared" si="2"/>
        <v>31</v>
      </c>
    </row>
    <row r="1885">
      <c r="A1885" s="5">
        <v>43314.45210648148</v>
      </c>
      <c r="B1885" s="7">
        <f t="shared" si="1"/>
        <v>43314</v>
      </c>
      <c r="C1885" s="33" t="s">
        <v>17</v>
      </c>
      <c r="D1885" s="4" t="s">
        <v>21</v>
      </c>
      <c r="E1885" s="4" t="s">
        <v>21</v>
      </c>
      <c r="F1885" s="4">
        <f t="shared" si="2"/>
        <v>31</v>
      </c>
    </row>
    <row r="1886">
      <c r="A1886" s="5">
        <v>43642.87556712963</v>
      </c>
      <c r="B1886" s="7">
        <f t="shared" si="1"/>
        <v>43642</v>
      </c>
      <c r="C1886" s="33" t="s">
        <v>17</v>
      </c>
      <c r="D1886" s="4" t="s">
        <v>21</v>
      </c>
      <c r="E1886" s="4" t="s">
        <v>21</v>
      </c>
      <c r="F1886" s="4">
        <f t="shared" si="2"/>
        <v>26</v>
      </c>
    </row>
    <row r="1887">
      <c r="A1887" s="5">
        <v>43424.67502314815</v>
      </c>
      <c r="B1887" s="7">
        <f t="shared" si="1"/>
        <v>43424</v>
      </c>
      <c r="C1887" s="33" t="s">
        <v>17</v>
      </c>
      <c r="D1887" s="4" t="s">
        <v>21</v>
      </c>
      <c r="E1887" s="4" t="s">
        <v>21</v>
      </c>
      <c r="F1887" s="4">
        <f t="shared" si="2"/>
        <v>47</v>
      </c>
    </row>
    <row r="1888">
      <c r="A1888" s="5">
        <v>43425.40226851852</v>
      </c>
      <c r="B1888" s="7">
        <f t="shared" si="1"/>
        <v>43425</v>
      </c>
      <c r="C1888" s="33" t="s">
        <v>17</v>
      </c>
      <c r="D1888" s="4" t="s">
        <v>21</v>
      </c>
      <c r="E1888" s="4" t="s">
        <v>21</v>
      </c>
      <c r="F1888" s="4">
        <f t="shared" si="2"/>
        <v>47</v>
      </c>
    </row>
    <row r="1889">
      <c r="A1889" s="5">
        <v>43522.51296296297</v>
      </c>
      <c r="B1889" s="7">
        <f t="shared" si="1"/>
        <v>43522</v>
      </c>
      <c r="C1889" s="33" t="s">
        <v>17</v>
      </c>
      <c r="D1889" s="4" t="s">
        <v>21</v>
      </c>
      <c r="E1889" s="4" t="s">
        <v>21</v>
      </c>
      <c r="F1889" s="4">
        <f t="shared" si="2"/>
        <v>9</v>
      </c>
    </row>
    <row r="1890">
      <c r="A1890" s="5">
        <v>43577.85768518518</v>
      </c>
      <c r="B1890" s="7">
        <f t="shared" si="1"/>
        <v>43577</v>
      </c>
      <c r="C1890" s="33" t="s">
        <v>17</v>
      </c>
      <c r="D1890" s="4" t="s">
        <v>21</v>
      </c>
      <c r="E1890" s="4" t="s">
        <v>21</v>
      </c>
      <c r="F1890" s="4">
        <f t="shared" si="2"/>
        <v>17</v>
      </c>
    </row>
    <row r="1891">
      <c r="A1891" s="5">
        <v>43607.257581018515</v>
      </c>
      <c r="B1891" s="7">
        <f t="shared" si="1"/>
        <v>43607</v>
      </c>
      <c r="C1891" s="33" t="s">
        <v>17</v>
      </c>
      <c r="D1891" s="4" t="s">
        <v>21</v>
      </c>
      <c r="E1891" s="4" t="s">
        <v>21</v>
      </c>
      <c r="F1891" s="4">
        <f t="shared" si="2"/>
        <v>21</v>
      </c>
    </row>
    <row r="1892">
      <c r="A1892" s="5">
        <v>43616.246296296296</v>
      </c>
      <c r="B1892" s="7">
        <f t="shared" si="1"/>
        <v>43616</v>
      </c>
      <c r="C1892" s="33" t="s">
        <v>17</v>
      </c>
      <c r="D1892" s="4" t="s">
        <v>21</v>
      </c>
      <c r="E1892" s="4" t="s">
        <v>21</v>
      </c>
      <c r="F1892" s="4">
        <f t="shared" si="2"/>
        <v>22</v>
      </c>
    </row>
    <row r="1893">
      <c r="A1893" s="5">
        <v>43341.747141203705</v>
      </c>
      <c r="B1893" s="7">
        <f t="shared" si="1"/>
        <v>43341</v>
      </c>
      <c r="C1893" s="33" t="s">
        <v>17</v>
      </c>
      <c r="D1893" s="4" t="s">
        <v>21</v>
      </c>
      <c r="E1893" s="4" t="s">
        <v>21</v>
      </c>
      <c r="F1893" s="4">
        <f t="shared" si="2"/>
        <v>35</v>
      </c>
    </row>
    <row r="1894">
      <c r="A1894" s="5">
        <v>43399.41762731481</v>
      </c>
      <c r="B1894" s="7">
        <f t="shared" si="1"/>
        <v>43399</v>
      </c>
      <c r="C1894" s="33" t="s">
        <v>17</v>
      </c>
      <c r="D1894" s="4" t="s">
        <v>21</v>
      </c>
      <c r="E1894" s="4" t="s">
        <v>21</v>
      </c>
      <c r="F1894" s="4">
        <f t="shared" si="2"/>
        <v>43</v>
      </c>
    </row>
    <row r="1895">
      <c r="A1895" s="5">
        <v>43399.417962962965</v>
      </c>
      <c r="B1895" s="7">
        <f t="shared" si="1"/>
        <v>43399</v>
      </c>
      <c r="C1895" s="33" t="s">
        <v>17</v>
      </c>
      <c r="D1895" s="4" t="s">
        <v>21</v>
      </c>
      <c r="E1895" s="4" t="s">
        <v>21</v>
      </c>
      <c r="F1895" s="4">
        <f t="shared" si="2"/>
        <v>43</v>
      </c>
    </row>
    <row r="1896">
      <c r="A1896" s="5">
        <v>43399.47986111111</v>
      </c>
      <c r="B1896" s="7">
        <f t="shared" si="1"/>
        <v>43399</v>
      </c>
      <c r="C1896" s="33" t="s">
        <v>17</v>
      </c>
      <c r="D1896" s="4" t="s">
        <v>21</v>
      </c>
      <c r="E1896" s="4" t="s">
        <v>21</v>
      </c>
      <c r="F1896" s="4">
        <f t="shared" si="2"/>
        <v>43</v>
      </c>
    </row>
    <row r="1897">
      <c r="A1897" s="5">
        <v>43399.50761574074</v>
      </c>
      <c r="B1897" s="7">
        <f t="shared" si="1"/>
        <v>43399</v>
      </c>
      <c r="C1897" s="33" t="s">
        <v>17</v>
      </c>
      <c r="D1897" s="4" t="s">
        <v>21</v>
      </c>
      <c r="E1897" s="4" t="s">
        <v>21</v>
      </c>
      <c r="F1897" s="4">
        <f t="shared" si="2"/>
        <v>43</v>
      </c>
    </row>
    <row r="1898">
      <c r="A1898" s="5">
        <v>43399.51457175926</v>
      </c>
      <c r="B1898" s="7">
        <f t="shared" si="1"/>
        <v>43399</v>
      </c>
      <c r="C1898" s="33" t="s">
        <v>17</v>
      </c>
      <c r="D1898" s="4" t="s">
        <v>21</v>
      </c>
      <c r="E1898" s="4" t="s">
        <v>21</v>
      </c>
      <c r="F1898" s="4">
        <f t="shared" si="2"/>
        <v>43</v>
      </c>
    </row>
    <row r="1899">
      <c r="A1899" s="5">
        <v>43447.60135416667</v>
      </c>
      <c r="B1899" s="7">
        <f t="shared" si="1"/>
        <v>43447</v>
      </c>
      <c r="C1899" s="33" t="s">
        <v>17</v>
      </c>
      <c r="D1899" s="4" t="s">
        <v>21</v>
      </c>
      <c r="E1899" s="4" t="s">
        <v>21</v>
      </c>
      <c r="F1899" s="4">
        <f t="shared" si="2"/>
        <v>50</v>
      </c>
    </row>
    <row r="1900">
      <c r="A1900" s="5">
        <v>43497.21417824074</v>
      </c>
      <c r="B1900" s="7">
        <f t="shared" si="1"/>
        <v>43497</v>
      </c>
      <c r="C1900" s="33" t="s">
        <v>17</v>
      </c>
      <c r="D1900" s="4" t="s">
        <v>21</v>
      </c>
      <c r="E1900" s="4" t="s">
        <v>21</v>
      </c>
      <c r="F1900" s="4">
        <f t="shared" si="2"/>
        <v>5</v>
      </c>
    </row>
    <row r="1901">
      <c r="A1901" s="5">
        <v>43508.10108796296</v>
      </c>
      <c r="B1901" s="7">
        <f t="shared" si="1"/>
        <v>43508</v>
      </c>
      <c r="C1901" s="33" t="s">
        <v>17</v>
      </c>
      <c r="D1901" s="4" t="s">
        <v>21</v>
      </c>
      <c r="E1901" s="4" t="s">
        <v>21</v>
      </c>
      <c r="F1901" s="4">
        <f t="shared" si="2"/>
        <v>7</v>
      </c>
    </row>
    <row r="1902">
      <c r="A1902" s="5">
        <v>43536.56996527778</v>
      </c>
      <c r="B1902" s="7">
        <f t="shared" si="1"/>
        <v>43536</v>
      </c>
      <c r="C1902" s="33" t="s">
        <v>17</v>
      </c>
      <c r="D1902" s="4" t="s">
        <v>21</v>
      </c>
      <c r="E1902" s="4" t="s">
        <v>21</v>
      </c>
      <c r="F1902" s="4">
        <f t="shared" si="2"/>
        <v>11</v>
      </c>
    </row>
    <row r="1903">
      <c r="A1903" s="5">
        <v>43544.278078703705</v>
      </c>
      <c r="B1903" s="7">
        <f t="shared" si="1"/>
        <v>43544</v>
      </c>
      <c r="C1903" s="33" t="s">
        <v>17</v>
      </c>
      <c r="D1903" s="4" t="s">
        <v>21</v>
      </c>
      <c r="E1903" s="4" t="s">
        <v>21</v>
      </c>
      <c r="F1903" s="4">
        <f t="shared" si="2"/>
        <v>12</v>
      </c>
    </row>
    <row r="1904">
      <c r="A1904" s="5">
        <v>43544.34071759259</v>
      </c>
      <c r="B1904" s="7">
        <f t="shared" si="1"/>
        <v>43544</v>
      </c>
      <c r="C1904" s="33" t="s">
        <v>17</v>
      </c>
      <c r="D1904" s="4" t="s">
        <v>21</v>
      </c>
      <c r="E1904" s="4" t="s">
        <v>21</v>
      </c>
      <c r="F1904" s="4">
        <f t="shared" si="2"/>
        <v>12</v>
      </c>
    </row>
    <row r="1905">
      <c r="A1905" s="5">
        <v>43544.35487268519</v>
      </c>
      <c r="B1905" s="7">
        <f t="shared" si="1"/>
        <v>43544</v>
      </c>
      <c r="C1905" s="33" t="s">
        <v>17</v>
      </c>
      <c r="D1905" s="4" t="s">
        <v>21</v>
      </c>
      <c r="E1905" s="4" t="s">
        <v>21</v>
      </c>
      <c r="F1905" s="4">
        <f t="shared" si="2"/>
        <v>12</v>
      </c>
    </row>
    <row r="1906">
      <c r="A1906" s="5">
        <v>43559.444710648146</v>
      </c>
      <c r="B1906" s="7">
        <f t="shared" si="1"/>
        <v>43559</v>
      </c>
      <c r="C1906" s="33" t="s">
        <v>17</v>
      </c>
      <c r="D1906" s="4" t="s">
        <v>21</v>
      </c>
      <c r="E1906" s="4" t="s">
        <v>21</v>
      </c>
      <c r="F1906" s="4">
        <f t="shared" si="2"/>
        <v>14</v>
      </c>
    </row>
    <row r="1907">
      <c r="A1907" s="5">
        <v>43594.570381944446</v>
      </c>
      <c r="B1907" s="7">
        <f t="shared" si="1"/>
        <v>43594</v>
      </c>
      <c r="C1907" s="33" t="s">
        <v>17</v>
      </c>
      <c r="D1907" s="4" t="s">
        <v>21</v>
      </c>
      <c r="E1907" s="4" t="s">
        <v>21</v>
      </c>
      <c r="F1907" s="4">
        <f t="shared" si="2"/>
        <v>19</v>
      </c>
    </row>
    <row r="1908">
      <c r="A1908" s="5">
        <v>43594.60505787037</v>
      </c>
      <c r="B1908" s="7">
        <f t="shared" si="1"/>
        <v>43594</v>
      </c>
      <c r="C1908" s="33" t="s">
        <v>17</v>
      </c>
      <c r="D1908" s="4" t="s">
        <v>21</v>
      </c>
      <c r="E1908" s="4" t="s">
        <v>21</v>
      </c>
      <c r="F1908" s="4">
        <f t="shared" si="2"/>
        <v>19</v>
      </c>
    </row>
    <row r="1909">
      <c r="A1909" s="5">
        <v>43614.255381944444</v>
      </c>
      <c r="B1909" s="7">
        <f t="shared" si="1"/>
        <v>43614</v>
      </c>
      <c r="C1909" s="33" t="s">
        <v>17</v>
      </c>
      <c r="D1909" s="4" t="s">
        <v>21</v>
      </c>
      <c r="E1909" s="4" t="s">
        <v>21</v>
      </c>
      <c r="F1909" s="4">
        <f t="shared" si="2"/>
        <v>22</v>
      </c>
    </row>
    <row r="1910">
      <c r="A1910" s="5">
        <v>43424.537094907406</v>
      </c>
      <c r="B1910" s="7">
        <f t="shared" si="1"/>
        <v>43424</v>
      </c>
      <c r="C1910" s="33" t="s">
        <v>17</v>
      </c>
      <c r="D1910" s="4" t="s">
        <v>21</v>
      </c>
      <c r="E1910" s="4" t="s">
        <v>21</v>
      </c>
      <c r="F1910" s="4">
        <f t="shared" si="2"/>
        <v>47</v>
      </c>
    </row>
    <row r="1911">
      <c r="A1911" s="5">
        <v>43602.47586805555</v>
      </c>
      <c r="B1911" s="7">
        <f t="shared" si="1"/>
        <v>43602</v>
      </c>
      <c r="C1911" s="33" t="s">
        <v>17</v>
      </c>
      <c r="D1911" s="4" t="s">
        <v>21</v>
      </c>
      <c r="E1911" s="4" t="s">
        <v>21</v>
      </c>
      <c r="F1911" s="4">
        <f t="shared" si="2"/>
        <v>20</v>
      </c>
    </row>
    <row r="1912">
      <c r="A1912" s="5">
        <v>43602.47592592592</v>
      </c>
      <c r="B1912" s="7">
        <f t="shared" si="1"/>
        <v>43602</v>
      </c>
      <c r="C1912" s="33" t="s">
        <v>17</v>
      </c>
      <c r="D1912" s="4" t="s">
        <v>21</v>
      </c>
      <c r="E1912" s="4" t="s">
        <v>21</v>
      </c>
      <c r="F1912" s="4">
        <f t="shared" si="2"/>
        <v>20</v>
      </c>
    </row>
    <row r="1913">
      <c r="A1913" s="5">
        <v>43536.89880787037</v>
      </c>
      <c r="B1913" s="7">
        <f t="shared" si="1"/>
        <v>43536</v>
      </c>
      <c r="C1913" s="33" t="s">
        <v>17</v>
      </c>
      <c r="D1913" s="4" t="s">
        <v>21</v>
      </c>
      <c r="E1913" s="4" t="s">
        <v>21</v>
      </c>
      <c r="F1913" s="4">
        <f t="shared" si="2"/>
        <v>11</v>
      </c>
    </row>
    <row r="1914">
      <c r="A1914" s="5">
        <v>43521.49133101852</v>
      </c>
      <c r="B1914" s="7">
        <f t="shared" si="1"/>
        <v>43521</v>
      </c>
      <c r="C1914" s="33" t="s">
        <v>17</v>
      </c>
      <c r="D1914" s="4" t="s">
        <v>21</v>
      </c>
      <c r="E1914" s="4" t="s">
        <v>21</v>
      </c>
      <c r="F1914" s="4">
        <f t="shared" si="2"/>
        <v>9</v>
      </c>
    </row>
    <row r="1915">
      <c r="A1915" s="5">
        <v>43369.516875</v>
      </c>
      <c r="B1915" s="7">
        <f t="shared" si="1"/>
        <v>43369</v>
      </c>
      <c r="C1915" s="33" t="s">
        <v>17</v>
      </c>
      <c r="D1915" s="4" t="s">
        <v>21</v>
      </c>
      <c r="E1915" s="4" t="s">
        <v>21</v>
      </c>
      <c r="F1915" s="4">
        <f t="shared" si="2"/>
        <v>39</v>
      </c>
    </row>
    <row r="1916">
      <c r="A1916" s="5">
        <v>43487.29237268519</v>
      </c>
      <c r="B1916" s="7">
        <f t="shared" si="1"/>
        <v>43487</v>
      </c>
      <c r="C1916" s="33" t="s">
        <v>17</v>
      </c>
      <c r="D1916" s="4" t="s">
        <v>21</v>
      </c>
      <c r="E1916" s="4" t="s">
        <v>21</v>
      </c>
      <c r="F1916" s="4">
        <f t="shared" si="2"/>
        <v>4</v>
      </c>
    </row>
    <row r="1917">
      <c r="A1917" s="5">
        <v>43509.32094907408</v>
      </c>
      <c r="B1917" s="7">
        <f t="shared" si="1"/>
        <v>43509</v>
      </c>
      <c r="C1917" s="33" t="s">
        <v>17</v>
      </c>
      <c r="D1917" s="4" t="s">
        <v>21</v>
      </c>
      <c r="E1917" s="4" t="s">
        <v>21</v>
      </c>
      <c r="F1917" s="4">
        <f t="shared" si="2"/>
        <v>7</v>
      </c>
    </row>
    <row r="1918">
      <c r="A1918" s="5">
        <v>43523.497928240744</v>
      </c>
      <c r="B1918" s="7">
        <f t="shared" si="1"/>
        <v>43523</v>
      </c>
      <c r="C1918" s="33" t="s">
        <v>17</v>
      </c>
      <c r="D1918" s="4" t="s">
        <v>21</v>
      </c>
      <c r="E1918" s="4" t="s">
        <v>21</v>
      </c>
      <c r="F1918" s="4">
        <f t="shared" si="2"/>
        <v>9</v>
      </c>
    </row>
    <row r="1919">
      <c r="A1919" s="5">
        <v>43524.51509259259</v>
      </c>
      <c r="B1919" s="7">
        <f t="shared" si="1"/>
        <v>43524</v>
      </c>
      <c r="C1919" s="33" t="s">
        <v>17</v>
      </c>
      <c r="D1919" s="4" t="s">
        <v>21</v>
      </c>
      <c r="E1919" s="4" t="s">
        <v>21</v>
      </c>
      <c r="F1919" s="4">
        <f t="shared" si="2"/>
        <v>9</v>
      </c>
    </row>
    <row r="1920">
      <c r="A1920" s="5">
        <v>43524.51982638889</v>
      </c>
      <c r="B1920" s="7">
        <f t="shared" si="1"/>
        <v>43524</v>
      </c>
      <c r="C1920" s="33" t="s">
        <v>17</v>
      </c>
      <c r="D1920" s="4" t="s">
        <v>21</v>
      </c>
      <c r="E1920" s="4" t="s">
        <v>21</v>
      </c>
      <c r="F1920" s="4">
        <f t="shared" si="2"/>
        <v>9</v>
      </c>
    </row>
    <row r="1921">
      <c r="A1921" s="5">
        <v>43527.40185185185</v>
      </c>
      <c r="B1921" s="7">
        <f t="shared" si="1"/>
        <v>43527</v>
      </c>
      <c r="C1921" s="33" t="s">
        <v>17</v>
      </c>
      <c r="D1921" s="4" t="s">
        <v>21</v>
      </c>
      <c r="E1921" s="4" t="s">
        <v>21</v>
      </c>
      <c r="F1921" s="4">
        <f t="shared" si="2"/>
        <v>10</v>
      </c>
    </row>
    <row r="1922">
      <c r="A1922" s="5">
        <v>43537.3215625</v>
      </c>
      <c r="B1922" s="7">
        <f t="shared" si="1"/>
        <v>43537</v>
      </c>
      <c r="C1922" s="33" t="s">
        <v>17</v>
      </c>
      <c r="D1922" s="4" t="s">
        <v>21</v>
      </c>
      <c r="E1922" s="4" t="s">
        <v>21</v>
      </c>
      <c r="F1922" s="4">
        <f t="shared" si="2"/>
        <v>11</v>
      </c>
    </row>
    <row r="1923">
      <c r="A1923" s="5">
        <v>43552.54736111111</v>
      </c>
      <c r="B1923" s="7">
        <f t="shared" si="1"/>
        <v>43552</v>
      </c>
      <c r="C1923" s="33" t="s">
        <v>17</v>
      </c>
      <c r="D1923" s="4" t="s">
        <v>21</v>
      </c>
      <c r="E1923" s="4" t="s">
        <v>21</v>
      </c>
      <c r="F1923" s="4">
        <f t="shared" si="2"/>
        <v>13</v>
      </c>
    </row>
    <row r="1924">
      <c r="A1924" s="5">
        <v>43620.45180555555</v>
      </c>
      <c r="B1924" s="7">
        <f t="shared" si="1"/>
        <v>43620</v>
      </c>
      <c r="C1924" s="33" t="s">
        <v>17</v>
      </c>
      <c r="D1924" s="4" t="s">
        <v>21</v>
      </c>
      <c r="E1924" s="4" t="s">
        <v>21</v>
      </c>
      <c r="F1924" s="4">
        <f t="shared" si="2"/>
        <v>23</v>
      </c>
    </row>
    <row r="1925">
      <c r="A1925" s="5">
        <v>43620.454097222224</v>
      </c>
      <c r="B1925" s="7">
        <f t="shared" si="1"/>
        <v>43620</v>
      </c>
      <c r="C1925" s="33" t="s">
        <v>17</v>
      </c>
      <c r="D1925" s="4" t="s">
        <v>21</v>
      </c>
      <c r="E1925" s="4" t="s">
        <v>21</v>
      </c>
      <c r="F1925" s="4">
        <f t="shared" si="2"/>
        <v>23</v>
      </c>
    </row>
    <row r="1926">
      <c r="A1926" s="5">
        <v>43488.41813657407</v>
      </c>
      <c r="B1926" s="7">
        <f t="shared" si="1"/>
        <v>43488</v>
      </c>
      <c r="C1926" s="33" t="s">
        <v>17</v>
      </c>
      <c r="D1926" s="4" t="s">
        <v>21</v>
      </c>
      <c r="E1926" s="4" t="s">
        <v>21</v>
      </c>
      <c r="F1926" s="4">
        <f t="shared" si="2"/>
        <v>4</v>
      </c>
    </row>
    <row r="1927">
      <c r="A1927" s="5">
        <v>43640.78686342593</v>
      </c>
      <c r="B1927" s="7">
        <f t="shared" si="1"/>
        <v>43640</v>
      </c>
      <c r="C1927" s="33" t="s">
        <v>17</v>
      </c>
      <c r="D1927" s="4" t="s">
        <v>21</v>
      </c>
      <c r="E1927" s="4" t="s">
        <v>21</v>
      </c>
      <c r="F1927" s="4">
        <f t="shared" si="2"/>
        <v>26</v>
      </c>
    </row>
    <row r="1928">
      <c r="A1928" s="5">
        <v>43413.48637731482</v>
      </c>
      <c r="B1928" s="7">
        <f t="shared" si="1"/>
        <v>43413</v>
      </c>
      <c r="C1928" s="33" t="s">
        <v>17</v>
      </c>
      <c r="D1928" s="4" t="s">
        <v>21</v>
      </c>
      <c r="E1928" s="4" t="s">
        <v>21</v>
      </c>
      <c r="F1928" s="4">
        <f t="shared" si="2"/>
        <v>45</v>
      </c>
    </row>
    <row r="1929">
      <c r="A1929" s="5">
        <v>43447.58484953704</v>
      </c>
      <c r="B1929" s="7">
        <f t="shared" si="1"/>
        <v>43447</v>
      </c>
      <c r="C1929" s="33" t="s">
        <v>17</v>
      </c>
      <c r="D1929" s="4" t="s">
        <v>21</v>
      </c>
      <c r="E1929" s="4" t="s">
        <v>21</v>
      </c>
      <c r="F1929" s="4">
        <f t="shared" si="2"/>
        <v>50</v>
      </c>
    </row>
    <row r="1930">
      <c r="A1930" s="5">
        <v>43481.50037037037</v>
      </c>
      <c r="B1930" s="7">
        <f t="shared" si="1"/>
        <v>43481</v>
      </c>
      <c r="C1930" s="33" t="s">
        <v>17</v>
      </c>
      <c r="D1930" s="4" t="s">
        <v>21</v>
      </c>
      <c r="E1930" s="4" t="s">
        <v>21</v>
      </c>
      <c r="F1930" s="4">
        <f t="shared" si="2"/>
        <v>3</v>
      </c>
    </row>
    <row r="1931">
      <c r="A1931" s="5">
        <v>43558.61163194444</v>
      </c>
      <c r="B1931" s="7">
        <f t="shared" si="1"/>
        <v>43558</v>
      </c>
      <c r="C1931" s="33" t="s">
        <v>17</v>
      </c>
      <c r="D1931" s="4" t="s">
        <v>21</v>
      </c>
      <c r="E1931" s="4" t="s">
        <v>21</v>
      </c>
      <c r="F1931" s="4">
        <f t="shared" si="2"/>
        <v>14</v>
      </c>
    </row>
    <row r="1932">
      <c r="A1932" s="5">
        <v>43591.67806712963</v>
      </c>
      <c r="B1932" s="7">
        <f t="shared" si="1"/>
        <v>43591</v>
      </c>
      <c r="C1932" s="33" t="s">
        <v>17</v>
      </c>
      <c r="D1932" s="4" t="s">
        <v>21</v>
      </c>
      <c r="E1932" s="4" t="s">
        <v>21</v>
      </c>
      <c r="F1932" s="4">
        <f t="shared" si="2"/>
        <v>19</v>
      </c>
    </row>
    <row r="1933">
      <c r="A1933" s="5">
        <v>43557.25666666667</v>
      </c>
      <c r="B1933" s="7">
        <f t="shared" si="1"/>
        <v>43557</v>
      </c>
      <c r="C1933" s="33" t="s">
        <v>17</v>
      </c>
      <c r="D1933" s="4" t="s">
        <v>21</v>
      </c>
      <c r="E1933" s="4" t="s">
        <v>21</v>
      </c>
      <c r="F1933" s="4">
        <f t="shared" si="2"/>
        <v>14</v>
      </c>
    </row>
    <row r="1934">
      <c r="A1934" s="5">
        <v>43454.33277777778</v>
      </c>
      <c r="B1934" s="7">
        <f t="shared" si="1"/>
        <v>43454</v>
      </c>
      <c r="C1934" s="33" t="s">
        <v>17</v>
      </c>
      <c r="D1934" s="4" t="s">
        <v>21</v>
      </c>
      <c r="E1934" s="4" t="s">
        <v>21</v>
      </c>
      <c r="F1934" s="4">
        <f t="shared" si="2"/>
        <v>51</v>
      </c>
    </row>
    <row r="1935">
      <c r="A1935" s="5">
        <v>43433.42685185185</v>
      </c>
      <c r="B1935" s="7">
        <f t="shared" si="1"/>
        <v>43433</v>
      </c>
      <c r="C1935" s="33" t="s">
        <v>17</v>
      </c>
      <c r="D1935" s="4" t="s">
        <v>21</v>
      </c>
      <c r="E1935" s="4" t="s">
        <v>21</v>
      </c>
      <c r="F1935" s="4">
        <f t="shared" si="2"/>
        <v>48</v>
      </c>
    </row>
    <row r="1936">
      <c r="A1936" s="5">
        <v>43434.60957175926</v>
      </c>
      <c r="B1936" s="7">
        <f t="shared" si="1"/>
        <v>43434</v>
      </c>
      <c r="C1936" s="33" t="s">
        <v>17</v>
      </c>
      <c r="D1936" s="4" t="s">
        <v>21</v>
      </c>
      <c r="E1936" s="4" t="s">
        <v>21</v>
      </c>
      <c r="F1936" s="4">
        <f t="shared" si="2"/>
        <v>48</v>
      </c>
    </row>
    <row r="1937">
      <c r="A1937" s="5">
        <v>43434.66255787037</v>
      </c>
      <c r="B1937" s="7">
        <f t="shared" si="1"/>
        <v>43434</v>
      </c>
      <c r="C1937" s="33" t="s">
        <v>17</v>
      </c>
      <c r="D1937" s="4" t="s">
        <v>21</v>
      </c>
      <c r="E1937" s="4" t="s">
        <v>21</v>
      </c>
      <c r="F1937" s="4">
        <f t="shared" si="2"/>
        <v>48</v>
      </c>
    </row>
    <row r="1938">
      <c r="A1938" s="5">
        <v>43467.528287037036</v>
      </c>
      <c r="B1938" s="7">
        <f t="shared" si="1"/>
        <v>43467</v>
      </c>
      <c r="C1938" s="33" t="s">
        <v>17</v>
      </c>
      <c r="D1938" s="4" t="s">
        <v>23</v>
      </c>
      <c r="E1938" s="4" t="s">
        <v>21</v>
      </c>
      <c r="F1938" s="4">
        <f t="shared" si="2"/>
        <v>1</v>
      </c>
    </row>
    <row r="1939">
      <c r="A1939" s="5">
        <v>43572.641238425924</v>
      </c>
      <c r="B1939" s="7">
        <f t="shared" si="1"/>
        <v>43572</v>
      </c>
      <c r="C1939" s="33" t="s">
        <v>17</v>
      </c>
      <c r="D1939" s="4" t="s">
        <v>21</v>
      </c>
      <c r="E1939" s="4" t="s">
        <v>21</v>
      </c>
      <c r="F1939" s="4">
        <f t="shared" si="2"/>
        <v>16</v>
      </c>
    </row>
    <row r="1940">
      <c r="A1940" s="5">
        <v>43579.63434027778</v>
      </c>
      <c r="B1940" s="7">
        <f t="shared" si="1"/>
        <v>43579</v>
      </c>
      <c r="C1940" s="33" t="s">
        <v>17</v>
      </c>
      <c r="D1940" s="4" t="s">
        <v>21</v>
      </c>
      <c r="E1940" s="4" t="s">
        <v>21</v>
      </c>
      <c r="F1940" s="4">
        <f t="shared" si="2"/>
        <v>17</v>
      </c>
    </row>
    <row r="1941">
      <c r="A1941" s="5">
        <v>43445.293020833335</v>
      </c>
      <c r="B1941" s="7">
        <f t="shared" si="1"/>
        <v>43445</v>
      </c>
      <c r="C1941" s="33" t="s">
        <v>17</v>
      </c>
      <c r="D1941" s="4" t="s">
        <v>21</v>
      </c>
      <c r="E1941" s="4" t="s">
        <v>21</v>
      </c>
      <c r="F1941" s="4">
        <f t="shared" si="2"/>
        <v>50</v>
      </c>
    </row>
    <row r="1942">
      <c r="A1942" s="5">
        <v>43599.37798611111</v>
      </c>
      <c r="B1942" s="7">
        <f t="shared" si="1"/>
        <v>43599</v>
      </c>
      <c r="C1942" s="33" t="s">
        <v>17</v>
      </c>
      <c r="D1942" s="4" t="s">
        <v>21</v>
      </c>
      <c r="E1942" s="4" t="s">
        <v>21</v>
      </c>
      <c r="F1942" s="4">
        <f t="shared" si="2"/>
        <v>20</v>
      </c>
    </row>
    <row r="1943">
      <c r="A1943" s="5">
        <v>43486.53221064815</v>
      </c>
      <c r="B1943" s="7">
        <f t="shared" si="1"/>
        <v>43486</v>
      </c>
      <c r="C1943" s="33" t="s">
        <v>17</v>
      </c>
      <c r="D1943" s="4" t="s">
        <v>21</v>
      </c>
      <c r="E1943" s="4" t="s">
        <v>21</v>
      </c>
      <c r="F1943" s="4">
        <f t="shared" si="2"/>
        <v>4</v>
      </c>
    </row>
    <row r="1944">
      <c r="A1944" s="5">
        <v>43413.44131944444</v>
      </c>
      <c r="B1944" s="7">
        <f t="shared" si="1"/>
        <v>43413</v>
      </c>
      <c r="C1944" s="33" t="s">
        <v>17</v>
      </c>
      <c r="D1944" s="4" t="s">
        <v>21</v>
      </c>
      <c r="E1944" s="4" t="s">
        <v>21</v>
      </c>
      <c r="F1944" s="4">
        <f t="shared" si="2"/>
        <v>45</v>
      </c>
    </row>
    <row r="1945">
      <c r="A1945" s="5">
        <v>43446.33709490741</v>
      </c>
      <c r="B1945" s="7">
        <f t="shared" si="1"/>
        <v>43446</v>
      </c>
      <c r="C1945" s="33" t="s">
        <v>17</v>
      </c>
      <c r="D1945" s="4" t="s">
        <v>21</v>
      </c>
      <c r="E1945" s="4" t="s">
        <v>21</v>
      </c>
      <c r="F1945" s="4">
        <f t="shared" si="2"/>
        <v>50</v>
      </c>
    </row>
    <row r="1946">
      <c r="A1946" s="5">
        <v>43522.443391203706</v>
      </c>
      <c r="B1946" s="7">
        <f t="shared" si="1"/>
        <v>43522</v>
      </c>
      <c r="C1946" s="33" t="s">
        <v>17</v>
      </c>
      <c r="D1946" s="4" t="s">
        <v>21</v>
      </c>
      <c r="E1946" s="4" t="s">
        <v>21</v>
      </c>
      <c r="F1946" s="4">
        <f t="shared" si="2"/>
        <v>9</v>
      </c>
    </row>
    <row r="1947">
      <c r="A1947" s="5">
        <v>43530.66018518519</v>
      </c>
      <c r="B1947" s="7">
        <f t="shared" si="1"/>
        <v>43530</v>
      </c>
      <c r="C1947" s="33" t="s">
        <v>17</v>
      </c>
      <c r="D1947" s="4" t="s">
        <v>21</v>
      </c>
      <c r="E1947" s="4" t="s">
        <v>21</v>
      </c>
      <c r="F1947" s="4">
        <f t="shared" si="2"/>
        <v>10</v>
      </c>
    </row>
    <row r="1948">
      <c r="A1948" s="5">
        <v>43481.67951388889</v>
      </c>
      <c r="B1948" s="7">
        <f t="shared" si="1"/>
        <v>43481</v>
      </c>
      <c r="C1948" s="33" t="s">
        <v>17</v>
      </c>
      <c r="D1948" s="4" t="s">
        <v>21</v>
      </c>
      <c r="E1948" s="4" t="s">
        <v>21</v>
      </c>
      <c r="F1948" s="4">
        <f t="shared" si="2"/>
        <v>3</v>
      </c>
    </row>
    <row r="1949">
      <c r="A1949" s="5">
        <v>43447.601793981485</v>
      </c>
      <c r="B1949" s="7">
        <f t="shared" si="1"/>
        <v>43447</v>
      </c>
      <c r="C1949" s="33" t="s">
        <v>17</v>
      </c>
      <c r="D1949" s="4" t="s">
        <v>21</v>
      </c>
      <c r="E1949" s="4" t="s">
        <v>21</v>
      </c>
      <c r="F1949" s="4">
        <f t="shared" si="2"/>
        <v>50</v>
      </c>
    </row>
    <row r="1950">
      <c r="A1950" s="5">
        <v>43588.493483796294</v>
      </c>
      <c r="B1950" s="7">
        <f t="shared" si="1"/>
        <v>43588</v>
      </c>
      <c r="C1950" s="33" t="s">
        <v>17</v>
      </c>
      <c r="D1950" s="4" t="s">
        <v>21</v>
      </c>
      <c r="E1950" s="4" t="s">
        <v>21</v>
      </c>
      <c r="F1950" s="4">
        <f t="shared" si="2"/>
        <v>18</v>
      </c>
    </row>
    <row r="1951">
      <c r="A1951" s="5">
        <v>43613.30297453704</v>
      </c>
      <c r="B1951" s="7">
        <f t="shared" si="1"/>
        <v>43613</v>
      </c>
      <c r="C1951" s="33" t="s">
        <v>17</v>
      </c>
      <c r="D1951" s="4" t="s">
        <v>21</v>
      </c>
      <c r="E1951" s="4" t="s">
        <v>21</v>
      </c>
      <c r="F1951" s="4">
        <f t="shared" si="2"/>
        <v>22</v>
      </c>
    </row>
    <row r="1952">
      <c r="A1952" s="5">
        <v>43419.46734953704</v>
      </c>
      <c r="B1952" s="7">
        <f t="shared" si="1"/>
        <v>43419</v>
      </c>
      <c r="C1952" s="33" t="s">
        <v>17</v>
      </c>
      <c r="D1952" s="4" t="s">
        <v>21</v>
      </c>
      <c r="E1952" s="4" t="s">
        <v>21</v>
      </c>
      <c r="F1952" s="4">
        <f t="shared" si="2"/>
        <v>46</v>
      </c>
    </row>
    <row r="1953">
      <c r="A1953" s="5">
        <v>43477.736759259256</v>
      </c>
      <c r="B1953" s="7">
        <f t="shared" si="1"/>
        <v>43477</v>
      </c>
      <c r="C1953" s="33" t="s">
        <v>17</v>
      </c>
      <c r="D1953" s="4" t="s">
        <v>21</v>
      </c>
      <c r="E1953" s="4" t="s">
        <v>21</v>
      </c>
      <c r="F1953" s="4">
        <f t="shared" si="2"/>
        <v>2</v>
      </c>
    </row>
    <row r="1954">
      <c r="A1954" s="5">
        <v>43543.76789351852</v>
      </c>
      <c r="B1954" s="7">
        <f t="shared" si="1"/>
        <v>43543</v>
      </c>
      <c r="C1954" s="33" t="s">
        <v>17</v>
      </c>
      <c r="D1954" s="4" t="s">
        <v>21</v>
      </c>
      <c r="E1954" s="4" t="s">
        <v>21</v>
      </c>
      <c r="F1954" s="4">
        <f t="shared" si="2"/>
        <v>12</v>
      </c>
    </row>
    <row r="1955">
      <c r="A1955" s="5">
        <v>43481.11754629629</v>
      </c>
      <c r="B1955" s="7">
        <f t="shared" si="1"/>
        <v>43481</v>
      </c>
      <c r="C1955" s="33" t="s">
        <v>17</v>
      </c>
      <c r="D1955" s="4" t="s">
        <v>21</v>
      </c>
      <c r="E1955" s="4" t="s">
        <v>21</v>
      </c>
      <c r="F1955" s="4">
        <f t="shared" si="2"/>
        <v>3</v>
      </c>
    </row>
    <row r="1956">
      <c r="A1956" s="5">
        <v>43452.62935185185</v>
      </c>
      <c r="B1956" s="7">
        <f t="shared" si="1"/>
        <v>43452</v>
      </c>
      <c r="C1956" s="33" t="s">
        <v>17</v>
      </c>
      <c r="D1956" s="4" t="s">
        <v>21</v>
      </c>
      <c r="E1956" s="4" t="s">
        <v>21</v>
      </c>
      <c r="F1956" s="4">
        <f t="shared" si="2"/>
        <v>51</v>
      </c>
    </row>
    <row r="1957">
      <c r="A1957" s="5">
        <v>43452.67466435185</v>
      </c>
      <c r="B1957" s="7">
        <f t="shared" si="1"/>
        <v>43452</v>
      </c>
      <c r="C1957" s="33" t="s">
        <v>17</v>
      </c>
      <c r="D1957" s="4" t="s">
        <v>21</v>
      </c>
      <c r="E1957" s="4" t="s">
        <v>21</v>
      </c>
      <c r="F1957" s="4">
        <f t="shared" si="2"/>
        <v>51</v>
      </c>
    </row>
    <row r="1958">
      <c r="A1958" s="5">
        <v>43452.67673611111</v>
      </c>
      <c r="B1958" s="7">
        <f t="shared" si="1"/>
        <v>43452</v>
      </c>
      <c r="C1958" s="33" t="s">
        <v>17</v>
      </c>
      <c r="D1958" s="4" t="s">
        <v>21</v>
      </c>
      <c r="E1958" s="4" t="s">
        <v>21</v>
      </c>
      <c r="F1958" s="4">
        <f t="shared" si="2"/>
        <v>51</v>
      </c>
    </row>
    <row r="1959">
      <c r="A1959" s="5">
        <v>43452.68054398148</v>
      </c>
      <c r="B1959" s="7">
        <f t="shared" si="1"/>
        <v>43452</v>
      </c>
      <c r="C1959" s="33" t="s">
        <v>17</v>
      </c>
      <c r="D1959" s="4" t="s">
        <v>21</v>
      </c>
      <c r="E1959" s="4" t="s">
        <v>21</v>
      </c>
      <c r="F1959" s="4">
        <f t="shared" si="2"/>
        <v>51</v>
      </c>
    </row>
    <row r="1960">
      <c r="A1960" s="5">
        <v>43455.719872685186</v>
      </c>
      <c r="B1960" s="7">
        <f t="shared" si="1"/>
        <v>43455</v>
      </c>
      <c r="C1960" s="33" t="s">
        <v>17</v>
      </c>
      <c r="D1960" s="4" t="s">
        <v>21</v>
      </c>
      <c r="E1960" s="4" t="s">
        <v>21</v>
      </c>
      <c r="F1960" s="4">
        <f t="shared" si="2"/>
        <v>51</v>
      </c>
    </row>
    <row r="1961">
      <c r="A1961" s="5">
        <v>43493.52034722222</v>
      </c>
      <c r="B1961" s="7">
        <f t="shared" si="1"/>
        <v>43493</v>
      </c>
      <c r="C1961" s="33" t="s">
        <v>17</v>
      </c>
      <c r="D1961" s="4" t="s">
        <v>21</v>
      </c>
      <c r="E1961" s="4" t="s">
        <v>21</v>
      </c>
      <c r="F1961" s="4">
        <f t="shared" si="2"/>
        <v>5</v>
      </c>
    </row>
    <row r="1962">
      <c r="A1962" s="5">
        <v>43536.48465277778</v>
      </c>
      <c r="B1962" s="7">
        <f t="shared" si="1"/>
        <v>43536</v>
      </c>
      <c r="C1962" s="33" t="s">
        <v>17</v>
      </c>
      <c r="D1962" s="4" t="s">
        <v>21</v>
      </c>
      <c r="E1962" s="4" t="s">
        <v>21</v>
      </c>
      <c r="F1962" s="4">
        <f t="shared" si="2"/>
        <v>11</v>
      </c>
    </row>
    <row r="1963">
      <c r="A1963" s="5">
        <v>43455.34905092593</v>
      </c>
      <c r="B1963" s="7">
        <f t="shared" si="1"/>
        <v>43455</v>
      </c>
      <c r="C1963" s="33" t="s">
        <v>17</v>
      </c>
      <c r="D1963" s="4" t="s">
        <v>21</v>
      </c>
      <c r="E1963" s="4" t="s">
        <v>21</v>
      </c>
      <c r="F1963" s="4">
        <f t="shared" si="2"/>
        <v>51</v>
      </c>
    </row>
    <row r="1964">
      <c r="A1964" s="5">
        <v>43579.67266203704</v>
      </c>
      <c r="B1964" s="7">
        <f t="shared" si="1"/>
        <v>43579</v>
      </c>
      <c r="C1964" s="33" t="s">
        <v>17</v>
      </c>
      <c r="D1964" s="4" t="s">
        <v>21</v>
      </c>
      <c r="E1964" s="4" t="s">
        <v>21</v>
      </c>
      <c r="F1964" s="4">
        <f t="shared" si="2"/>
        <v>17</v>
      </c>
    </row>
    <row r="1965">
      <c r="A1965" s="5">
        <v>43487.438784722224</v>
      </c>
      <c r="B1965" s="7">
        <f t="shared" si="1"/>
        <v>43487</v>
      </c>
      <c r="C1965" s="33" t="s">
        <v>17</v>
      </c>
      <c r="D1965" s="4" t="s">
        <v>21</v>
      </c>
      <c r="E1965" s="4" t="s">
        <v>21</v>
      </c>
      <c r="F1965" s="4">
        <f t="shared" si="2"/>
        <v>4</v>
      </c>
    </row>
    <row r="1966">
      <c r="A1966" s="5">
        <v>43518.49890046296</v>
      </c>
      <c r="B1966" s="7">
        <f t="shared" si="1"/>
        <v>43518</v>
      </c>
      <c r="C1966" s="33" t="s">
        <v>17</v>
      </c>
      <c r="D1966" s="4" t="s">
        <v>21</v>
      </c>
      <c r="E1966" s="4" t="s">
        <v>21</v>
      </c>
      <c r="F1966" s="4">
        <f t="shared" si="2"/>
        <v>8</v>
      </c>
    </row>
    <row r="1967">
      <c r="A1967" s="5">
        <v>43619.53689814815</v>
      </c>
      <c r="B1967" s="7">
        <f t="shared" si="1"/>
        <v>43619</v>
      </c>
      <c r="C1967" s="33" t="s">
        <v>17</v>
      </c>
      <c r="D1967" s="4" t="s">
        <v>21</v>
      </c>
      <c r="E1967" s="4" t="s">
        <v>21</v>
      </c>
      <c r="F1967" s="4">
        <f t="shared" si="2"/>
        <v>23</v>
      </c>
    </row>
    <row r="1968">
      <c r="A1968" s="5">
        <v>43461.321493055555</v>
      </c>
      <c r="B1968" s="7">
        <f t="shared" si="1"/>
        <v>43461</v>
      </c>
      <c r="C1968" s="33" t="s">
        <v>17</v>
      </c>
      <c r="D1968" s="4" t="s">
        <v>23</v>
      </c>
      <c r="E1968" s="4" t="s">
        <v>21</v>
      </c>
      <c r="F1968" s="4">
        <f t="shared" si="2"/>
        <v>52</v>
      </c>
    </row>
    <row r="1969">
      <c r="A1969" s="5">
        <v>43567.633414351854</v>
      </c>
      <c r="B1969" s="7">
        <f t="shared" si="1"/>
        <v>43567</v>
      </c>
      <c r="C1969" s="33" t="s">
        <v>17</v>
      </c>
      <c r="D1969" s="4" t="s">
        <v>21</v>
      </c>
      <c r="E1969" s="4" t="s">
        <v>21</v>
      </c>
      <c r="F1969" s="4">
        <f t="shared" si="2"/>
        <v>15</v>
      </c>
    </row>
    <row r="1970">
      <c r="A1970" s="5">
        <v>43321.23987268518</v>
      </c>
      <c r="B1970" s="7">
        <f t="shared" si="1"/>
        <v>43321</v>
      </c>
      <c r="C1970" s="33" t="s">
        <v>17</v>
      </c>
      <c r="D1970" s="4" t="s">
        <v>21</v>
      </c>
      <c r="E1970" s="4" t="s">
        <v>21</v>
      </c>
      <c r="F1970" s="4">
        <f t="shared" si="2"/>
        <v>32</v>
      </c>
    </row>
    <row r="1971">
      <c r="A1971" s="5">
        <v>43565.471863425926</v>
      </c>
      <c r="B1971" s="7">
        <f t="shared" si="1"/>
        <v>43565</v>
      </c>
      <c r="C1971" s="33" t="s">
        <v>17</v>
      </c>
      <c r="D1971" s="4" t="s">
        <v>21</v>
      </c>
      <c r="E1971" s="4" t="s">
        <v>21</v>
      </c>
      <c r="F1971" s="4">
        <f t="shared" si="2"/>
        <v>15</v>
      </c>
    </row>
    <row r="1972">
      <c r="A1972" s="5">
        <v>43455.33555555555</v>
      </c>
      <c r="B1972" s="7">
        <f t="shared" si="1"/>
        <v>43455</v>
      </c>
      <c r="C1972" s="33" t="s">
        <v>17</v>
      </c>
      <c r="D1972" s="4" t="s">
        <v>21</v>
      </c>
      <c r="E1972" s="4" t="s">
        <v>21</v>
      </c>
      <c r="F1972" s="4">
        <f t="shared" si="2"/>
        <v>51</v>
      </c>
    </row>
    <row r="1973">
      <c r="A1973" s="5">
        <v>43523.287766203706</v>
      </c>
      <c r="B1973" s="7">
        <f t="shared" si="1"/>
        <v>43523</v>
      </c>
      <c r="C1973" s="33" t="s">
        <v>17</v>
      </c>
      <c r="D1973" s="4" t="s">
        <v>21</v>
      </c>
      <c r="E1973" s="4" t="s">
        <v>21</v>
      </c>
      <c r="F1973" s="4">
        <f t="shared" si="2"/>
        <v>9</v>
      </c>
    </row>
    <row r="1974">
      <c r="A1974" s="5">
        <v>43557.49638888889</v>
      </c>
      <c r="B1974" s="7">
        <f t="shared" si="1"/>
        <v>43557</v>
      </c>
      <c r="C1974" s="33" t="s">
        <v>17</v>
      </c>
      <c r="D1974" s="4" t="s">
        <v>21</v>
      </c>
      <c r="E1974" s="4" t="s">
        <v>21</v>
      </c>
      <c r="F1974" s="4">
        <f t="shared" si="2"/>
        <v>14</v>
      </c>
    </row>
    <row r="1975">
      <c r="A1975" s="5">
        <v>43599.14575231481</v>
      </c>
      <c r="B1975" s="7">
        <f t="shared" si="1"/>
        <v>43599</v>
      </c>
      <c r="C1975" s="33" t="s">
        <v>17</v>
      </c>
      <c r="D1975" s="4" t="s">
        <v>21</v>
      </c>
      <c r="E1975" s="4" t="s">
        <v>21</v>
      </c>
      <c r="F1975" s="4">
        <f t="shared" si="2"/>
        <v>20</v>
      </c>
    </row>
    <row r="1976">
      <c r="A1976" s="5">
        <v>43452.69275462963</v>
      </c>
      <c r="B1976" s="7">
        <f t="shared" si="1"/>
        <v>43452</v>
      </c>
      <c r="C1976" s="33" t="s">
        <v>17</v>
      </c>
      <c r="D1976" s="4" t="s">
        <v>21</v>
      </c>
      <c r="E1976" s="4" t="s">
        <v>21</v>
      </c>
      <c r="F1976" s="4">
        <f t="shared" si="2"/>
        <v>51</v>
      </c>
    </row>
    <row r="1977">
      <c r="A1977" s="5">
        <v>43403.55467592592</v>
      </c>
      <c r="B1977" s="7">
        <f t="shared" si="1"/>
        <v>43403</v>
      </c>
      <c r="C1977" s="33" t="s">
        <v>17</v>
      </c>
      <c r="D1977" s="4" t="s">
        <v>21</v>
      </c>
      <c r="E1977" s="4" t="s">
        <v>21</v>
      </c>
      <c r="F1977" s="4">
        <f t="shared" si="2"/>
        <v>44</v>
      </c>
    </row>
    <row r="1978">
      <c r="A1978" s="5">
        <v>43523.346284722225</v>
      </c>
      <c r="B1978" s="7">
        <f t="shared" si="1"/>
        <v>43523</v>
      </c>
      <c r="C1978" s="33" t="s">
        <v>17</v>
      </c>
      <c r="D1978" s="4" t="s">
        <v>21</v>
      </c>
      <c r="E1978" s="4" t="s">
        <v>21</v>
      </c>
      <c r="F1978" s="4">
        <f t="shared" si="2"/>
        <v>9</v>
      </c>
    </row>
    <row r="1979">
      <c r="A1979" s="5">
        <v>43455.619421296295</v>
      </c>
      <c r="B1979" s="7">
        <f t="shared" si="1"/>
        <v>43455</v>
      </c>
      <c r="C1979" s="33" t="s">
        <v>17</v>
      </c>
      <c r="D1979" s="4" t="s">
        <v>21</v>
      </c>
      <c r="E1979" s="4" t="s">
        <v>21</v>
      </c>
      <c r="F1979" s="4">
        <f t="shared" si="2"/>
        <v>51</v>
      </c>
    </row>
    <row r="1980">
      <c r="A1980" s="5">
        <v>43542.28037037037</v>
      </c>
      <c r="B1980" s="7">
        <f t="shared" si="1"/>
        <v>43542</v>
      </c>
      <c r="C1980" s="33" t="s">
        <v>17</v>
      </c>
      <c r="D1980" s="4" t="s">
        <v>21</v>
      </c>
      <c r="E1980" s="4" t="s">
        <v>21</v>
      </c>
      <c r="F1980" s="4">
        <f t="shared" si="2"/>
        <v>12</v>
      </c>
    </row>
    <row r="1981">
      <c r="A1981" s="5">
        <v>43452.62048611111</v>
      </c>
      <c r="B1981" s="7">
        <f t="shared" si="1"/>
        <v>43452</v>
      </c>
      <c r="C1981" s="33" t="s">
        <v>17</v>
      </c>
      <c r="D1981" s="4" t="s">
        <v>21</v>
      </c>
      <c r="E1981" s="4" t="s">
        <v>21</v>
      </c>
      <c r="F1981" s="4">
        <f t="shared" si="2"/>
        <v>51</v>
      </c>
    </row>
    <row r="1982">
      <c r="A1982" s="5">
        <v>43452.62459490741</v>
      </c>
      <c r="B1982" s="7">
        <f t="shared" si="1"/>
        <v>43452</v>
      </c>
      <c r="C1982" s="33" t="s">
        <v>17</v>
      </c>
      <c r="D1982" s="4" t="s">
        <v>21</v>
      </c>
      <c r="E1982" s="4" t="s">
        <v>21</v>
      </c>
      <c r="F1982" s="4">
        <f t="shared" si="2"/>
        <v>51</v>
      </c>
    </row>
    <row r="1983">
      <c r="A1983" s="5">
        <v>43452.62708333333</v>
      </c>
      <c r="B1983" s="7">
        <f t="shared" si="1"/>
        <v>43452</v>
      </c>
      <c r="C1983" s="33" t="s">
        <v>17</v>
      </c>
      <c r="D1983" s="4" t="s">
        <v>21</v>
      </c>
      <c r="E1983" s="4" t="s">
        <v>21</v>
      </c>
      <c r="F1983" s="4">
        <f t="shared" si="2"/>
        <v>51</v>
      </c>
    </row>
    <row r="1984">
      <c r="A1984" s="5">
        <v>43452.631898148145</v>
      </c>
      <c r="B1984" s="7">
        <f t="shared" si="1"/>
        <v>43452</v>
      </c>
      <c r="C1984" s="33" t="s">
        <v>17</v>
      </c>
      <c r="D1984" s="4" t="s">
        <v>21</v>
      </c>
      <c r="E1984" s="4" t="s">
        <v>21</v>
      </c>
      <c r="F1984" s="4">
        <f t="shared" si="2"/>
        <v>51</v>
      </c>
    </row>
    <row r="1985">
      <c r="A1985" s="5">
        <v>43452.67822916667</v>
      </c>
      <c r="B1985" s="7">
        <f t="shared" si="1"/>
        <v>43452</v>
      </c>
      <c r="C1985" s="33" t="s">
        <v>17</v>
      </c>
      <c r="D1985" s="4" t="s">
        <v>21</v>
      </c>
      <c r="E1985" s="4" t="s">
        <v>21</v>
      </c>
      <c r="F1985" s="4">
        <f t="shared" si="2"/>
        <v>51</v>
      </c>
    </row>
    <row r="1986">
      <c r="A1986" s="5">
        <v>43452.681597222225</v>
      </c>
      <c r="B1986" s="7">
        <f t="shared" si="1"/>
        <v>43452</v>
      </c>
      <c r="C1986" s="33" t="s">
        <v>17</v>
      </c>
      <c r="D1986" s="4" t="s">
        <v>21</v>
      </c>
      <c r="E1986" s="4" t="s">
        <v>21</v>
      </c>
      <c r="F1986" s="4">
        <f t="shared" si="2"/>
        <v>51</v>
      </c>
    </row>
    <row r="1987">
      <c r="A1987" s="5">
        <v>43452.68350694444</v>
      </c>
      <c r="B1987" s="7">
        <f t="shared" si="1"/>
        <v>43452</v>
      </c>
      <c r="C1987" s="33" t="s">
        <v>17</v>
      </c>
      <c r="D1987" s="4" t="s">
        <v>21</v>
      </c>
      <c r="E1987" s="4" t="s">
        <v>21</v>
      </c>
      <c r="F1987" s="4">
        <f t="shared" si="2"/>
        <v>51</v>
      </c>
    </row>
    <row r="1988">
      <c r="A1988" s="5">
        <v>43452.68672453704</v>
      </c>
      <c r="B1988" s="7">
        <f t="shared" si="1"/>
        <v>43452</v>
      </c>
      <c r="C1988" s="33" t="s">
        <v>17</v>
      </c>
      <c r="D1988" s="4" t="s">
        <v>21</v>
      </c>
      <c r="E1988" s="4" t="s">
        <v>21</v>
      </c>
      <c r="F1988" s="4">
        <f t="shared" si="2"/>
        <v>51</v>
      </c>
    </row>
    <row r="1989">
      <c r="A1989" s="5">
        <v>43482.29430555556</v>
      </c>
      <c r="B1989" s="7">
        <f t="shared" si="1"/>
        <v>43482</v>
      </c>
      <c r="C1989" s="33" t="s">
        <v>17</v>
      </c>
      <c r="D1989" s="4" t="s">
        <v>21</v>
      </c>
      <c r="E1989" s="4" t="s">
        <v>21</v>
      </c>
      <c r="F1989" s="4">
        <f t="shared" si="2"/>
        <v>3</v>
      </c>
    </row>
    <row r="1990">
      <c r="A1990" s="5">
        <v>43497.13520833333</v>
      </c>
      <c r="B1990" s="7">
        <f t="shared" si="1"/>
        <v>43497</v>
      </c>
      <c r="C1990" s="33" t="s">
        <v>17</v>
      </c>
      <c r="D1990" s="4" t="s">
        <v>21</v>
      </c>
      <c r="E1990" s="4" t="s">
        <v>21</v>
      </c>
      <c r="F1990" s="4">
        <f t="shared" si="2"/>
        <v>5</v>
      </c>
    </row>
    <row r="1991">
      <c r="A1991" s="5">
        <v>43599.14818287037</v>
      </c>
      <c r="B1991" s="7">
        <f t="shared" si="1"/>
        <v>43599</v>
      </c>
      <c r="C1991" s="33" t="s">
        <v>17</v>
      </c>
      <c r="D1991" s="4" t="s">
        <v>21</v>
      </c>
      <c r="E1991" s="4" t="s">
        <v>21</v>
      </c>
      <c r="F1991" s="4">
        <f t="shared" si="2"/>
        <v>20</v>
      </c>
    </row>
    <row r="1992">
      <c r="A1992" s="5">
        <v>43390.50717592592</v>
      </c>
      <c r="B1992" s="7">
        <f t="shared" si="1"/>
        <v>43390</v>
      </c>
      <c r="C1992" s="33" t="s">
        <v>17</v>
      </c>
      <c r="D1992" s="4" t="s">
        <v>21</v>
      </c>
      <c r="E1992" s="4" t="s">
        <v>21</v>
      </c>
      <c r="F1992" s="4">
        <f t="shared" si="2"/>
        <v>42</v>
      </c>
    </row>
    <row r="1993">
      <c r="A1993" s="5">
        <v>43516.75331018519</v>
      </c>
      <c r="B1993" s="7">
        <f t="shared" si="1"/>
        <v>43516</v>
      </c>
      <c r="C1993" s="33" t="s">
        <v>17</v>
      </c>
      <c r="D1993" s="4" t="s">
        <v>21</v>
      </c>
      <c r="E1993" s="4" t="s">
        <v>21</v>
      </c>
      <c r="F1993" s="4">
        <f t="shared" si="2"/>
        <v>8</v>
      </c>
    </row>
    <row r="1994">
      <c r="A1994" s="5">
        <v>43539.60773148148</v>
      </c>
      <c r="B1994" s="7">
        <f t="shared" si="1"/>
        <v>43539</v>
      </c>
      <c r="C1994" s="33" t="s">
        <v>17</v>
      </c>
      <c r="D1994" s="4" t="s">
        <v>21</v>
      </c>
      <c r="E1994" s="4" t="s">
        <v>21</v>
      </c>
      <c r="F1994" s="4">
        <f t="shared" si="2"/>
        <v>11</v>
      </c>
    </row>
    <row r="1995">
      <c r="A1995" s="5">
        <v>43321.77228009259</v>
      </c>
      <c r="B1995" s="7">
        <f t="shared" si="1"/>
        <v>43321</v>
      </c>
      <c r="C1995" s="33" t="s">
        <v>17</v>
      </c>
      <c r="D1995" s="4" t="s">
        <v>21</v>
      </c>
      <c r="E1995" s="4" t="s">
        <v>21</v>
      </c>
      <c r="F1995" s="4">
        <f t="shared" si="2"/>
        <v>32</v>
      </c>
    </row>
    <row r="1996">
      <c r="A1996" s="5">
        <v>43321.774189814816</v>
      </c>
      <c r="B1996" s="7">
        <f t="shared" si="1"/>
        <v>43321</v>
      </c>
      <c r="C1996" s="33" t="s">
        <v>17</v>
      </c>
      <c r="D1996" s="4" t="s">
        <v>21</v>
      </c>
      <c r="E1996" s="4" t="s">
        <v>21</v>
      </c>
      <c r="F1996" s="4">
        <f t="shared" si="2"/>
        <v>32</v>
      </c>
    </row>
    <row r="1997">
      <c r="A1997" s="5">
        <v>43321.77777777778</v>
      </c>
      <c r="B1997" s="7">
        <f t="shared" si="1"/>
        <v>43321</v>
      </c>
      <c r="C1997" s="33" t="s">
        <v>17</v>
      </c>
      <c r="D1997" s="4" t="s">
        <v>21</v>
      </c>
      <c r="E1997" s="4" t="s">
        <v>21</v>
      </c>
      <c r="F1997" s="4">
        <f t="shared" si="2"/>
        <v>32</v>
      </c>
    </row>
    <row r="1998">
      <c r="A1998" s="5">
        <v>43321.85681712963</v>
      </c>
      <c r="B1998" s="7">
        <f t="shared" si="1"/>
        <v>43321</v>
      </c>
      <c r="C1998" s="33" t="s">
        <v>17</v>
      </c>
      <c r="D1998" s="4" t="s">
        <v>21</v>
      </c>
      <c r="E1998" s="4" t="s">
        <v>21</v>
      </c>
      <c r="F1998" s="4">
        <f t="shared" si="2"/>
        <v>32</v>
      </c>
    </row>
    <row r="1999">
      <c r="A1999" s="5">
        <v>43321.86133101852</v>
      </c>
      <c r="B1999" s="7">
        <f t="shared" si="1"/>
        <v>43321</v>
      </c>
      <c r="C1999" s="33" t="s">
        <v>17</v>
      </c>
      <c r="D1999" s="4" t="s">
        <v>21</v>
      </c>
      <c r="E1999" s="4" t="s">
        <v>21</v>
      </c>
      <c r="F1999" s="4">
        <f t="shared" si="2"/>
        <v>32</v>
      </c>
    </row>
    <row r="2000">
      <c r="A2000" s="5">
        <v>43325.75960648148</v>
      </c>
      <c r="B2000" s="7">
        <f t="shared" si="1"/>
        <v>43325</v>
      </c>
      <c r="C2000" s="33" t="s">
        <v>17</v>
      </c>
      <c r="D2000" s="4" t="s">
        <v>21</v>
      </c>
      <c r="E2000" s="4" t="s">
        <v>21</v>
      </c>
      <c r="F2000" s="4">
        <f t="shared" si="2"/>
        <v>33</v>
      </c>
    </row>
    <row r="2001">
      <c r="A2001" s="5">
        <v>43325.7665162037</v>
      </c>
      <c r="B2001" s="7">
        <f t="shared" si="1"/>
        <v>43325</v>
      </c>
      <c r="C2001" s="33" t="s">
        <v>17</v>
      </c>
      <c r="D2001" s="4" t="s">
        <v>21</v>
      </c>
      <c r="E2001" s="4" t="s">
        <v>21</v>
      </c>
      <c r="F2001" s="4">
        <f t="shared" si="2"/>
        <v>33</v>
      </c>
    </row>
    <row r="2002">
      <c r="A2002" s="5">
        <v>43389.37111111111</v>
      </c>
      <c r="B2002" s="7">
        <f t="shared" si="1"/>
        <v>43389</v>
      </c>
      <c r="C2002" s="33" t="s">
        <v>17</v>
      </c>
      <c r="D2002" s="4" t="s">
        <v>21</v>
      </c>
      <c r="E2002" s="4" t="s">
        <v>21</v>
      </c>
      <c r="F2002" s="4">
        <f t="shared" si="2"/>
        <v>42</v>
      </c>
    </row>
    <row r="2003">
      <c r="A2003" s="5">
        <v>43553.45746527778</v>
      </c>
      <c r="B2003" s="7">
        <f t="shared" si="1"/>
        <v>43553</v>
      </c>
      <c r="C2003" s="33" t="s">
        <v>17</v>
      </c>
      <c r="D2003" s="4" t="s">
        <v>21</v>
      </c>
      <c r="E2003" s="4" t="s">
        <v>21</v>
      </c>
      <c r="F2003" s="4">
        <f t="shared" si="2"/>
        <v>13</v>
      </c>
    </row>
    <row r="2004">
      <c r="A2004" s="5">
        <v>43529.71346064815</v>
      </c>
      <c r="B2004" s="7">
        <f t="shared" si="1"/>
        <v>43529</v>
      </c>
      <c r="C2004" s="33" t="s">
        <v>17</v>
      </c>
      <c r="D2004" s="4" t="s">
        <v>21</v>
      </c>
      <c r="E2004" s="4" t="s">
        <v>21</v>
      </c>
      <c r="F2004" s="4">
        <f t="shared" si="2"/>
        <v>10</v>
      </c>
    </row>
    <row r="2005">
      <c r="A2005" s="5">
        <v>43482.425358796296</v>
      </c>
      <c r="B2005" s="7">
        <f t="shared" si="1"/>
        <v>43482</v>
      </c>
      <c r="C2005" s="33" t="s">
        <v>17</v>
      </c>
      <c r="D2005" s="4" t="s">
        <v>21</v>
      </c>
      <c r="E2005" s="4" t="s">
        <v>21</v>
      </c>
      <c r="F2005" s="4">
        <f t="shared" si="2"/>
        <v>3</v>
      </c>
    </row>
    <row r="2006">
      <c r="A2006" s="5">
        <v>43475.931655092594</v>
      </c>
      <c r="B2006" s="7">
        <f t="shared" si="1"/>
        <v>43475</v>
      </c>
      <c r="C2006" s="33" t="s">
        <v>17</v>
      </c>
      <c r="D2006" s="4" t="s">
        <v>21</v>
      </c>
      <c r="E2006" s="4" t="s">
        <v>21</v>
      </c>
      <c r="F2006" s="4">
        <f t="shared" si="2"/>
        <v>2</v>
      </c>
    </row>
    <row r="2007">
      <c r="A2007" s="5">
        <v>43328.69721064815</v>
      </c>
      <c r="B2007" s="7">
        <f t="shared" si="1"/>
        <v>43328</v>
      </c>
      <c r="C2007" s="33" t="s">
        <v>17</v>
      </c>
      <c r="D2007" s="4" t="s">
        <v>21</v>
      </c>
      <c r="E2007" s="4" t="s">
        <v>21</v>
      </c>
      <c r="F2007" s="4">
        <f t="shared" si="2"/>
        <v>33</v>
      </c>
    </row>
    <row r="2008">
      <c r="A2008" s="5">
        <v>43333.797106481485</v>
      </c>
      <c r="B2008" s="7">
        <f t="shared" si="1"/>
        <v>43333</v>
      </c>
      <c r="C2008" s="33" t="s">
        <v>17</v>
      </c>
      <c r="D2008" s="4" t="s">
        <v>21</v>
      </c>
      <c r="E2008" s="4" t="s">
        <v>21</v>
      </c>
      <c r="F2008" s="4">
        <f t="shared" si="2"/>
        <v>34</v>
      </c>
    </row>
    <row r="2009">
      <c r="A2009" s="5">
        <v>43308.49511574074</v>
      </c>
      <c r="B2009" s="7">
        <f t="shared" si="1"/>
        <v>43308</v>
      </c>
      <c r="C2009" s="33" t="s">
        <v>17</v>
      </c>
      <c r="D2009" s="4" t="s">
        <v>21</v>
      </c>
      <c r="E2009" s="4" t="s">
        <v>21</v>
      </c>
      <c r="F2009" s="4">
        <f t="shared" si="2"/>
        <v>30</v>
      </c>
    </row>
    <row r="2010">
      <c r="A2010" s="5">
        <v>43321.77587962963</v>
      </c>
      <c r="B2010" s="7">
        <f t="shared" si="1"/>
        <v>43321</v>
      </c>
      <c r="C2010" s="33" t="s">
        <v>17</v>
      </c>
      <c r="D2010" s="4" t="s">
        <v>21</v>
      </c>
      <c r="E2010" s="4" t="s">
        <v>21</v>
      </c>
      <c r="F2010" s="4">
        <f t="shared" si="2"/>
        <v>32</v>
      </c>
    </row>
    <row r="2011">
      <c r="A2011" s="5">
        <v>43321.862962962965</v>
      </c>
      <c r="B2011" s="7">
        <f t="shared" si="1"/>
        <v>43321</v>
      </c>
      <c r="C2011" s="33" t="s">
        <v>17</v>
      </c>
      <c r="D2011" s="4" t="s">
        <v>21</v>
      </c>
      <c r="E2011" s="4" t="s">
        <v>21</v>
      </c>
      <c r="F2011" s="4">
        <f t="shared" si="2"/>
        <v>32</v>
      </c>
    </row>
    <row r="2012">
      <c r="A2012" s="5">
        <v>43321.86476851852</v>
      </c>
      <c r="B2012" s="7">
        <f t="shared" si="1"/>
        <v>43321</v>
      </c>
      <c r="C2012" s="33" t="s">
        <v>17</v>
      </c>
      <c r="D2012" s="4" t="s">
        <v>21</v>
      </c>
      <c r="E2012" s="4" t="s">
        <v>21</v>
      </c>
      <c r="F2012" s="4">
        <f t="shared" si="2"/>
        <v>32</v>
      </c>
    </row>
    <row r="2013">
      <c r="A2013" s="5">
        <v>43325.94627314815</v>
      </c>
      <c r="B2013" s="7">
        <f t="shared" si="1"/>
        <v>43325</v>
      </c>
      <c r="C2013" s="33" t="s">
        <v>17</v>
      </c>
      <c r="D2013" s="4" t="s">
        <v>21</v>
      </c>
      <c r="E2013" s="4" t="s">
        <v>21</v>
      </c>
      <c r="F2013" s="4">
        <f t="shared" si="2"/>
        <v>33</v>
      </c>
    </row>
    <row r="2014">
      <c r="A2014" s="5">
        <v>43327.69193287037</v>
      </c>
      <c r="B2014" s="7">
        <f t="shared" si="1"/>
        <v>43327</v>
      </c>
      <c r="C2014" s="33" t="s">
        <v>17</v>
      </c>
      <c r="D2014" s="4" t="s">
        <v>21</v>
      </c>
      <c r="E2014" s="4" t="s">
        <v>21</v>
      </c>
      <c r="F2014" s="4">
        <f t="shared" si="2"/>
        <v>33</v>
      </c>
    </row>
    <row r="2015">
      <c r="A2015" s="5">
        <v>43327.69619212963</v>
      </c>
      <c r="B2015" s="7">
        <f t="shared" si="1"/>
        <v>43327</v>
      </c>
      <c r="C2015" s="33" t="s">
        <v>17</v>
      </c>
      <c r="D2015" s="4" t="s">
        <v>21</v>
      </c>
      <c r="E2015" s="4" t="s">
        <v>21</v>
      </c>
      <c r="F2015" s="4">
        <f t="shared" si="2"/>
        <v>33</v>
      </c>
    </row>
    <row r="2016">
      <c r="A2016" s="5">
        <v>43327.699155092596</v>
      </c>
      <c r="B2016" s="7">
        <f t="shared" si="1"/>
        <v>43327</v>
      </c>
      <c r="C2016" s="33" t="s">
        <v>17</v>
      </c>
      <c r="D2016" s="4" t="s">
        <v>21</v>
      </c>
      <c r="E2016" s="4" t="s">
        <v>21</v>
      </c>
      <c r="F2016" s="4">
        <f t="shared" si="2"/>
        <v>33</v>
      </c>
    </row>
    <row r="2017">
      <c r="A2017" s="5">
        <v>43327.71045138889</v>
      </c>
      <c r="B2017" s="7">
        <f t="shared" si="1"/>
        <v>43327</v>
      </c>
      <c r="C2017" s="33" t="s">
        <v>17</v>
      </c>
      <c r="D2017" s="4" t="s">
        <v>21</v>
      </c>
      <c r="E2017" s="4" t="s">
        <v>21</v>
      </c>
      <c r="F2017" s="4">
        <f t="shared" si="2"/>
        <v>33</v>
      </c>
    </row>
    <row r="2018">
      <c r="A2018" s="5">
        <v>43333.71256944445</v>
      </c>
      <c r="B2018" s="7">
        <f t="shared" si="1"/>
        <v>43333</v>
      </c>
      <c r="C2018" s="33" t="s">
        <v>17</v>
      </c>
      <c r="D2018" s="4" t="s">
        <v>21</v>
      </c>
      <c r="E2018" s="4" t="s">
        <v>21</v>
      </c>
      <c r="F2018" s="4">
        <f t="shared" si="2"/>
        <v>34</v>
      </c>
    </row>
    <row r="2019">
      <c r="A2019" s="5">
        <v>43333.78503472222</v>
      </c>
      <c r="B2019" s="7">
        <f t="shared" si="1"/>
        <v>43333</v>
      </c>
      <c r="C2019" s="33" t="s">
        <v>17</v>
      </c>
      <c r="D2019" s="4" t="s">
        <v>21</v>
      </c>
      <c r="E2019" s="4" t="s">
        <v>21</v>
      </c>
      <c r="F2019" s="4">
        <f t="shared" si="2"/>
        <v>34</v>
      </c>
    </row>
    <row r="2020">
      <c r="A2020" s="5">
        <v>43416.49493055556</v>
      </c>
      <c r="B2020" s="7">
        <f t="shared" si="1"/>
        <v>43416</v>
      </c>
      <c r="C2020" s="33" t="s">
        <v>17</v>
      </c>
      <c r="D2020" s="4" t="s">
        <v>21</v>
      </c>
      <c r="E2020" s="4" t="s">
        <v>21</v>
      </c>
      <c r="F2020" s="4">
        <f t="shared" si="2"/>
        <v>46</v>
      </c>
    </row>
    <row r="2021">
      <c r="A2021" s="5">
        <v>43417.6180787037</v>
      </c>
      <c r="B2021" s="7">
        <f t="shared" si="1"/>
        <v>43417</v>
      </c>
      <c r="C2021" s="33" t="s">
        <v>17</v>
      </c>
      <c r="D2021" s="4" t="s">
        <v>21</v>
      </c>
      <c r="E2021" s="4" t="s">
        <v>21</v>
      </c>
      <c r="F2021" s="4">
        <f t="shared" si="2"/>
        <v>46</v>
      </c>
    </row>
    <row r="2022">
      <c r="A2022" s="5">
        <v>43565.271215277775</v>
      </c>
      <c r="B2022" s="7">
        <f t="shared" si="1"/>
        <v>43565</v>
      </c>
      <c r="C2022" s="33" t="s">
        <v>17</v>
      </c>
      <c r="D2022" s="4" t="s">
        <v>21</v>
      </c>
      <c r="E2022" s="4" t="s">
        <v>21</v>
      </c>
      <c r="F2022" s="4">
        <f t="shared" si="2"/>
        <v>15</v>
      </c>
    </row>
    <row r="2023">
      <c r="A2023" s="5">
        <v>43642.89671296296</v>
      </c>
      <c r="B2023" s="7">
        <f t="shared" si="1"/>
        <v>43642</v>
      </c>
      <c r="C2023" s="33" t="s">
        <v>17</v>
      </c>
      <c r="D2023" s="4" t="s">
        <v>21</v>
      </c>
      <c r="E2023" s="4" t="s">
        <v>21</v>
      </c>
      <c r="F2023" s="4">
        <f t="shared" si="2"/>
        <v>26</v>
      </c>
    </row>
    <row r="2024">
      <c r="A2024" s="5">
        <v>43399.4796412037</v>
      </c>
      <c r="B2024" s="7">
        <f t="shared" si="1"/>
        <v>43399</v>
      </c>
      <c r="C2024" s="33" t="s">
        <v>17</v>
      </c>
      <c r="D2024" s="4" t="s">
        <v>21</v>
      </c>
      <c r="E2024" s="4" t="s">
        <v>21</v>
      </c>
      <c r="F2024" s="4">
        <f t="shared" si="2"/>
        <v>43</v>
      </c>
    </row>
    <row r="2025">
      <c r="A2025" s="5">
        <v>43398.54204861111</v>
      </c>
      <c r="B2025" s="7">
        <f t="shared" si="1"/>
        <v>43398</v>
      </c>
      <c r="C2025" s="33" t="s">
        <v>17</v>
      </c>
      <c r="D2025" s="4" t="s">
        <v>21</v>
      </c>
      <c r="E2025" s="4" t="s">
        <v>21</v>
      </c>
      <c r="F2025" s="4">
        <f t="shared" si="2"/>
        <v>43</v>
      </c>
    </row>
    <row r="2026">
      <c r="A2026" s="5">
        <v>43480.6171412037</v>
      </c>
      <c r="B2026" s="7">
        <f t="shared" si="1"/>
        <v>43480</v>
      </c>
      <c r="C2026" s="33" t="s">
        <v>17</v>
      </c>
      <c r="D2026" s="4" t="s">
        <v>21</v>
      </c>
      <c r="E2026" s="4" t="s">
        <v>21</v>
      </c>
      <c r="F2026" s="4">
        <f t="shared" si="2"/>
        <v>3</v>
      </c>
    </row>
    <row r="2027">
      <c r="A2027" s="5">
        <v>43447.58917824074</v>
      </c>
      <c r="B2027" s="7">
        <f t="shared" si="1"/>
        <v>43447</v>
      </c>
      <c r="C2027" s="33" t="s">
        <v>17</v>
      </c>
      <c r="D2027" s="4" t="s">
        <v>21</v>
      </c>
      <c r="E2027" s="4" t="s">
        <v>21</v>
      </c>
      <c r="F2027" s="4">
        <f t="shared" si="2"/>
        <v>50</v>
      </c>
    </row>
    <row r="2028">
      <c r="A2028" s="5">
        <v>43496.592152777775</v>
      </c>
      <c r="B2028" s="7">
        <f t="shared" si="1"/>
        <v>43496</v>
      </c>
      <c r="C2028" s="33" t="s">
        <v>17</v>
      </c>
      <c r="D2028" s="4" t="s">
        <v>21</v>
      </c>
      <c r="E2028" s="4" t="s">
        <v>21</v>
      </c>
      <c r="F2028" s="4">
        <f t="shared" si="2"/>
        <v>5</v>
      </c>
    </row>
    <row r="2029">
      <c r="A2029" s="5">
        <v>43529.849178240744</v>
      </c>
      <c r="B2029" s="7">
        <f t="shared" si="1"/>
        <v>43529</v>
      </c>
      <c r="C2029" s="33" t="s">
        <v>17</v>
      </c>
      <c r="D2029" s="4" t="s">
        <v>21</v>
      </c>
      <c r="E2029" s="4" t="s">
        <v>21</v>
      </c>
      <c r="F2029" s="4">
        <f t="shared" si="2"/>
        <v>10</v>
      </c>
    </row>
    <row r="2030">
      <c r="A2030" s="5">
        <v>43529.850011574075</v>
      </c>
      <c r="B2030" s="7">
        <f t="shared" si="1"/>
        <v>43529</v>
      </c>
      <c r="C2030" s="33" t="s">
        <v>17</v>
      </c>
      <c r="D2030" s="4" t="s">
        <v>21</v>
      </c>
      <c r="E2030" s="4" t="s">
        <v>21</v>
      </c>
      <c r="F2030" s="4">
        <f t="shared" si="2"/>
        <v>10</v>
      </c>
    </row>
    <row r="2031">
      <c r="A2031" s="5">
        <v>43529.851956018516</v>
      </c>
      <c r="B2031" s="7">
        <f t="shared" si="1"/>
        <v>43529</v>
      </c>
      <c r="C2031" s="33" t="s">
        <v>17</v>
      </c>
      <c r="D2031" s="4" t="s">
        <v>21</v>
      </c>
      <c r="E2031" s="4" t="s">
        <v>21</v>
      </c>
      <c r="F2031" s="4">
        <f t="shared" si="2"/>
        <v>10</v>
      </c>
    </row>
    <row r="2032">
      <c r="A2032" s="5">
        <v>43529.852013888885</v>
      </c>
      <c r="B2032" s="7">
        <f t="shared" si="1"/>
        <v>43529</v>
      </c>
      <c r="C2032" s="33" t="s">
        <v>17</v>
      </c>
      <c r="D2032" s="4" t="s">
        <v>21</v>
      </c>
      <c r="E2032" s="4" t="s">
        <v>21</v>
      </c>
      <c r="F2032" s="4">
        <f t="shared" si="2"/>
        <v>10</v>
      </c>
    </row>
    <row r="2033">
      <c r="A2033" s="5">
        <v>43529.852060185185</v>
      </c>
      <c r="B2033" s="7">
        <f t="shared" si="1"/>
        <v>43529</v>
      </c>
      <c r="C2033" s="33" t="s">
        <v>17</v>
      </c>
      <c r="D2033" s="4" t="s">
        <v>21</v>
      </c>
      <c r="E2033" s="4" t="s">
        <v>21</v>
      </c>
      <c r="F2033" s="4">
        <f t="shared" si="2"/>
        <v>10</v>
      </c>
    </row>
    <row r="2034">
      <c r="A2034" s="5">
        <v>43529.852118055554</v>
      </c>
      <c r="B2034" s="7">
        <f t="shared" si="1"/>
        <v>43529</v>
      </c>
      <c r="C2034" s="33" t="s">
        <v>17</v>
      </c>
      <c r="D2034" s="4" t="s">
        <v>21</v>
      </c>
      <c r="E2034" s="4" t="s">
        <v>21</v>
      </c>
      <c r="F2034" s="4">
        <f t="shared" si="2"/>
        <v>10</v>
      </c>
    </row>
    <row r="2035">
      <c r="A2035" s="5">
        <v>43529.852164351854</v>
      </c>
      <c r="B2035" s="7">
        <f t="shared" si="1"/>
        <v>43529</v>
      </c>
      <c r="C2035" s="33" t="s">
        <v>17</v>
      </c>
      <c r="D2035" s="4" t="s">
        <v>21</v>
      </c>
      <c r="E2035" s="4" t="s">
        <v>21</v>
      </c>
      <c r="F2035" s="4">
        <f t="shared" si="2"/>
        <v>10</v>
      </c>
    </row>
    <row r="2036">
      <c r="A2036" s="5">
        <v>43529.852222222224</v>
      </c>
      <c r="B2036" s="7">
        <f t="shared" si="1"/>
        <v>43529</v>
      </c>
      <c r="C2036" s="33" t="s">
        <v>17</v>
      </c>
      <c r="D2036" s="4" t="s">
        <v>21</v>
      </c>
      <c r="E2036" s="4" t="s">
        <v>21</v>
      </c>
      <c r="F2036" s="4">
        <f t="shared" si="2"/>
        <v>10</v>
      </c>
    </row>
    <row r="2037">
      <c r="A2037" s="5">
        <v>43529.85228009259</v>
      </c>
      <c r="B2037" s="7">
        <f t="shared" si="1"/>
        <v>43529</v>
      </c>
      <c r="C2037" s="33" t="s">
        <v>17</v>
      </c>
      <c r="D2037" s="4" t="s">
        <v>21</v>
      </c>
      <c r="E2037" s="4" t="s">
        <v>21</v>
      </c>
      <c r="F2037" s="4">
        <f t="shared" si="2"/>
        <v>10</v>
      </c>
    </row>
    <row r="2038">
      <c r="A2038" s="5">
        <v>43529.85238425926</v>
      </c>
      <c r="B2038" s="7">
        <f t="shared" si="1"/>
        <v>43529</v>
      </c>
      <c r="C2038" s="33" t="s">
        <v>17</v>
      </c>
      <c r="D2038" s="4" t="s">
        <v>21</v>
      </c>
      <c r="E2038" s="4" t="s">
        <v>21</v>
      </c>
      <c r="F2038" s="4">
        <f t="shared" si="2"/>
        <v>10</v>
      </c>
    </row>
    <row r="2039">
      <c r="A2039" s="5">
        <v>43529.852430555555</v>
      </c>
      <c r="B2039" s="7">
        <f t="shared" si="1"/>
        <v>43529</v>
      </c>
      <c r="C2039" s="33" t="s">
        <v>17</v>
      </c>
      <c r="D2039" s="4" t="s">
        <v>21</v>
      </c>
      <c r="E2039" s="4" t="s">
        <v>21</v>
      </c>
      <c r="F2039" s="4">
        <f t="shared" si="2"/>
        <v>10</v>
      </c>
    </row>
    <row r="2040">
      <c r="A2040" s="5">
        <v>43529.852488425924</v>
      </c>
      <c r="B2040" s="7">
        <f t="shared" si="1"/>
        <v>43529</v>
      </c>
      <c r="C2040" s="33" t="s">
        <v>17</v>
      </c>
      <c r="D2040" s="4" t="s">
        <v>21</v>
      </c>
      <c r="E2040" s="4" t="s">
        <v>21</v>
      </c>
      <c r="F2040" s="4">
        <f t="shared" si="2"/>
        <v>10</v>
      </c>
    </row>
    <row r="2041">
      <c r="A2041" s="5">
        <v>43529.85254629629</v>
      </c>
      <c r="B2041" s="7">
        <f t="shared" si="1"/>
        <v>43529</v>
      </c>
      <c r="C2041" s="33" t="s">
        <v>17</v>
      </c>
      <c r="D2041" s="4" t="s">
        <v>21</v>
      </c>
      <c r="E2041" s="4" t="s">
        <v>21</v>
      </c>
      <c r="F2041" s="4">
        <f t="shared" si="2"/>
        <v>10</v>
      </c>
    </row>
    <row r="2042">
      <c r="A2042" s="5">
        <v>43529.85259259259</v>
      </c>
      <c r="B2042" s="7">
        <f t="shared" si="1"/>
        <v>43529</v>
      </c>
      <c r="C2042" s="33" t="s">
        <v>17</v>
      </c>
      <c r="D2042" s="4" t="s">
        <v>21</v>
      </c>
      <c r="E2042" s="4" t="s">
        <v>21</v>
      </c>
      <c r="F2042" s="4">
        <f t="shared" si="2"/>
        <v>10</v>
      </c>
    </row>
    <row r="2043">
      <c r="A2043" s="5">
        <v>43529.85265046296</v>
      </c>
      <c r="B2043" s="7">
        <f t="shared" si="1"/>
        <v>43529</v>
      </c>
      <c r="C2043" s="33" t="s">
        <v>17</v>
      </c>
      <c r="D2043" s="4" t="s">
        <v>21</v>
      </c>
      <c r="E2043" s="4" t="s">
        <v>21</v>
      </c>
      <c r="F2043" s="4">
        <f t="shared" si="2"/>
        <v>10</v>
      </c>
    </row>
    <row r="2044">
      <c r="A2044" s="5">
        <v>43529.85270833333</v>
      </c>
      <c r="B2044" s="7">
        <f t="shared" si="1"/>
        <v>43529</v>
      </c>
      <c r="C2044" s="33" t="s">
        <v>17</v>
      </c>
      <c r="D2044" s="4" t="s">
        <v>21</v>
      </c>
      <c r="E2044" s="4" t="s">
        <v>21</v>
      </c>
      <c r="F2044" s="4">
        <f t="shared" si="2"/>
        <v>10</v>
      </c>
    </row>
    <row r="2045">
      <c r="A2045" s="5">
        <v>43529.85275462963</v>
      </c>
      <c r="B2045" s="7">
        <f t="shared" si="1"/>
        <v>43529</v>
      </c>
      <c r="C2045" s="33" t="s">
        <v>17</v>
      </c>
      <c r="D2045" s="4" t="s">
        <v>21</v>
      </c>
      <c r="E2045" s="4" t="s">
        <v>21</v>
      </c>
      <c r="F2045" s="4">
        <f t="shared" si="2"/>
        <v>10</v>
      </c>
    </row>
    <row r="2046">
      <c r="A2046" s="5">
        <v>43529.8528125</v>
      </c>
      <c r="B2046" s="7">
        <f t="shared" si="1"/>
        <v>43529</v>
      </c>
      <c r="C2046" s="33" t="s">
        <v>17</v>
      </c>
      <c r="D2046" s="4" t="s">
        <v>21</v>
      </c>
      <c r="E2046" s="4" t="s">
        <v>21</v>
      </c>
      <c r="F2046" s="4">
        <f t="shared" si="2"/>
        <v>10</v>
      </c>
    </row>
    <row r="2047">
      <c r="A2047" s="5">
        <v>43529.852858796294</v>
      </c>
      <c r="B2047" s="7">
        <f t="shared" si="1"/>
        <v>43529</v>
      </c>
      <c r="C2047" s="33" t="s">
        <v>17</v>
      </c>
      <c r="D2047" s="4" t="s">
        <v>21</v>
      </c>
      <c r="E2047" s="4" t="s">
        <v>21</v>
      </c>
      <c r="F2047" s="4">
        <f t="shared" si="2"/>
        <v>10</v>
      </c>
    </row>
    <row r="2048">
      <c r="A2048" s="5">
        <v>43529.85291666666</v>
      </c>
      <c r="B2048" s="7">
        <f t="shared" si="1"/>
        <v>43529</v>
      </c>
      <c r="C2048" s="33" t="s">
        <v>17</v>
      </c>
      <c r="D2048" s="4" t="s">
        <v>21</v>
      </c>
      <c r="E2048" s="4" t="s">
        <v>21</v>
      </c>
      <c r="F2048" s="4">
        <f t="shared" si="2"/>
        <v>10</v>
      </c>
    </row>
    <row r="2049">
      <c r="A2049" s="5">
        <v>43529.85296296296</v>
      </c>
      <c r="B2049" s="7">
        <f t="shared" si="1"/>
        <v>43529</v>
      </c>
      <c r="C2049" s="33" t="s">
        <v>17</v>
      </c>
      <c r="D2049" s="4" t="s">
        <v>21</v>
      </c>
      <c r="E2049" s="4" t="s">
        <v>21</v>
      </c>
      <c r="F2049" s="4">
        <f t="shared" si="2"/>
        <v>10</v>
      </c>
    </row>
    <row r="2050">
      <c r="A2050" s="5">
        <v>43529.85302083333</v>
      </c>
      <c r="B2050" s="7">
        <f t="shared" si="1"/>
        <v>43529</v>
      </c>
      <c r="C2050" s="33" t="s">
        <v>17</v>
      </c>
      <c r="D2050" s="4" t="s">
        <v>21</v>
      </c>
      <c r="E2050" s="4" t="s">
        <v>21</v>
      </c>
      <c r="F2050" s="4">
        <f t="shared" si="2"/>
        <v>10</v>
      </c>
    </row>
    <row r="2051">
      <c r="A2051" s="5">
        <v>43529.85306712963</v>
      </c>
      <c r="B2051" s="7">
        <f t="shared" si="1"/>
        <v>43529</v>
      </c>
      <c r="C2051" s="33" t="s">
        <v>17</v>
      </c>
      <c r="D2051" s="4" t="s">
        <v>21</v>
      </c>
      <c r="E2051" s="4" t="s">
        <v>21</v>
      </c>
      <c r="F2051" s="4">
        <f t="shared" si="2"/>
        <v>10</v>
      </c>
    </row>
    <row r="2052">
      <c r="A2052" s="5">
        <v>43529.853125</v>
      </c>
      <c r="B2052" s="7">
        <f t="shared" si="1"/>
        <v>43529</v>
      </c>
      <c r="C2052" s="33" t="s">
        <v>17</v>
      </c>
      <c r="D2052" s="4" t="s">
        <v>21</v>
      </c>
      <c r="E2052" s="4" t="s">
        <v>21</v>
      </c>
      <c r="F2052" s="4">
        <f t="shared" si="2"/>
        <v>10</v>
      </c>
    </row>
    <row r="2053">
      <c r="A2053" s="5">
        <v>43529.85318287037</v>
      </c>
      <c r="B2053" s="7">
        <f t="shared" si="1"/>
        <v>43529</v>
      </c>
      <c r="C2053" s="33" t="s">
        <v>17</v>
      </c>
      <c r="D2053" s="4" t="s">
        <v>21</v>
      </c>
      <c r="E2053" s="4" t="s">
        <v>21</v>
      </c>
      <c r="F2053" s="4">
        <f t="shared" si="2"/>
        <v>10</v>
      </c>
    </row>
    <row r="2054">
      <c r="A2054" s="5">
        <v>43529.85322916666</v>
      </c>
      <c r="B2054" s="7">
        <f t="shared" si="1"/>
        <v>43529</v>
      </c>
      <c r="C2054" s="33" t="s">
        <v>17</v>
      </c>
      <c r="D2054" s="4" t="s">
        <v>21</v>
      </c>
      <c r="E2054" s="4" t="s">
        <v>21</v>
      </c>
      <c r="F2054" s="4">
        <f t="shared" si="2"/>
        <v>10</v>
      </c>
    </row>
    <row r="2055">
      <c r="A2055" s="5">
        <v>43529.85328703704</v>
      </c>
      <c r="B2055" s="7">
        <f t="shared" si="1"/>
        <v>43529</v>
      </c>
      <c r="C2055" s="33" t="s">
        <v>17</v>
      </c>
      <c r="D2055" s="4" t="s">
        <v>21</v>
      </c>
      <c r="E2055" s="4" t="s">
        <v>21</v>
      </c>
      <c r="F2055" s="4">
        <f t="shared" si="2"/>
        <v>10</v>
      </c>
    </row>
    <row r="2056">
      <c r="A2056" s="5">
        <v>43529.85334490741</v>
      </c>
      <c r="B2056" s="7">
        <f t="shared" si="1"/>
        <v>43529</v>
      </c>
      <c r="C2056" s="33" t="s">
        <v>17</v>
      </c>
      <c r="D2056" s="4" t="s">
        <v>21</v>
      </c>
      <c r="E2056" s="4" t="s">
        <v>21</v>
      </c>
      <c r="F2056" s="4">
        <f t="shared" si="2"/>
        <v>10</v>
      </c>
    </row>
    <row r="2057">
      <c r="A2057" s="5">
        <v>43529.8533912037</v>
      </c>
      <c r="B2057" s="7">
        <f t="shared" si="1"/>
        <v>43529</v>
      </c>
      <c r="C2057" s="33" t="s">
        <v>17</v>
      </c>
      <c r="D2057" s="4" t="s">
        <v>21</v>
      </c>
      <c r="E2057" s="4" t="s">
        <v>21</v>
      </c>
      <c r="F2057" s="4">
        <f t="shared" si="2"/>
        <v>10</v>
      </c>
    </row>
    <row r="2058">
      <c r="A2058" s="5">
        <v>43529.87293981481</v>
      </c>
      <c r="B2058" s="7">
        <f t="shared" si="1"/>
        <v>43529</v>
      </c>
      <c r="C2058" s="33" t="s">
        <v>17</v>
      </c>
      <c r="D2058" s="4" t="s">
        <v>21</v>
      </c>
      <c r="E2058" s="4" t="s">
        <v>21</v>
      </c>
      <c r="F2058" s="4">
        <f t="shared" si="2"/>
        <v>10</v>
      </c>
    </row>
    <row r="2059">
      <c r="A2059" s="5">
        <v>43529.92663194444</v>
      </c>
      <c r="B2059" s="7">
        <f t="shared" si="1"/>
        <v>43529</v>
      </c>
      <c r="C2059" s="33" t="s">
        <v>17</v>
      </c>
      <c r="D2059" s="4" t="s">
        <v>21</v>
      </c>
      <c r="E2059" s="4" t="s">
        <v>21</v>
      </c>
      <c r="F2059" s="4">
        <f t="shared" si="2"/>
        <v>10</v>
      </c>
    </row>
    <row r="2060">
      <c r="A2060" s="5">
        <v>43557.668587962966</v>
      </c>
      <c r="B2060" s="7">
        <f t="shared" si="1"/>
        <v>43557</v>
      </c>
      <c r="C2060" s="33" t="s">
        <v>17</v>
      </c>
      <c r="D2060" s="4" t="s">
        <v>21</v>
      </c>
      <c r="E2060" s="4" t="s">
        <v>21</v>
      </c>
      <c r="F2060" s="4">
        <f t="shared" si="2"/>
        <v>14</v>
      </c>
    </row>
    <row r="2061">
      <c r="A2061" s="5">
        <v>43521.428877314815</v>
      </c>
      <c r="B2061" s="7">
        <f t="shared" si="1"/>
        <v>43521</v>
      </c>
      <c r="C2061" s="33" t="s">
        <v>17</v>
      </c>
      <c r="D2061" s="4" t="s">
        <v>21</v>
      </c>
      <c r="E2061" s="4" t="s">
        <v>21</v>
      </c>
      <c r="F2061" s="4">
        <f t="shared" si="2"/>
        <v>9</v>
      </c>
    </row>
    <row r="2062">
      <c r="A2062" s="5">
        <v>43321.20041666667</v>
      </c>
      <c r="B2062" s="7">
        <f t="shared" si="1"/>
        <v>43321</v>
      </c>
      <c r="C2062" s="33" t="s">
        <v>17</v>
      </c>
      <c r="D2062" s="4" t="s">
        <v>21</v>
      </c>
      <c r="E2062" s="4" t="s">
        <v>21</v>
      </c>
      <c r="F2062" s="4">
        <f t="shared" si="2"/>
        <v>32</v>
      </c>
    </row>
    <row r="2063">
      <c r="A2063" s="5">
        <v>43321.74585648148</v>
      </c>
      <c r="B2063" s="7">
        <f t="shared" si="1"/>
        <v>43321</v>
      </c>
      <c r="C2063" s="33" t="s">
        <v>17</v>
      </c>
      <c r="D2063" s="4" t="s">
        <v>21</v>
      </c>
      <c r="E2063" s="4" t="s">
        <v>21</v>
      </c>
      <c r="F2063" s="4">
        <f t="shared" si="2"/>
        <v>32</v>
      </c>
    </row>
    <row r="2064">
      <c r="A2064" s="5">
        <v>43321.766064814816</v>
      </c>
      <c r="B2064" s="7">
        <f t="shared" si="1"/>
        <v>43321</v>
      </c>
      <c r="C2064" s="33" t="s">
        <v>17</v>
      </c>
      <c r="D2064" s="4" t="s">
        <v>21</v>
      </c>
      <c r="E2064" s="4" t="s">
        <v>21</v>
      </c>
      <c r="F2064" s="4">
        <f t="shared" si="2"/>
        <v>32</v>
      </c>
    </row>
    <row r="2065">
      <c r="A2065" s="5">
        <v>43333.716875</v>
      </c>
      <c r="B2065" s="7">
        <f t="shared" si="1"/>
        <v>43333</v>
      </c>
      <c r="C2065" s="33" t="s">
        <v>17</v>
      </c>
      <c r="D2065" s="4" t="s">
        <v>21</v>
      </c>
      <c r="E2065" s="4" t="s">
        <v>21</v>
      </c>
      <c r="F2065" s="4">
        <f t="shared" si="2"/>
        <v>34</v>
      </c>
    </row>
    <row r="2066">
      <c r="A2066" s="5">
        <v>43333.72269675926</v>
      </c>
      <c r="B2066" s="7">
        <f t="shared" si="1"/>
        <v>43333</v>
      </c>
      <c r="C2066" s="33" t="s">
        <v>17</v>
      </c>
      <c r="D2066" s="4" t="s">
        <v>21</v>
      </c>
      <c r="E2066" s="4" t="s">
        <v>21</v>
      </c>
      <c r="F2066" s="4">
        <f t="shared" si="2"/>
        <v>34</v>
      </c>
    </row>
    <row r="2067">
      <c r="A2067" s="5">
        <v>43333.73359953704</v>
      </c>
      <c r="B2067" s="7">
        <f t="shared" si="1"/>
        <v>43333</v>
      </c>
      <c r="C2067" s="33" t="s">
        <v>17</v>
      </c>
      <c r="D2067" s="4" t="s">
        <v>21</v>
      </c>
      <c r="E2067" s="4" t="s">
        <v>21</v>
      </c>
      <c r="F2067" s="4">
        <f t="shared" si="2"/>
        <v>34</v>
      </c>
    </row>
    <row r="2068">
      <c r="A2068" s="5">
        <v>43333.73715277778</v>
      </c>
      <c r="B2068" s="7">
        <f t="shared" si="1"/>
        <v>43333</v>
      </c>
      <c r="C2068" s="33" t="s">
        <v>17</v>
      </c>
      <c r="D2068" s="4" t="s">
        <v>21</v>
      </c>
      <c r="E2068" s="4" t="s">
        <v>21</v>
      </c>
      <c r="F2068" s="4">
        <f t="shared" si="2"/>
        <v>34</v>
      </c>
    </row>
    <row r="2069">
      <c r="A2069" s="5">
        <v>43333.741122685184</v>
      </c>
      <c r="B2069" s="7">
        <f t="shared" si="1"/>
        <v>43333</v>
      </c>
      <c r="C2069" s="33" t="s">
        <v>17</v>
      </c>
      <c r="D2069" s="4" t="s">
        <v>21</v>
      </c>
      <c r="E2069" s="4" t="s">
        <v>21</v>
      </c>
      <c r="F2069" s="4">
        <f t="shared" si="2"/>
        <v>34</v>
      </c>
    </row>
    <row r="2070">
      <c r="A2070" s="5">
        <v>43346.27410879629</v>
      </c>
      <c r="B2070" s="7">
        <f t="shared" si="1"/>
        <v>43346</v>
      </c>
      <c r="C2070" s="33" t="s">
        <v>17</v>
      </c>
      <c r="D2070" s="4" t="s">
        <v>21</v>
      </c>
      <c r="E2070" s="4" t="s">
        <v>21</v>
      </c>
      <c r="F2070" s="4">
        <f t="shared" si="2"/>
        <v>36</v>
      </c>
    </row>
    <row r="2071">
      <c r="A2071" s="5">
        <v>43595.67197916667</v>
      </c>
      <c r="B2071" s="7">
        <f t="shared" si="1"/>
        <v>43595</v>
      </c>
      <c r="C2071" s="33" t="s">
        <v>17</v>
      </c>
      <c r="D2071" s="4" t="s">
        <v>21</v>
      </c>
      <c r="E2071" s="4" t="s">
        <v>21</v>
      </c>
      <c r="F2071" s="4">
        <f t="shared" si="2"/>
        <v>19</v>
      </c>
    </row>
    <row r="2072">
      <c r="A2072" s="5">
        <v>43495.42053240741</v>
      </c>
      <c r="B2072" s="7">
        <f t="shared" si="1"/>
        <v>43495</v>
      </c>
      <c r="C2072" s="33" t="s">
        <v>17</v>
      </c>
      <c r="D2072" s="4" t="s">
        <v>21</v>
      </c>
      <c r="E2072" s="4" t="s">
        <v>21</v>
      </c>
      <c r="F2072" s="4">
        <f t="shared" si="2"/>
        <v>5</v>
      </c>
    </row>
    <row r="2073">
      <c r="A2073" s="5">
        <v>43551.466875</v>
      </c>
      <c r="B2073" s="7">
        <f t="shared" si="1"/>
        <v>43551</v>
      </c>
      <c r="C2073" s="33" t="s">
        <v>17</v>
      </c>
      <c r="D2073" s="4" t="s">
        <v>21</v>
      </c>
      <c r="E2073" s="4" t="s">
        <v>21</v>
      </c>
      <c r="F2073" s="4">
        <f t="shared" si="2"/>
        <v>13</v>
      </c>
    </row>
    <row r="2074">
      <c r="A2074" s="5">
        <v>43634.0252662037</v>
      </c>
      <c r="B2074" s="7">
        <f t="shared" si="1"/>
        <v>43634</v>
      </c>
      <c r="C2074" s="33" t="s">
        <v>17</v>
      </c>
      <c r="D2074" s="4" t="s">
        <v>21</v>
      </c>
      <c r="E2074" s="4" t="s">
        <v>21</v>
      </c>
      <c r="F2074" s="4">
        <f t="shared" si="2"/>
        <v>25</v>
      </c>
    </row>
    <row r="2075">
      <c r="A2075" s="5">
        <v>43321.17234953704</v>
      </c>
      <c r="B2075" s="7">
        <f t="shared" si="1"/>
        <v>43321</v>
      </c>
      <c r="C2075" s="33" t="s">
        <v>17</v>
      </c>
      <c r="D2075" s="4" t="s">
        <v>21</v>
      </c>
      <c r="E2075" s="4" t="s">
        <v>21</v>
      </c>
      <c r="F2075" s="4">
        <f t="shared" si="2"/>
        <v>32</v>
      </c>
    </row>
    <row r="2076">
      <c r="A2076" s="5">
        <v>43321.188263888886</v>
      </c>
      <c r="B2076" s="7">
        <f t="shared" si="1"/>
        <v>43321</v>
      </c>
      <c r="C2076" s="33" t="s">
        <v>17</v>
      </c>
      <c r="D2076" s="4" t="s">
        <v>21</v>
      </c>
      <c r="E2076" s="4" t="s">
        <v>21</v>
      </c>
      <c r="F2076" s="4">
        <f t="shared" si="2"/>
        <v>32</v>
      </c>
    </row>
    <row r="2077">
      <c r="A2077" s="5">
        <v>43321.203518518516</v>
      </c>
      <c r="B2077" s="7">
        <f t="shared" si="1"/>
        <v>43321</v>
      </c>
      <c r="C2077" s="33" t="s">
        <v>17</v>
      </c>
      <c r="D2077" s="4" t="s">
        <v>21</v>
      </c>
      <c r="E2077" s="4" t="s">
        <v>21</v>
      </c>
      <c r="F2077" s="4">
        <f t="shared" si="2"/>
        <v>32</v>
      </c>
    </row>
    <row r="2078">
      <c r="A2078" s="5">
        <v>43321.75171296296</v>
      </c>
      <c r="B2078" s="7">
        <f t="shared" si="1"/>
        <v>43321</v>
      </c>
      <c r="C2078" s="33" t="s">
        <v>17</v>
      </c>
      <c r="D2078" s="4" t="s">
        <v>21</v>
      </c>
      <c r="E2078" s="4" t="s">
        <v>21</v>
      </c>
      <c r="F2078" s="4">
        <f t="shared" si="2"/>
        <v>32</v>
      </c>
    </row>
    <row r="2079">
      <c r="A2079" s="5">
        <v>43321.85957175926</v>
      </c>
      <c r="B2079" s="7">
        <f t="shared" si="1"/>
        <v>43321</v>
      </c>
      <c r="C2079" s="33" t="s">
        <v>17</v>
      </c>
      <c r="D2079" s="4" t="s">
        <v>21</v>
      </c>
      <c r="E2079" s="4" t="s">
        <v>21</v>
      </c>
      <c r="F2079" s="4">
        <f t="shared" si="2"/>
        <v>32</v>
      </c>
    </row>
    <row r="2080">
      <c r="A2080" s="5">
        <v>43321.866643518515</v>
      </c>
      <c r="B2080" s="7">
        <f t="shared" si="1"/>
        <v>43321</v>
      </c>
      <c r="C2080" s="33" t="s">
        <v>17</v>
      </c>
      <c r="D2080" s="4" t="s">
        <v>21</v>
      </c>
      <c r="E2080" s="4" t="s">
        <v>21</v>
      </c>
      <c r="F2080" s="4">
        <f t="shared" si="2"/>
        <v>32</v>
      </c>
    </row>
    <row r="2081">
      <c r="A2081" s="5">
        <v>43325.94236111111</v>
      </c>
      <c r="B2081" s="7">
        <f t="shared" si="1"/>
        <v>43325</v>
      </c>
      <c r="C2081" s="33" t="s">
        <v>17</v>
      </c>
      <c r="D2081" s="4" t="s">
        <v>21</v>
      </c>
      <c r="E2081" s="4" t="s">
        <v>21</v>
      </c>
      <c r="F2081" s="4">
        <f t="shared" si="2"/>
        <v>33</v>
      </c>
    </row>
    <row r="2082">
      <c r="A2082" s="5">
        <v>43489.24444444444</v>
      </c>
      <c r="B2082" s="7">
        <f t="shared" si="1"/>
        <v>43489</v>
      </c>
      <c r="C2082" s="33" t="s">
        <v>17</v>
      </c>
      <c r="D2082" s="4" t="s">
        <v>21</v>
      </c>
      <c r="E2082" s="4" t="s">
        <v>21</v>
      </c>
      <c r="F2082" s="4">
        <f t="shared" si="2"/>
        <v>4</v>
      </c>
    </row>
    <row r="2083">
      <c r="A2083" s="5">
        <v>43521.347083333334</v>
      </c>
      <c r="B2083" s="7">
        <f t="shared" si="1"/>
        <v>43521</v>
      </c>
      <c r="C2083" s="33" t="s">
        <v>17</v>
      </c>
      <c r="D2083" s="4" t="s">
        <v>21</v>
      </c>
      <c r="E2083" s="4" t="s">
        <v>21</v>
      </c>
      <c r="F2083" s="4">
        <f t="shared" si="2"/>
        <v>9</v>
      </c>
    </row>
    <row r="2084">
      <c r="A2084" s="5">
        <v>43487.6078587963</v>
      </c>
      <c r="B2084" s="7">
        <f t="shared" si="1"/>
        <v>43487</v>
      </c>
      <c r="C2084" s="33" t="s">
        <v>17</v>
      </c>
      <c r="D2084" s="4" t="s">
        <v>21</v>
      </c>
      <c r="E2084" s="4" t="s">
        <v>21</v>
      </c>
      <c r="F2084" s="4">
        <f t="shared" si="2"/>
        <v>4</v>
      </c>
    </row>
    <row r="2085">
      <c r="A2085" s="5">
        <v>43521.46092592592</v>
      </c>
      <c r="B2085" s="7">
        <f t="shared" si="1"/>
        <v>43521</v>
      </c>
      <c r="C2085" s="33" t="s">
        <v>17</v>
      </c>
      <c r="D2085" s="4" t="s">
        <v>21</v>
      </c>
      <c r="E2085" s="4" t="s">
        <v>21</v>
      </c>
      <c r="F2085" s="4">
        <f t="shared" si="2"/>
        <v>9</v>
      </c>
    </row>
    <row r="2086">
      <c r="A2086" s="5">
        <v>43521.46114583333</v>
      </c>
      <c r="B2086" s="7">
        <f t="shared" si="1"/>
        <v>43521</v>
      </c>
      <c r="C2086" s="33" t="s">
        <v>17</v>
      </c>
      <c r="D2086" s="4" t="s">
        <v>21</v>
      </c>
      <c r="E2086" s="4" t="s">
        <v>21</v>
      </c>
      <c r="F2086" s="4">
        <f t="shared" si="2"/>
        <v>9</v>
      </c>
    </row>
    <row r="2087">
      <c r="A2087" s="5">
        <v>43634.344976851855</v>
      </c>
      <c r="B2087" s="7">
        <f t="shared" si="1"/>
        <v>43634</v>
      </c>
      <c r="C2087" s="33" t="s">
        <v>17</v>
      </c>
      <c r="D2087" s="4" t="s">
        <v>21</v>
      </c>
      <c r="E2087" s="4" t="s">
        <v>21</v>
      </c>
      <c r="F2087" s="4">
        <f t="shared" si="2"/>
        <v>25</v>
      </c>
    </row>
    <row r="2088">
      <c r="A2088" s="5">
        <v>43382.267060185186</v>
      </c>
      <c r="B2088" s="7">
        <f t="shared" si="1"/>
        <v>43382</v>
      </c>
      <c r="C2088" s="33" t="s">
        <v>17</v>
      </c>
      <c r="D2088" s="4" t="s">
        <v>21</v>
      </c>
      <c r="E2088" s="4" t="s">
        <v>21</v>
      </c>
      <c r="F2088" s="4">
        <f t="shared" si="2"/>
        <v>41</v>
      </c>
    </row>
    <row r="2089">
      <c r="A2089" s="5">
        <v>43382.27123842593</v>
      </c>
      <c r="B2089" s="7">
        <f t="shared" si="1"/>
        <v>43382</v>
      </c>
      <c r="C2089" s="33" t="s">
        <v>17</v>
      </c>
      <c r="D2089" s="4" t="s">
        <v>21</v>
      </c>
      <c r="E2089" s="4" t="s">
        <v>21</v>
      </c>
      <c r="F2089" s="4">
        <f t="shared" si="2"/>
        <v>41</v>
      </c>
    </row>
    <row r="2090">
      <c r="A2090" s="5">
        <v>43446.96644675926</v>
      </c>
      <c r="B2090" s="7">
        <f t="shared" si="1"/>
        <v>43446</v>
      </c>
      <c r="C2090" s="33" t="s">
        <v>17</v>
      </c>
      <c r="D2090" s="4" t="s">
        <v>21</v>
      </c>
      <c r="E2090" s="4" t="s">
        <v>21</v>
      </c>
      <c r="F2090" s="4">
        <f t="shared" si="2"/>
        <v>50</v>
      </c>
    </row>
    <row r="2091">
      <c r="A2091" s="5">
        <v>43543.64946759259</v>
      </c>
      <c r="B2091" s="7">
        <f t="shared" si="1"/>
        <v>43543</v>
      </c>
      <c r="C2091" s="33" t="s">
        <v>17</v>
      </c>
      <c r="D2091" s="4" t="s">
        <v>21</v>
      </c>
      <c r="E2091" s="4" t="s">
        <v>21</v>
      </c>
      <c r="F2091" s="4">
        <f t="shared" si="2"/>
        <v>12</v>
      </c>
    </row>
    <row r="2092">
      <c r="A2092" s="5">
        <v>43621.66112268518</v>
      </c>
      <c r="B2092" s="7">
        <f t="shared" si="1"/>
        <v>43621</v>
      </c>
      <c r="C2092" s="33" t="s">
        <v>17</v>
      </c>
      <c r="D2092" s="4" t="s">
        <v>21</v>
      </c>
      <c r="E2092" s="4" t="s">
        <v>21</v>
      </c>
      <c r="F2092" s="4">
        <f t="shared" si="2"/>
        <v>23</v>
      </c>
    </row>
    <row r="2093">
      <c r="A2093" s="5">
        <v>43549.46065972222</v>
      </c>
      <c r="B2093" s="7">
        <f t="shared" si="1"/>
        <v>43549</v>
      </c>
      <c r="C2093" s="33" t="s">
        <v>17</v>
      </c>
      <c r="D2093" s="4" t="s">
        <v>21</v>
      </c>
      <c r="E2093" s="4" t="s">
        <v>21</v>
      </c>
      <c r="F2093" s="4">
        <f t="shared" si="2"/>
        <v>13</v>
      </c>
    </row>
    <row r="2094">
      <c r="A2094" s="5">
        <v>43481.54377314815</v>
      </c>
      <c r="B2094" s="7">
        <f t="shared" si="1"/>
        <v>43481</v>
      </c>
      <c r="C2094" s="33" t="s">
        <v>17</v>
      </c>
      <c r="D2094" s="4" t="s">
        <v>21</v>
      </c>
      <c r="E2094" s="4" t="s">
        <v>21</v>
      </c>
      <c r="F2094" s="4">
        <f t="shared" si="2"/>
        <v>3</v>
      </c>
    </row>
    <row r="2095">
      <c r="A2095" s="5">
        <v>43511.429618055554</v>
      </c>
      <c r="B2095" s="7">
        <f t="shared" si="1"/>
        <v>43511</v>
      </c>
      <c r="C2095" s="33" t="s">
        <v>17</v>
      </c>
      <c r="D2095" s="4" t="s">
        <v>21</v>
      </c>
      <c r="E2095" s="4" t="s">
        <v>21</v>
      </c>
      <c r="F2095" s="4">
        <f t="shared" si="2"/>
        <v>7</v>
      </c>
    </row>
    <row r="2096">
      <c r="A2096" s="5">
        <v>43536.577418981484</v>
      </c>
      <c r="B2096" s="7">
        <f t="shared" si="1"/>
        <v>43536</v>
      </c>
      <c r="C2096" s="33" t="s">
        <v>17</v>
      </c>
      <c r="D2096" s="4" t="s">
        <v>21</v>
      </c>
      <c r="E2096" s="4" t="s">
        <v>21</v>
      </c>
      <c r="F2096" s="4">
        <f t="shared" si="2"/>
        <v>11</v>
      </c>
    </row>
    <row r="2097">
      <c r="A2097" s="5">
        <v>43580.50747685185</v>
      </c>
      <c r="B2097" s="7">
        <f t="shared" si="1"/>
        <v>43580</v>
      </c>
      <c r="C2097" s="33" t="s">
        <v>17</v>
      </c>
      <c r="D2097" s="4" t="s">
        <v>21</v>
      </c>
      <c r="E2097" s="4" t="s">
        <v>21</v>
      </c>
      <c r="F2097" s="4">
        <f t="shared" si="2"/>
        <v>17</v>
      </c>
    </row>
    <row r="2098">
      <c r="A2098" s="5">
        <v>43319.25208333333</v>
      </c>
      <c r="B2098" s="7">
        <f t="shared" si="1"/>
        <v>43319</v>
      </c>
      <c r="C2098" s="33" t="s">
        <v>17</v>
      </c>
      <c r="D2098" s="4" t="s">
        <v>21</v>
      </c>
      <c r="E2098" s="4" t="s">
        <v>21</v>
      </c>
      <c r="F2098" s="4">
        <f t="shared" si="2"/>
        <v>32</v>
      </c>
    </row>
    <row r="2099">
      <c r="A2099" s="5">
        <v>43325.96789351852</v>
      </c>
      <c r="B2099" s="7">
        <f t="shared" si="1"/>
        <v>43325</v>
      </c>
      <c r="C2099" s="33" t="s">
        <v>17</v>
      </c>
      <c r="D2099" s="4" t="s">
        <v>21</v>
      </c>
      <c r="E2099" s="4" t="s">
        <v>21</v>
      </c>
      <c r="F2099" s="4">
        <f t="shared" si="2"/>
        <v>33</v>
      </c>
    </row>
    <row r="2100">
      <c r="A2100" s="5">
        <v>43419.52738425926</v>
      </c>
      <c r="B2100" s="7">
        <f t="shared" si="1"/>
        <v>43419</v>
      </c>
      <c r="C2100" s="33" t="s">
        <v>17</v>
      </c>
      <c r="D2100" s="4" t="s">
        <v>21</v>
      </c>
      <c r="E2100" s="4" t="s">
        <v>21</v>
      </c>
      <c r="F2100" s="4">
        <f t="shared" si="2"/>
        <v>46</v>
      </c>
    </row>
    <row r="2101">
      <c r="A2101" s="5">
        <v>43497.568240740744</v>
      </c>
      <c r="B2101" s="7">
        <f t="shared" si="1"/>
        <v>43497</v>
      </c>
      <c r="C2101" s="33" t="s">
        <v>17</v>
      </c>
      <c r="D2101" s="4" t="s">
        <v>21</v>
      </c>
      <c r="E2101" s="4" t="s">
        <v>21</v>
      </c>
      <c r="F2101" s="4">
        <f t="shared" si="2"/>
        <v>5</v>
      </c>
    </row>
    <row r="2102">
      <c r="A2102" s="5">
        <v>43567.76582175926</v>
      </c>
      <c r="B2102" s="7">
        <f t="shared" si="1"/>
        <v>43567</v>
      </c>
      <c r="C2102" s="33" t="s">
        <v>17</v>
      </c>
      <c r="D2102" s="4" t="s">
        <v>21</v>
      </c>
      <c r="E2102" s="4" t="s">
        <v>21</v>
      </c>
      <c r="F2102" s="4">
        <f t="shared" si="2"/>
        <v>15</v>
      </c>
    </row>
    <row r="2103">
      <c r="A2103" s="5">
        <v>43399.43109953704</v>
      </c>
      <c r="B2103" s="7">
        <f t="shared" si="1"/>
        <v>43399</v>
      </c>
      <c r="C2103" s="33" t="s">
        <v>17</v>
      </c>
      <c r="D2103" s="4" t="s">
        <v>21</v>
      </c>
      <c r="E2103" s="4" t="s">
        <v>21</v>
      </c>
      <c r="F2103" s="4">
        <f t="shared" si="2"/>
        <v>43</v>
      </c>
    </row>
    <row r="2104">
      <c r="A2104" s="5">
        <v>43399.4380787037</v>
      </c>
      <c r="B2104" s="7">
        <f t="shared" si="1"/>
        <v>43399</v>
      </c>
      <c r="C2104" s="33" t="s">
        <v>17</v>
      </c>
      <c r="D2104" s="4" t="s">
        <v>21</v>
      </c>
      <c r="E2104" s="4" t="s">
        <v>21</v>
      </c>
      <c r="F2104" s="4">
        <f t="shared" si="2"/>
        <v>43</v>
      </c>
    </row>
    <row r="2105">
      <c r="A2105" s="5">
        <v>43399.51445601852</v>
      </c>
      <c r="B2105" s="7">
        <f t="shared" si="1"/>
        <v>43399</v>
      </c>
      <c r="C2105" s="33" t="s">
        <v>17</v>
      </c>
      <c r="D2105" s="4" t="s">
        <v>21</v>
      </c>
      <c r="E2105" s="4" t="s">
        <v>21</v>
      </c>
      <c r="F2105" s="4">
        <f t="shared" si="2"/>
        <v>43</v>
      </c>
    </row>
    <row r="2106">
      <c r="A2106" s="5">
        <v>43473.534907407404</v>
      </c>
      <c r="B2106" s="7">
        <f t="shared" si="1"/>
        <v>43473</v>
      </c>
      <c r="C2106" s="33" t="s">
        <v>17</v>
      </c>
      <c r="D2106" s="4" t="s">
        <v>21</v>
      </c>
      <c r="E2106" s="4" t="s">
        <v>21</v>
      </c>
      <c r="F2106" s="4">
        <f t="shared" si="2"/>
        <v>2</v>
      </c>
    </row>
    <row r="2107">
      <c r="A2107" s="5">
        <v>43489.43337962963</v>
      </c>
      <c r="B2107" s="7">
        <f t="shared" si="1"/>
        <v>43489</v>
      </c>
      <c r="C2107" s="33" t="s">
        <v>17</v>
      </c>
      <c r="D2107" s="4" t="s">
        <v>21</v>
      </c>
      <c r="E2107" s="4" t="s">
        <v>21</v>
      </c>
      <c r="F2107" s="4">
        <f t="shared" si="2"/>
        <v>4</v>
      </c>
    </row>
    <row r="2108">
      <c r="A2108" s="5">
        <v>43522.46571759259</v>
      </c>
      <c r="B2108" s="7">
        <f t="shared" si="1"/>
        <v>43522</v>
      </c>
      <c r="C2108" s="33" t="s">
        <v>17</v>
      </c>
      <c r="D2108" s="4" t="s">
        <v>21</v>
      </c>
      <c r="E2108" s="4" t="s">
        <v>21</v>
      </c>
      <c r="F2108" s="4">
        <f t="shared" si="2"/>
        <v>9</v>
      </c>
    </row>
    <row r="2109">
      <c r="A2109" s="5">
        <v>43550.54818287037</v>
      </c>
      <c r="B2109" s="7">
        <f t="shared" si="1"/>
        <v>43550</v>
      </c>
      <c r="C2109" s="33" t="s">
        <v>17</v>
      </c>
      <c r="D2109" s="4" t="s">
        <v>21</v>
      </c>
      <c r="E2109" s="4" t="s">
        <v>21</v>
      </c>
      <c r="F2109" s="4">
        <f t="shared" si="2"/>
        <v>13</v>
      </c>
    </row>
    <row r="2110">
      <c r="A2110" s="5">
        <v>43395.59940972222</v>
      </c>
      <c r="B2110" s="7">
        <f t="shared" si="1"/>
        <v>43395</v>
      </c>
      <c r="C2110" s="33" t="s">
        <v>17</v>
      </c>
      <c r="D2110" s="4" t="s">
        <v>21</v>
      </c>
      <c r="E2110" s="4" t="s">
        <v>21</v>
      </c>
      <c r="F2110" s="4">
        <f t="shared" si="2"/>
        <v>43</v>
      </c>
    </row>
    <row r="2111">
      <c r="A2111" s="5">
        <v>43319.22850694445</v>
      </c>
      <c r="B2111" s="7">
        <f t="shared" si="1"/>
        <v>43319</v>
      </c>
      <c r="C2111" s="33" t="s">
        <v>17</v>
      </c>
      <c r="D2111" s="4" t="s">
        <v>21</v>
      </c>
      <c r="E2111" s="4" t="s">
        <v>21</v>
      </c>
      <c r="F2111" s="4">
        <f t="shared" si="2"/>
        <v>32</v>
      </c>
    </row>
    <row r="2112">
      <c r="A2112" s="5">
        <v>43319.23875</v>
      </c>
      <c r="B2112" s="7">
        <f t="shared" si="1"/>
        <v>43319</v>
      </c>
      <c r="C2112" s="33" t="s">
        <v>17</v>
      </c>
      <c r="D2112" s="4" t="s">
        <v>21</v>
      </c>
      <c r="E2112" s="4" t="s">
        <v>21</v>
      </c>
      <c r="F2112" s="4">
        <f t="shared" si="2"/>
        <v>32</v>
      </c>
    </row>
    <row r="2113">
      <c r="A2113" s="5">
        <v>43319.24277777778</v>
      </c>
      <c r="B2113" s="7">
        <f t="shared" si="1"/>
        <v>43319</v>
      </c>
      <c r="C2113" s="33" t="s">
        <v>17</v>
      </c>
      <c r="D2113" s="4" t="s">
        <v>21</v>
      </c>
      <c r="E2113" s="4" t="s">
        <v>21</v>
      </c>
      <c r="F2113" s="4">
        <f t="shared" si="2"/>
        <v>32</v>
      </c>
    </row>
    <row r="2114">
      <c r="A2114" s="5">
        <v>43319.246458333335</v>
      </c>
      <c r="B2114" s="7">
        <f t="shared" si="1"/>
        <v>43319</v>
      </c>
      <c r="C2114" s="33" t="s">
        <v>17</v>
      </c>
      <c r="D2114" s="4" t="s">
        <v>21</v>
      </c>
      <c r="E2114" s="4" t="s">
        <v>21</v>
      </c>
      <c r="F2114" s="4">
        <f t="shared" si="2"/>
        <v>32</v>
      </c>
    </row>
    <row r="2115">
      <c r="A2115" s="5">
        <v>43319.249444444446</v>
      </c>
      <c r="B2115" s="7">
        <f t="shared" si="1"/>
        <v>43319</v>
      </c>
      <c r="C2115" s="33" t="s">
        <v>17</v>
      </c>
      <c r="D2115" s="4" t="s">
        <v>21</v>
      </c>
      <c r="E2115" s="4" t="s">
        <v>21</v>
      </c>
      <c r="F2115" s="4">
        <f t="shared" si="2"/>
        <v>32</v>
      </c>
    </row>
    <row r="2116">
      <c r="A2116" s="5">
        <v>43319.25571759259</v>
      </c>
      <c r="B2116" s="7">
        <f t="shared" si="1"/>
        <v>43319</v>
      </c>
      <c r="C2116" s="33" t="s">
        <v>17</v>
      </c>
      <c r="D2116" s="4" t="s">
        <v>21</v>
      </c>
      <c r="E2116" s="4" t="s">
        <v>21</v>
      </c>
      <c r="F2116" s="4">
        <f t="shared" si="2"/>
        <v>32</v>
      </c>
    </row>
    <row r="2117">
      <c r="A2117" s="5">
        <v>43319.30876157407</v>
      </c>
      <c r="B2117" s="7">
        <f t="shared" si="1"/>
        <v>43319</v>
      </c>
      <c r="C2117" s="33" t="s">
        <v>17</v>
      </c>
      <c r="D2117" s="4" t="s">
        <v>21</v>
      </c>
      <c r="E2117" s="4" t="s">
        <v>21</v>
      </c>
      <c r="F2117" s="4">
        <f t="shared" si="2"/>
        <v>32</v>
      </c>
    </row>
    <row r="2118">
      <c r="A2118" s="5">
        <v>43321.145324074074</v>
      </c>
      <c r="B2118" s="7">
        <f t="shared" si="1"/>
        <v>43321</v>
      </c>
      <c r="C2118" s="33" t="s">
        <v>17</v>
      </c>
      <c r="D2118" s="4" t="s">
        <v>21</v>
      </c>
      <c r="E2118" s="4" t="s">
        <v>21</v>
      </c>
      <c r="F2118" s="4">
        <f t="shared" si="2"/>
        <v>32</v>
      </c>
    </row>
    <row r="2119">
      <c r="A2119" s="5">
        <v>43321.17574074074</v>
      </c>
      <c r="B2119" s="7">
        <f t="shared" si="1"/>
        <v>43321</v>
      </c>
      <c r="C2119" s="33" t="s">
        <v>17</v>
      </c>
      <c r="D2119" s="4" t="s">
        <v>21</v>
      </c>
      <c r="E2119" s="4" t="s">
        <v>21</v>
      </c>
      <c r="F2119" s="4">
        <f t="shared" si="2"/>
        <v>32</v>
      </c>
    </row>
    <row r="2120">
      <c r="A2120" s="5">
        <v>43321.17841435185</v>
      </c>
      <c r="B2120" s="7">
        <f t="shared" si="1"/>
        <v>43321</v>
      </c>
      <c r="C2120" s="33" t="s">
        <v>17</v>
      </c>
      <c r="D2120" s="4" t="s">
        <v>21</v>
      </c>
      <c r="E2120" s="4" t="s">
        <v>21</v>
      </c>
      <c r="F2120" s="4">
        <f t="shared" si="2"/>
        <v>32</v>
      </c>
    </row>
    <row r="2121">
      <c r="A2121" s="5">
        <v>43321.195127314815</v>
      </c>
      <c r="B2121" s="7">
        <f t="shared" si="1"/>
        <v>43321</v>
      </c>
      <c r="C2121" s="33" t="s">
        <v>17</v>
      </c>
      <c r="D2121" s="4" t="s">
        <v>21</v>
      </c>
      <c r="E2121" s="4" t="s">
        <v>21</v>
      </c>
      <c r="F2121" s="4">
        <f t="shared" si="2"/>
        <v>32</v>
      </c>
    </row>
    <row r="2122">
      <c r="A2122" s="5">
        <v>43321.21359953703</v>
      </c>
      <c r="B2122" s="7">
        <f t="shared" si="1"/>
        <v>43321</v>
      </c>
      <c r="C2122" s="33" t="s">
        <v>17</v>
      </c>
      <c r="D2122" s="4" t="s">
        <v>21</v>
      </c>
      <c r="E2122" s="4" t="s">
        <v>21</v>
      </c>
      <c r="F2122" s="4">
        <f t="shared" si="2"/>
        <v>32</v>
      </c>
    </row>
    <row r="2123">
      <c r="A2123" s="5">
        <v>43321.21608796297</v>
      </c>
      <c r="B2123" s="7">
        <f t="shared" si="1"/>
        <v>43321</v>
      </c>
      <c r="C2123" s="33" t="s">
        <v>17</v>
      </c>
      <c r="D2123" s="4" t="s">
        <v>21</v>
      </c>
      <c r="E2123" s="4" t="s">
        <v>21</v>
      </c>
      <c r="F2123" s="4">
        <f t="shared" si="2"/>
        <v>32</v>
      </c>
    </row>
    <row r="2124">
      <c r="A2124" s="5">
        <v>43321.24300925926</v>
      </c>
      <c r="B2124" s="7">
        <f t="shared" si="1"/>
        <v>43321</v>
      </c>
      <c r="C2124" s="33" t="s">
        <v>17</v>
      </c>
      <c r="D2124" s="4" t="s">
        <v>21</v>
      </c>
      <c r="E2124" s="4" t="s">
        <v>21</v>
      </c>
      <c r="F2124" s="4">
        <f t="shared" si="2"/>
        <v>32</v>
      </c>
    </row>
    <row r="2125">
      <c r="A2125" s="5">
        <v>43321.24569444444</v>
      </c>
      <c r="B2125" s="7">
        <f t="shared" si="1"/>
        <v>43321</v>
      </c>
      <c r="C2125" s="33" t="s">
        <v>17</v>
      </c>
      <c r="D2125" s="4" t="s">
        <v>21</v>
      </c>
      <c r="E2125" s="4" t="s">
        <v>21</v>
      </c>
      <c r="F2125" s="4">
        <f t="shared" si="2"/>
        <v>32</v>
      </c>
    </row>
    <row r="2126">
      <c r="A2126" s="5">
        <v>43321.48453703704</v>
      </c>
      <c r="B2126" s="7">
        <f t="shared" si="1"/>
        <v>43321</v>
      </c>
      <c r="C2126" s="33" t="s">
        <v>17</v>
      </c>
      <c r="D2126" s="4" t="s">
        <v>21</v>
      </c>
      <c r="E2126" s="4" t="s">
        <v>21</v>
      </c>
      <c r="F2126" s="4">
        <f t="shared" si="2"/>
        <v>32</v>
      </c>
    </row>
    <row r="2127">
      <c r="A2127" s="5">
        <v>43321.67178240741</v>
      </c>
      <c r="B2127" s="7">
        <f t="shared" si="1"/>
        <v>43321</v>
      </c>
      <c r="C2127" s="33" t="s">
        <v>17</v>
      </c>
      <c r="D2127" s="4" t="s">
        <v>21</v>
      </c>
      <c r="E2127" s="4" t="s">
        <v>21</v>
      </c>
      <c r="F2127" s="4">
        <f t="shared" si="2"/>
        <v>32</v>
      </c>
    </row>
    <row r="2128">
      <c r="A2128" s="5">
        <v>43321.74793981481</v>
      </c>
      <c r="B2128" s="7">
        <f t="shared" si="1"/>
        <v>43321</v>
      </c>
      <c r="C2128" s="33" t="s">
        <v>17</v>
      </c>
      <c r="D2128" s="4" t="s">
        <v>21</v>
      </c>
      <c r="E2128" s="4" t="s">
        <v>21</v>
      </c>
      <c r="F2128" s="4">
        <f t="shared" si="2"/>
        <v>32</v>
      </c>
    </row>
    <row r="2129">
      <c r="A2129" s="5">
        <v>43321.749756944446</v>
      </c>
      <c r="B2129" s="7">
        <f t="shared" si="1"/>
        <v>43321</v>
      </c>
      <c r="C2129" s="33" t="s">
        <v>17</v>
      </c>
      <c r="D2129" s="4" t="s">
        <v>21</v>
      </c>
      <c r="E2129" s="4" t="s">
        <v>21</v>
      </c>
      <c r="F2129" s="4">
        <f t="shared" si="2"/>
        <v>32</v>
      </c>
    </row>
    <row r="2130">
      <c r="A2130" s="5">
        <v>43321.7680787037</v>
      </c>
      <c r="B2130" s="7">
        <f t="shared" si="1"/>
        <v>43321</v>
      </c>
      <c r="C2130" s="33" t="s">
        <v>17</v>
      </c>
      <c r="D2130" s="4" t="s">
        <v>21</v>
      </c>
      <c r="E2130" s="4" t="s">
        <v>21</v>
      </c>
      <c r="F2130" s="4">
        <f t="shared" si="2"/>
        <v>32</v>
      </c>
    </row>
    <row r="2131">
      <c r="A2131" s="5">
        <v>43321.770416666666</v>
      </c>
      <c r="B2131" s="7">
        <f t="shared" si="1"/>
        <v>43321</v>
      </c>
      <c r="C2131" s="33" t="s">
        <v>17</v>
      </c>
      <c r="D2131" s="4" t="s">
        <v>21</v>
      </c>
      <c r="E2131" s="4" t="s">
        <v>21</v>
      </c>
      <c r="F2131" s="4">
        <f t="shared" si="2"/>
        <v>32</v>
      </c>
    </row>
    <row r="2132">
      <c r="A2132" s="5">
        <v>43321.86685185185</v>
      </c>
      <c r="B2132" s="7">
        <f t="shared" si="1"/>
        <v>43321</v>
      </c>
      <c r="C2132" s="33" t="s">
        <v>17</v>
      </c>
      <c r="D2132" s="4" t="s">
        <v>21</v>
      </c>
      <c r="E2132" s="4" t="s">
        <v>21</v>
      </c>
      <c r="F2132" s="4">
        <f t="shared" si="2"/>
        <v>32</v>
      </c>
    </row>
    <row r="2133">
      <c r="A2133" s="5">
        <v>43325.950891203705</v>
      </c>
      <c r="B2133" s="7">
        <f t="shared" si="1"/>
        <v>43325</v>
      </c>
      <c r="C2133" s="33" t="s">
        <v>17</v>
      </c>
      <c r="D2133" s="4" t="s">
        <v>21</v>
      </c>
      <c r="E2133" s="4" t="s">
        <v>21</v>
      </c>
      <c r="F2133" s="4">
        <f t="shared" si="2"/>
        <v>33</v>
      </c>
    </row>
    <row r="2134">
      <c r="A2134" s="5">
        <v>43325.955729166664</v>
      </c>
      <c r="B2134" s="7">
        <f t="shared" si="1"/>
        <v>43325</v>
      </c>
      <c r="C2134" s="33" t="s">
        <v>17</v>
      </c>
      <c r="D2134" s="4" t="s">
        <v>21</v>
      </c>
      <c r="E2134" s="4" t="s">
        <v>21</v>
      </c>
      <c r="F2134" s="4">
        <f t="shared" si="2"/>
        <v>33</v>
      </c>
    </row>
    <row r="2135">
      <c r="A2135" s="5">
        <v>43328.55503472222</v>
      </c>
      <c r="B2135" s="7">
        <f t="shared" si="1"/>
        <v>43328</v>
      </c>
      <c r="C2135" s="33" t="s">
        <v>17</v>
      </c>
      <c r="D2135" s="4" t="s">
        <v>21</v>
      </c>
      <c r="E2135" s="4" t="s">
        <v>21</v>
      </c>
      <c r="F2135" s="4">
        <f t="shared" si="2"/>
        <v>33</v>
      </c>
    </row>
    <row r="2136">
      <c r="A2136" s="5">
        <v>43333.74815972222</v>
      </c>
      <c r="B2136" s="7">
        <f t="shared" si="1"/>
        <v>43333</v>
      </c>
      <c r="C2136" s="33" t="s">
        <v>17</v>
      </c>
      <c r="D2136" s="4" t="s">
        <v>21</v>
      </c>
      <c r="E2136" s="4" t="s">
        <v>21</v>
      </c>
      <c r="F2136" s="4">
        <f t="shared" si="2"/>
        <v>34</v>
      </c>
    </row>
    <row r="2137">
      <c r="A2137" s="5">
        <v>43333.793645833335</v>
      </c>
      <c r="B2137" s="7">
        <f t="shared" si="1"/>
        <v>43333</v>
      </c>
      <c r="C2137" s="33" t="s">
        <v>17</v>
      </c>
      <c r="D2137" s="4" t="s">
        <v>21</v>
      </c>
      <c r="E2137" s="4" t="s">
        <v>21</v>
      </c>
      <c r="F2137" s="4">
        <f t="shared" si="2"/>
        <v>34</v>
      </c>
    </row>
    <row r="2138">
      <c r="A2138" s="5">
        <v>43389.39604166667</v>
      </c>
      <c r="B2138" s="7">
        <f t="shared" si="1"/>
        <v>43389</v>
      </c>
      <c r="C2138" s="33" t="s">
        <v>17</v>
      </c>
      <c r="D2138" s="4" t="s">
        <v>21</v>
      </c>
      <c r="E2138" s="4" t="s">
        <v>21</v>
      </c>
      <c r="F2138" s="4">
        <f t="shared" si="2"/>
        <v>42</v>
      </c>
    </row>
    <row r="2139">
      <c r="A2139" s="5">
        <v>43391.53494212963</v>
      </c>
      <c r="B2139" s="7">
        <f t="shared" si="1"/>
        <v>43391</v>
      </c>
      <c r="C2139" s="33" t="s">
        <v>17</v>
      </c>
      <c r="D2139" s="4" t="s">
        <v>21</v>
      </c>
      <c r="E2139" s="4" t="s">
        <v>21</v>
      </c>
      <c r="F2139" s="4">
        <f t="shared" si="2"/>
        <v>42</v>
      </c>
    </row>
    <row r="2140">
      <c r="A2140" s="5">
        <v>43399.218310185184</v>
      </c>
      <c r="B2140" s="7">
        <f t="shared" si="1"/>
        <v>43399</v>
      </c>
      <c r="C2140" s="33" t="s">
        <v>17</v>
      </c>
      <c r="D2140" s="4" t="s">
        <v>21</v>
      </c>
      <c r="E2140" s="4" t="s">
        <v>21</v>
      </c>
      <c r="F2140" s="4">
        <f t="shared" si="2"/>
        <v>43</v>
      </c>
    </row>
    <row r="2141">
      <c r="A2141" s="5">
        <v>43403.64016203704</v>
      </c>
      <c r="B2141" s="7">
        <f t="shared" si="1"/>
        <v>43403</v>
      </c>
      <c r="C2141" s="33" t="s">
        <v>17</v>
      </c>
      <c r="D2141" s="4" t="s">
        <v>21</v>
      </c>
      <c r="E2141" s="4" t="s">
        <v>21</v>
      </c>
      <c r="F2141" s="4">
        <f t="shared" si="2"/>
        <v>44</v>
      </c>
    </row>
    <row r="2142">
      <c r="A2142" s="5">
        <v>43409.5246875</v>
      </c>
      <c r="B2142" s="7">
        <f t="shared" si="1"/>
        <v>43409</v>
      </c>
      <c r="C2142" s="33" t="s">
        <v>17</v>
      </c>
      <c r="D2142" s="4" t="s">
        <v>21</v>
      </c>
      <c r="E2142" s="4" t="s">
        <v>21</v>
      </c>
      <c r="F2142" s="4">
        <f t="shared" si="2"/>
        <v>45</v>
      </c>
    </row>
    <row r="2143">
      <c r="A2143" s="5">
        <v>43409.53679398148</v>
      </c>
      <c r="B2143" s="7">
        <f t="shared" si="1"/>
        <v>43409</v>
      </c>
      <c r="C2143" s="33" t="s">
        <v>17</v>
      </c>
      <c r="D2143" s="4" t="s">
        <v>21</v>
      </c>
      <c r="E2143" s="4" t="s">
        <v>21</v>
      </c>
      <c r="F2143" s="4">
        <f t="shared" si="2"/>
        <v>45</v>
      </c>
    </row>
    <row r="2144">
      <c r="A2144" s="5">
        <v>43425.452060185184</v>
      </c>
      <c r="B2144" s="7">
        <f t="shared" si="1"/>
        <v>43425</v>
      </c>
      <c r="C2144" s="33" t="s">
        <v>17</v>
      </c>
      <c r="D2144" s="4" t="s">
        <v>21</v>
      </c>
      <c r="E2144" s="4" t="s">
        <v>21</v>
      </c>
      <c r="F2144" s="4">
        <f t="shared" si="2"/>
        <v>47</v>
      </c>
    </row>
    <row r="2145">
      <c r="A2145" s="5">
        <v>43431.63741898148</v>
      </c>
      <c r="B2145" s="7">
        <f t="shared" si="1"/>
        <v>43431</v>
      </c>
      <c r="C2145" s="33" t="s">
        <v>17</v>
      </c>
      <c r="D2145" s="4" t="s">
        <v>21</v>
      </c>
      <c r="E2145" s="4" t="s">
        <v>21</v>
      </c>
      <c r="F2145" s="4">
        <f t="shared" si="2"/>
        <v>48</v>
      </c>
    </row>
    <row r="2146">
      <c r="A2146" s="5">
        <v>43440.6340162037</v>
      </c>
      <c r="B2146" s="7">
        <f t="shared" si="1"/>
        <v>43440</v>
      </c>
      <c r="C2146" s="33" t="s">
        <v>17</v>
      </c>
      <c r="D2146" s="4" t="s">
        <v>21</v>
      </c>
      <c r="E2146" s="4" t="s">
        <v>21</v>
      </c>
      <c r="F2146" s="4">
        <f t="shared" si="2"/>
        <v>49</v>
      </c>
    </row>
    <row r="2147">
      <c r="A2147" s="5">
        <v>43440.638344907406</v>
      </c>
      <c r="B2147" s="7">
        <f t="shared" si="1"/>
        <v>43440</v>
      </c>
      <c r="C2147" s="33" t="s">
        <v>17</v>
      </c>
      <c r="D2147" s="4" t="s">
        <v>21</v>
      </c>
      <c r="E2147" s="4" t="s">
        <v>21</v>
      </c>
      <c r="F2147" s="4">
        <f t="shared" si="2"/>
        <v>49</v>
      </c>
    </row>
    <row r="2148">
      <c r="A2148" s="5">
        <v>43440.64231481482</v>
      </c>
      <c r="B2148" s="7">
        <f t="shared" si="1"/>
        <v>43440</v>
      </c>
      <c r="C2148" s="33" t="s">
        <v>17</v>
      </c>
      <c r="D2148" s="4" t="s">
        <v>21</v>
      </c>
      <c r="E2148" s="4" t="s">
        <v>21</v>
      </c>
      <c r="F2148" s="4">
        <f t="shared" si="2"/>
        <v>49</v>
      </c>
    </row>
    <row r="2149">
      <c r="A2149" s="5">
        <v>43445.517164351855</v>
      </c>
      <c r="B2149" s="7">
        <f t="shared" si="1"/>
        <v>43445</v>
      </c>
      <c r="C2149" s="33" t="s">
        <v>17</v>
      </c>
      <c r="D2149" s="4" t="s">
        <v>21</v>
      </c>
      <c r="E2149" s="4" t="s">
        <v>21</v>
      </c>
      <c r="F2149" s="4">
        <f t="shared" si="2"/>
        <v>50</v>
      </c>
    </row>
    <row r="2150">
      <c r="A2150" s="5">
        <v>43446.563206018516</v>
      </c>
      <c r="B2150" s="7">
        <f t="shared" si="1"/>
        <v>43446</v>
      </c>
      <c r="C2150" s="33" t="s">
        <v>17</v>
      </c>
      <c r="D2150" s="4" t="s">
        <v>21</v>
      </c>
      <c r="E2150" s="4" t="s">
        <v>21</v>
      </c>
      <c r="F2150" s="4">
        <f t="shared" si="2"/>
        <v>50</v>
      </c>
    </row>
    <row r="2151">
      <c r="A2151" s="5">
        <v>43447.592627314814</v>
      </c>
      <c r="B2151" s="7">
        <f t="shared" si="1"/>
        <v>43447</v>
      </c>
      <c r="C2151" s="33" t="s">
        <v>17</v>
      </c>
      <c r="D2151" s="4" t="s">
        <v>21</v>
      </c>
      <c r="E2151" s="4" t="s">
        <v>21</v>
      </c>
      <c r="F2151" s="4">
        <f t="shared" si="2"/>
        <v>50</v>
      </c>
    </row>
    <row r="2152">
      <c r="A2152" s="5">
        <v>43524.51528935185</v>
      </c>
      <c r="B2152" s="7">
        <f t="shared" si="1"/>
        <v>43524</v>
      </c>
      <c r="C2152" s="33" t="s">
        <v>17</v>
      </c>
      <c r="D2152" s="4" t="s">
        <v>21</v>
      </c>
      <c r="E2152" s="4" t="s">
        <v>21</v>
      </c>
      <c r="F2152" s="4">
        <f t="shared" si="2"/>
        <v>9</v>
      </c>
    </row>
    <row r="2153">
      <c r="A2153" s="5">
        <v>43543.63280092592</v>
      </c>
      <c r="B2153" s="7">
        <f t="shared" si="1"/>
        <v>43543</v>
      </c>
      <c r="C2153" s="33" t="s">
        <v>17</v>
      </c>
      <c r="D2153" s="4" t="s">
        <v>21</v>
      </c>
      <c r="E2153" s="4" t="s">
        <v>21</v>
      </c>
      <c r="F2153" s="4">
        <f t="shared" si="2"/>
        <v>12</v>
      </c>
    </row>
    <row r="2154">
      <c r="A2154" s="5">
        <v>43622.3953125</v>
      </c>
      <c r="B2154" s="7">
        <f t="shared" si="1"/>
        <v>43622</v>
      </c>
      <c r="C2154" s="33" t="s">
        <v>17</v>
      </c>
      <c r="D2154" s="4" t="s">
        <v>21</v>
      </c>
      <c r="E2154" s="4" t="s">
        <v>21</v>
      </c>
      <c r="F2154" s="4">
        <f t="shared" si="2"/>
        <v>23</v>
      </c>
    </row>
    <row r="2155">
      <c r="A2155" s="5">
        <v>43321.23721064815</v>
      </c>
      <c r="B2155" s="7">
        <f t="shared" si="1"/>
        <v>43321</v>
      </c>
      <c r="C2155" s="33" t="s">
        <v>17</v>
      </c>
      <c r="D2155" s="4" t="s">
        <v>21</v>
      </c>
      <c r="E2155" s="4" t="s">
        <v>21</v>
      </c>
      <c r="F2155" s="4">
        <f t="shared" si="2"/>
        <v>32</v>
      </c>
    </row>
    <row r="2156">
      <c r="A2156" s="5">
        <v>43385.60238425926</v>
      </c>
      <c r="B2156" s="7">
        <f t="shared" si="1"/>
        <v>43385</v>
      </c>
      <c r="C2156" s="33" t="s">
        <v>17</v>
      </c>
      <c r="D2156" s="4" t="s">
        <v>21</v>
      </c>
      <c r="E2156" s="4" t="s">
        <v>21</v>
      </c>
      <c r="F2156" s="4">
        <f t="shared" si="2"/>
        <v>41</v>
      </c>
    </row>
    <row r="2157">
      <c r="A2157" s="5">
        <v>43494.64916666667</v>
      </c>
      <c r="B2157" s="7">
        <f t="shared" si="1"/>
        <v>43494</v>
      </c>
      <c r="C2157" s="33" t="s">
        <v>17</v>
      </c>
      <c r="D2157" s="4" t="s">
        <v>21</v>
      </c>
      <c r="E2157" s="4" t="s">
        <v>21</v>
      </c>
      <c r="F2157" s="4">
        <f t="shared" si="2"/>
        <v>5</v>
      </c>
    </row>
    <row r="2158">
      <c r="A2158" s="5">
        <v>43545.92413194444</v>
      </c>
      <c r="B2158" s="7">
        <f t="shared" si="1"/>
        <v>43545</v>
      </c>
      <c r="C2158" s="33" t="s">
        <v>17</v>
      </c>
      <c r="D2158" s="4" t="s">
        <v>21</v>
      </c>
      <c r="E2158" s="4" t="s">
        <v>21</v>
      </c>
      <c r="F2158" s="4">
        <f t="shared" si="2"/>
        <v>12</v>
      </c>
    </row>
    <row r="2159">
      <c r="A2159" s="5">
        <v>43559.313159722224</v>
      </c>
      <c r="B2159" s="7">
        <f t="shared" si="1"/>
        <v>43559</v>
      </c>
      <c r="C2159" s="33" t="s">
        <v>17</v>
      </c>
      <c r="D2159" s="4" t="s">
        <v>21</v>
      </c>
      <c r="E2159" s="4" t="s">
        <v>21</v>
      </c>
      <c r="F2159" s="4">
        <f t="shared" si="2"/>
        <v>14</v>
      </c>
    </row>
    <row r="2160">
      <c r="A2160" s="5">
        <v>43327.705104166664</v>
      </c>
      <c r="B2160" s="7">
        <f t="shared" si="1"/>
        <v>43327</v>
      </c>
      <c r="C2160" s="33" t="s">
        <v>17</v>
      </c>
      <c r="D2160" s="4" t="s">
        <v>21</v>
      </c>
      <c r="E2160" s="4" t="s">
        <v>21</v>
      </c>
      <c r="F2160" s="4">
        <f t="shared" si="2"/>
        <v>33</v>
      </c>
    </row>
    <row r="2161">
      <c r="A2161" s="5">
        <v>43482.44903935185</v>
      </c>
      <c r="B2161" s="7">
        <f t="shared" si="1"/>
        <v>43482</v>
      </c>
      <c r="C2161" s="33" t="s">
        <v>17</v>
      </c>
      <c r="D2161" s="4" t="s">
        <v>21</v>
      </c>
      <c r="E2161" s="4" t="s">
        <v>21</v>
      </c>
      <c r="F2161" s="4">
        <f t="shared" si="2"/>
        <v>3</v>
      </c>
    </row>
    <row r="2162">
      <c r="A2162" s="5">
        <v>43523.34175925926</v>
      </c>
      <c r="B2162" s="7">
        <f t="shared" si="1"/>
        <v>43523</v>
      </c>
      <c r="C2162" s="33" t="s">
        <v>17</v>
      </c>
      <c r="D2162" s="4" t="s">
        <v>21</v>
      </c>
      <c r="E2162" s="4" t="s">
        <v>21</v>
      </c>
      <c r="F2162" s="4">
        <f t="shared" si="2"/>
        <v>9</v>
      </c>
    </row>
    <row r="2163">
      <c r="A2163" s="5">
        <v>43599.347662037035</v>
      </c>
      <c r="B2163" s="7">
        <f t="shared" si="1"/>
        <v>43599</v>
      </c>
      <c r="C2163" s="33" t="s">
        <v>17</v>
      </c>
      <c r="D2163" s="4" t="s">
        <v>21</v>
      </c>
      <c r="E2163" s="4" t="s">
        <v>21</v>
      </c>
      <c r="F2163" s="4">
        <f t="shared" si="2"/>
        <v>20</v>
      </c>
    </row>
    <row r="2164">
      <c r="A2164" s="5">
        <v>43417.65733796296</v>
      </c>
      <c r="B2164" s="7">
        <f t="shared" si="1"/>
        <v>43417</v>
      </c>
      <c r="C2164" s="33" t="s">
        <v>17</v>
      </c>
      <c r="D2164" s="4" t="s">
        <v>21</v>
      </c>
      <c r="E2164" s="4" t="s">
        <v>21</v>
      </c>
      <c r="F2164" s="4">
        <f t="shared" si="2"/>
        <v>46</v>
      </c>
    </row>
    <row r="2165">
      <c r="A2165" s="5">
        <v>43431.50886574074</v>
      </c>
      <c r="B2165" s="7">
        <f t="shared" si="1"/>
        <v>43431</v>
      </c>
      <c r="C2165" s="33" t="s">
        <v>17</v>
      </c>
      <c r="D2165" s="4" t="s">
        <v>21</v>
      </c>
      <c r="E2165" s="4" t="s">
        <v>21</v>
      </c>
      <c r="F2165" s="4">
        <f t="shared" si="2"/>
        <v>48</v>
      </c>
    </row>
    <row r="2166">
      <c r="A2166" s="5">
        <v>43468.675405092596</v>
      </c>
      <c r="B2166" s="7">
        <f t="shared" si="1"/>
        <v>43468</v>
      </c>
      <c r="C2166" s="33" t="s">
        <v>17</v>
      </c>
      <c r="D2166" s="4" t="s">
        <v>23</v>
      </c>
      <c r="E2166" s="4" t="s">
        <v>21</v>
      </c>
      <c r="F2166" s="4">
        <f t="shared" si="2"/>
        <v>1</v>
      </c>
    </row>
    <row r="2167">
      <c r="A2167" s="5">
        <v>43468.67549768519</v>
      </c>
      <c r="B2167" s="7">
        <f t="shared" si="1"/>
        <v>43468</v>
      </c>
      <c r="C2167" s="33" t="s">
        <v>17</v>
      </c>
      <c r="D2167" s="4" t="s">
        <v>23</v>
      </c>
      <c r="E2167" s="4" t="s">
        <v>21</v>
      </c>
      <c r="F2167" s="4">
        <f t="shared" si="2"/>
        <v>1</v>
      </c>
    </row>
    <row r="2168">
      <c r="A2168" s="5">
        <v>43468.67559027778</v>
      </c>
      <c r="B2168" s="7">
        <f t="shared" si="1"/>
        <v>43468</v>
      </c>
      <c r="C2168" s="33" t="s">
        <v>17</v>
      </c>
      <c r="D2168" s="4" t="s">
        <v>23</v>
      </c>
      <c r="E2168" s="4" t="s">
        <v>21</v>
      </c>
      <c r="F2168" s="4">
        <f t="shared" si="2"/>
        <v>1</v>
      </c>
    </row>
    <row r="2169">
      <c r="A2169" s="5">
        <v>43468.675671296296</v>
      </c>
      <c r="B2169" s="7">
        <f t="shared" si="1"/>
        <v>43468</v>
      </c>
      <c r="C2169" s="33" t="s">
        <v>17</v>
      </c>
      <c r="D2169" s="4" t="s">
        <v>23</v>
      </c>
      <c r="E2169" s="4" t="s">
        <v>21</v>
      </c>
      <c r="F2169" s="4">
        <f t="shared" si="2"/>
        <v>1</v>
      </c>
    </row>
    <row r="2170">
      <c r="A2170" s="5">
        <v>43493.46900462963</v>
      </c>
      <c r="B2170" s="7">
        <f t="shared" si="1"/>
        <v>43493</v>
      </c>
      <c r="C2170" s="33" t="s">
        <v>17</v>
      </c>
      <c r="D2170" s="4" t="s">
        <v>21</v>
      </c>
      <c r="E2170" s="4" t="s">
        <v>21</v>
      </c>
      <c r="F2170" s="4">
        <f t="shared" si="2"/>
        <v>5</v>
      </c>
    </row>
    <row r="2171">
      <c r="A2171" s="5">
        <v>43406.39915509259</v>
      </c>
      <c r="B2171" s="7">
        <f t="shared" si="1"/>
        <v>43406</v>
      </c>
      <c r="C2171" s="33" t="s">
        <v>17</v>
      </c>
      <c r="D2171" s="4" t="s">
        <v>21</v>
      </c>
      <c r="E2171" s="4" t="s">
        <v>21</v>
      </c>
      <c r="F2171" s="4">
        <f t="shared" si="2"/>
        <v>44</v>
      </c>
    </row>
    <row r="2172">
      <c r="A2172" s="5">
        <v>43528.244780092595</v>
      </c>
      <c r="B2172" s="7">
        <f t="shared" si="1"/>
        <v>43528</v>
      </c>
      <c r="C2172" s="33" t="s">
        <v>17</v>
      </c>
      <c r="D2172" s="4" t="s">
        <v>21</v>
      </c>
      <c r="E2172" s="4" t="s">
        <v>21</v>
      </c>
      <c r="F2172" s="4">
        <f t="shared" si="2"/>
        <v>10</v>
      </c>
    </row>
    <row r="2173">
      <c r="A2173" s="5">
        <v>43416.69328703704</v>
      </c>
      <c r="B2173" s="7">
        <f t="shared" si="1"/>
        <v>43416</v>
      </c>
      <c r="C2173" s="33" t="s">
        <v>17</v>
      </c>
      <c r="D2173" s="4" t="s">
        <v>21</v>
      </c>
      <c r="E2173" s="4" t="s">
        <v>21</v>
      </c>
      <c r="F2173" s="4">
        <f t="shared" si="2"/>
        <v>46</v>
      </c>
    </row>
    <row r="2174">
      <c r="A2174" s="5">
        <v>43525.60728009259</v>
      </c>
      <c r="B2174" s="7">
        <f t="shared" si="1"/>
        <v>43525</v>
      </c>
      <c r="C2174" s="33" t="s">
        <v>17</v>
      </c>
      <c r="D2174" s="4" t="s">
        <v>21</v>
      </c>
      <c r="E2174" s="4" t="s">
        <v>21</v>
      </c>
      <c r="F2174" s="4">
        <f t="shared" si="2"/>
        <v>9</v>
      </c>
    </row>
    <row r="2175">
      <c r="A2175" s="5">
        <v>43399.472604166665</v>
      </c>
      <c r="B2175" s="7">
        <f t="shared" si="1"/>
        <v>43399</v>
      </c>
      <c r="C2175" s="33" t="s">
        <v>17</v>
      </c>
      <c r="D2175" s="4" t="s">
        <v>21</v>
      </c>
      <c r="E2175" s="4" t="s">
        <v>21</v>
      </c>
      <c r="F2175" s="4">
        <f t="shared" si="2"/>
        <v>43</v>
      </c>
    </row>
    <row r="2176">
      <c r="A2176" s="5">
        <v>43532.688043981485</v>
      </c>
      <c r="B2176" s="7">
        <f t="shared" si="1"/>
        <v>43532</v>
      </c>
      <c r="C2176" s="33" t="s">
        <v>17</v>
      </c>
      <c r="D2176" s="4" t="s">
        <v>21</v>
      </c>
      <c r="E2176" s="4" t="s">
        <v>21</v>
      </c>
      <c r="F2176" s="4">
        <f t="shared" si="2"/>
        <v>10</v>
      </c>
    </row>
    <row r="2177">
      <c r="A2177" s="5">
        <v>43518.467523148145</v>
      </c>
      <c r="B2177" s="7">
        <f t="shared" si="1"/>
        <v>43518</v>
      </c>
      <c r="C2177" s="33" t="s">
        <v>17</v>
      </c>
      <c r="D2177" s="4" t="s">
        <v>21</v>
      </c>
      <c r="E2177" s="4" t="s">
        <v>21</v>
      </c>
      <c r="F2177" s="4">
        <f t="shared" si="2"/>
        <v>8</v>
      </c>
    </row>
    <row r="2178">
      <c r="A2178" s="5">
        <v>43518.48898148148</v>
      </c>
      <c r="B2178" s="7">
        <f t="shared" si="1"/>
        <v>43518</v>
      </c>
      <c r="C2178" s="33" t="s">
        <v>17</v>
      </c>
      <c r="D2178" s="4" t="s">
        <v>21</v>
      </c>
      <c r="E2178" s="4" t="s">
        <v>21</v>
      </c>
      <c r="F2178" s="4">
        <f t="shared" si="2"/>
        <v>8</v>
      </c>
    </row>
    <row r="2179">
      <c r="A2179" s="5">
        <v>43518.495787037034</v>
      </c>
      <c r="B2179" s="7">
        <f t="shared" si="1"/>
        <v>43518</v>
      </c>
      <c r="C2179" s="33" t="s">
        <v>17</v>
      </c>
      <c r="D2179" s="4" t="s">
        <v>21</v>
      </c>
      <c r="E2179" s="4" t="s">
        <v>21</v>
      </c>
      <c r="F2179" s="4">
        <f t="shared" si="2"/>
        <v>8</v>
      </c>
    </row>
    <row r="2180">
      <c r="A2180" s="5">
        <v>43546.47005787037</v>
      </c>
      <c r="B2180" s="7">
        <f t="shared" si="1"/>
        <v>43546</v>
      </c>
      <c r="C2180" s="33" t="s">
        <v>17</v>
      </c>
      <c r="D2180" s="4" t="s">
        <v>21</v>
      </c>
      <c r="E2180" s="4" t="s">
        <v>21</v>
      </c>
      <c r="F2180" s="4">
        <f t="shared" si="2"/>
        <v>12</v>
      </c>
    </row>
    <row r="2181">
      <c r="A2181" s="5">
        <v>43523.371770833335</v>
      </c>
      <c r="B2181" s="7">
        <f t="shared" si="1"/>
        <v>43523</v>
      </c>
      <c r="C2181" s="33" t="s">
        <v>17</v>
      </c>
      <c r="D2181" s="4" t="s">
        <v>21</v>
      </c>
      <c r="E2181" s="4" t="s">
        <v>21</v>
      </c>
      <c r="F2181" s="4">
        <f t="shared" si="2"/>
        <v>9</v>
      </c>
    </row>
    <row r="2182">
      <c r="A2182" s="5">
        <v>43542.50739583333</v>
      </c>
      <c r="B2182" s="7">
        <f t="shared" si="1"/>
        <v>43542</v>
      </c>
      <c r="C2182" s="33" t="s">
        <v>17</v>
      </c>
      <c r="D2182" s="4" t="s">
        <v>21</v>
      </c>
      <c r="E2182" s="4" t="s">
        <v>21</v>
      </c>
      <c r="F2182" s="4">
        <f t="shared" si="2"/>
        <v>12</v>
      </c>
    </row>
    <row r="2183">
      <c r="A2183" s="5">
        <v>43516.44719907407</v>
      </c>
      <c r="B2183" s="7">
        <f t="shared" si="1"/>
        <v>43516</v>
      </c>
      <c r="C2183" s="33" t="s">
        <v>17</v>
      </c>
      <c r="D2183" s="4" t="s">
        <v>21</v>
      </c>
      <c r="E2183" s="4" t="s">
        <v>21</v>
      </c>
      <c r="F2183" s="4">
        <f t="shared" si="2"/>
        <v>8</v>
      </c>
    </row>
    <row r="2184">
      <c r="A2184" s="5">
        <v>43531.93010416667</v>
      </c>
      <c r="B2184" s="7">
        <f t="shared" si="1"/>
        <v>43531</v>
      </c>
      <c r="C2184" s="33" t="s">
        <v>17</v>
      </c>
      <c r="D2184" s="4" t="s">
        <v>21</v>
      </c>
      <c r="E2184" s="4" t="s">
        <v>21</v>
      </c>
      <c r="F2184" s="4">
        <f t="shared" si="2"/>
        <v>10</v>
      </c>
    </row>
    <row r="2185">
      <c r="A2185" s="5">
        <v>43532.014375</v>
      </c>
      <c r="B2185" s="7">
        <f t="shared" si="1"/>
        <v>43532</v>
      </c>
      <c r="C2185" s="33" t="s">
        <v>17</v>
      </c>
      <c r="D2185" s="4" t="s">
        <v>21</v>
      </c>
      <c r="E2185" s="4" t="s">
        <v>21</v>
      </c>
      <c r="F2185" s="4">
        <f t="shared" si="2"/>
        <v>10</v>
      </c>
    </row>
    <row r="2186">
      <c r="A2186" s="5">
        <v>43420.507523148146</v>
      </c>
      <c r="B2186" s="7">
        <f t="shared" si="1"/>
        <v>43420</v>
      </c>
      <c r="C2186" s="33" t="s">
        <v>17</v>
      </c>
      <c r="D2186" s="4" t="s">
        <v>21</v>
      </c>
      <c r="E2186" s="4" t="s">
        <v>21</v>
      </c>
      <c r="F2186" s="4">
        <f t="shared" si="2"/>
        <v>46</v>
      </c>
    </row>
    <row r="2187">
      <c r="A2187" s="5">
        <v>43472.484872685185</v>
      </c>
      <c r="B2187" s="7">
        <f t="shared" si="1"/>
        <v>43472</v>
      </c>
      <c r="C2187" s="33" t="s">
        <v>17</v>
      </c>
      <c r="D2187" s="4" t="s">
        <v>21</v>
      </c>
      <c r="E2187" s="4" t="s">
        <v>21</v>
      </c>
      <c r="F2187" s="4">
        <f t="shared" si="2"/>
        <v>2</v>
      </c>
    </row>
    <row r="2188">
      <c r="A2188" s="5">
        <v>43481.67170138889</v>
      </c>
      <c r="B2188" s="7">
        <f t="shared" si="1"/>
        <v>43481</v>
      </c>
      <c r="C2188" s="33" t="s">
        <v>17</v>
      </c>
      <c r="D2188" s="4" t="s">
        <v>21</v>
      </c>
      <c r="E2188" s="4" t="s">
        <v>21</v>
      </c>
      <c r="F2188" s="4">
        <f t="shared" si="2"/>
        <v>3</v>
      </c>
    </row>
    <row r="2189">
      <c r="A2189" s="5">
        <v>43494.68015046296</v>
      </c>
      <c r="B2189" s="7">
        <f t="shared" si="1"/>
        <v>43494</v>
      </c>
      <c r="C2189" s="33" t="s">
        <v>17</v>
      </c>
      <c r="D2189" s="4" t="s">
        <v>21</v>
      </c>
      <c r="E2189" s="4" t="s">
        <v>21</v>
      </c>
      <c r="F2189" s="4">
        <f t="shared" si="2"/>
        <v>5</v>
      </c>
    </row>
    <row r="2190">
      <c r="A2190" s="5">
        <v>43474.46895833333</v>
      </c>
      <c r="B2190" s="7">
        <f t="shared" si="1"/>
        <v>43474</v>
      </c>
      <c r="C2190" s="33" t="s">
        <v>17</v>
      </c>
      <c r="D2190" s="4" t="s">
        <v>21</v>
      </c>
      <c r="E2190" s="4" t="s">
        <v>21</v>
      </c>
      <c r="F2190" s="4">
        <f t="shared" si="2"/>
        <v>2</v>
      </c>
    </row>
    <row r="2191">
      <c r="A2191" s="5">
        <v>43472.4799537037</v>
      </c>
      <c r="B2191" s="7">
        <f t="shared" si="1"/>
        <v>43472</v>
      </c>
      <c r="C2191" s="33" t="s">
        <v>17</v>
      </c>
      <c r="D2191" s="4" t="s">
        <v>21</v>
      </c>
      <c r="E2191" s="4" t="s">
        <v>21</v>
      </c>
      <c r="F2191" s="4">
        <f t="shared" si="2"/>
        <v>2</v>
      </c>
    </row>
    <row r="2192">
      <c r="A2192" s="5">
        <v>43550.53870370371</v>
      </c>
      <c r="B2192" s="7">
        <f t="shared" si="1"/>
        <v>43550</v>
      </c>
      <c r="C2192" s="33" t="s">
        <v>17</v>
      </c>
      <c r="D2192" s="4" t="s">
        <v>21</v>
      </c>
      <c r="E2192" s="4" t="s">
        <v>21</v>
      </c>
      <c r="F2192" s="4">
        <f t="shared" si="2"/>
        <v>13</v>
      </c>
    </row>
    <row r="2193">
      <c r="A2193" s="5">
        <v>43501.70899305555</v>
      </c>
      <c r="B2193" s="7">
        <f t="shared" si="1"/>
        <v>43501</v>
      </c>
      <c r="C2193" s="33" t="s">
        <v>17</v>
      </c>
      <c r="D2193" s="4" t="s">
        <v>21</v>
      </c>
      <c r="E2193" s="4" t="s">
        <v>23</v>
      </c>
      <c r="F2193" s="4">
        <f t="shared" si="2"/>
        <v>6</v>
      </c>
    </row>
    <row r="2194">
      <c r="A2194" s="5">
        <v>43602.39010416667</v>
      </c>
      <c r="B2194" s="7">
        <f t="shared" si="1"/>
        <v>43602</v>
      </c>
      <c r="C2194" s="33" t="s">
        <v>17</v>
      </c>
      <c r="D2194" s="4" t="s">
        <v>21</v>
      </c>
      <c r="E2194" s="4" t="s">
        <v>21</v>
      </c>
      <c r="F2194" s="4">
        <f t="shared" si="2"/>
        <v>20</v>
      </c>
    </row>
    <row r="2195">
      <c r="A2195" s="5">
        <v>43402.36355324074</v>
      </c>
      <c r="B2195" s="7">
        <f t="shared" si="1"/>
        <v>43402</v>
      </c>
      <c r="C2195" s="33" t="s">
        <v>17</v>
      </c>
      <c r="D2195" s="4" t="s">
        <v>21</v>
      </c>
      <c r="E2195" s="4" t="s">
        <v>21</v>
      </c>
      <c r="F2195" s="4">
        <f t="shared" si="2"/>
        <v>44</v>
      </c>
    </row>
    <row r="2196">
      <c r="A2196" s="5">
        <v>43509.34978009259</v>
      </c>
      <c r="B2196" s="7">
        <f t="shared" si="1"/>
        <v>43509</v>
      </c>
      <c r="C2196" s="33" t="s">
        <v>17</v>
      </c>
      <c r="D2196" s="4" t="s">
        <v>21</v>
      </c>
      <c r="E2196" s="4" t="s">
        <v>21</v>
      </c>
      <c r="F2196" s="4">
        <f t="shared" si="2"/>
        <v>7</v>
      </c>
    </row>
    <row r="2197">
      <c r="A2197" s="5">
        <v>43549.369780092595</v>
      </c>
      <c r="B2197" s="7">
        <f t="shared" si="1"/>
        <v>43549</v>
      </c>
      <c r="C2197" s="33" t="s">
        <v>17</v>
      </c>
      <c r="D2197" s="4" t="s">
        <v>21</v>
      </c>
      <c r="E2197" s="4" t="s">
        <v>21</v>
      </c>
      <c r="F2197" s="4">
        <f t="shared" si="2"/>
        <v>13</v>
      </c>
    </row>
    <row r="2198">
      <c r="A2198" s="5">
        <v>43558.49318287037</v>
      </c>
      <c r="B2198" s="7">
        <f t="shared" si="1"/>
        <v>43558</v>
      </c>
      <c r="C2198" s="33" t="s">
        <v>17</v>
      </c>
      <c r="D2198" s="4" t="s">
        <v>21</v>
      </c>
      <c r="E2198" s="4" t="s">
        <v>21</v>
      </c>
      <c r="F2198" s="4">
        <f t="shared" si="2"/>
        <v>14</v>
      </c>
    </row>
    <row r="2199">
      <c r="A2199" s="5">
        <v>43558.493738425925</v>
      </c>
      <c r="B2199" s="7">
        <f t="shared" si="1"/>
        <v>43558</v>
      </c>
      <c r="C2199" s="33" t="s">
        <v>17</v>
      </c>
      <c r="D2199" s="4" t="s">
        <v>21</v>
      </c>
      <c r="E2199" s="4" t="s">
        <v>21</v>
      </c>
      <c r="F2199" s="4">
        <f t="shared" si="2"/>
        <v>14</v>
      </c>
    </row>
    <row r="2200">
      <c r="A2200" s="5">
        <v>43558.49527777778</v>
      </c>
      <c r="B2200" s="7">
        <f t="shared" si="1"/>
        <v>43558</v>
      </c>
      <c r="C2200" s="33" t="s">
        <v>17</v>
      </c>
      <c r="D2200" s="4" t="s">
        <v>21</v>
      </c>
      <c r="E2200" s="4" t="s">
        <v>21</v>
      </c>
      <c r="F2200" s="4">
        <f t="shared" si="2"/>
        <v>14</v>
      </c>
    </row>
    <row r="2201">
      <c r="A2201" s="5">
        <v>43558.49747685185</v>
      </c>
      <c r="B2201" s="7">
        <f t="shared" si="1"/>
        <v>43558</v>
      </c>
      <c r="C2201" s="33" t="s">
        <v>17</v>
      </c>
      <c r="D2201" s="4" t="s">
        <v>21</v>
      </c>
      <c r="E2201" s="4" t="s">
        <v>21</v>
      </c>
      <c r="F2201" s="4">
        <f t="shared" si="2"/>
        <v>14</v>
      </c>
    </row>
    <row r="2202">
      <c r="A2202" s="5">
        <v>43558.49914351852</v>
      </c>
      <c r="B2202" s="7">
        <f t="shared" si="1"/>
        <v>43558</v>
      </c>
      <c r="C2202" s="33" t="s">
        <v>17</v>
      </c>
      <c r="D2202" s="4" t="s">
        <v>21</v>
      </c>
      <c r="E2202" s="4" t="s">
        <v>21</v>
      </c>
      <c r="F2202" s="4">
        <f t="shared" si="2"/>
        <v>14</v>
      </c>
    </row>
    <row r="2203">
      <c r="A2203" s="5">
        <v>43558.50152777778</v>
      </c>
      <c r="B2203" s="7">
        <f t="shared" si="1"/>
        <v>43558</v>
      </c>
      <c r="C2203" s="33" t="s">
        <v>17</v>
      </c>
      <c r="D2203" s="4" t="s">
        <v>21</v>
      </c>
      <c r="E2203" s="4" t="s">
        <v>21</v>
      </c>
      <c r="F2203" s="4">
        <f t="shared" si="2"/>
        <v>14</v>
      </c>
    </row>
    <row r="2204">
      <c r="A2204" s="5">
        <v>43418.576261574075</v>
      </c>
      <c r="B2204" s="7">
        <f t="shared" si="1"/>
        <v>43418</v>
      </c>
      <c r="C2204" s="33" t="s">
        <v>17</v>
      </c>
      <c r="D2204" s="4" t="s">
        <v>21</v>
      </c>
      <c r="E2204" s="4" t="s">
        <v>21</v>
      </c>
      <c r="F2204" s="4">
        <f t="shared" si="2"/>
        <v>46</v>
      </c>
    </row>
    <row r="2205">
      <c r="A2205" s="5">
        <v>43486.517592592594</v>
      </c>
      <c r="B2205" s="7">
        <f t="shared" si="1"/>
        <v>43486</v>
      </c>
      <c r="C2205" s="33" t="s">
        <v>17</v>
      </c>
      <c r="D2205" s="4" t="s">
        <v>21</v>
      </c>
      <c r="E2205" s="4" t="s">
        <v>21</v>
      </c>
      <c r="F2205" s="4">
        <f t="shared" si="2"/>
        <v>4</v>
      </c>
    </row>
    <row r="2206">
      <c r="A2206" s="5">
        <v>43486.53333333333</v>
      </c>
      <c r="B2206" s="7">
        <f t="shared" si="1"/>
        <v>43486</v>
      </c>
      <c r="C2206" s="33" t="s">
        <v>17</v>
      </c>
      <c r="D2206" s="4" t="s">
        <v>21</v>
      </c>
      <c r="E2206" s="4" t="s">
        <v>21</v>
      </c>
      <c r="F2206" s="4">
        <f t="shared" si="2"/>
        <v>4</v>
      </c>
    </row>
    <row r="2207">
      <c r="A2207" s="5">
        <v>43493.403032407405</v>
      </c>
      <c r="B2207" s="7">
        <f t="shared" si="1"/>
        <v>43493</v>
      </c>
      <c r="C2207" s="33" t="s">
        <v>17</v>
      </c>
      <c r="D2207" s="4" t="s">
        <v>21</v>
      </c>
      <c r="E2207" s="4" t="s">
        <v>21</v>
      </c>
      <c r="F2207" s="4">
        <f t="shared" si="2"/>
        <v>5</v>
      </c>
    </row>
    <row r="2208">
      <c r="A2208" s="5">
        <v>43493.40314814815</v>
      </c>
      <c r="B2208" s="7">
        <f t="shared" si="1"/>
        <v>43493</v>
      </c>
      <c r="C2208" s="33" t="s">
        <v>17</v>
      </c>
      <c r="D2208" s="4" t="s">
        <v>21</v>
      </c>
      <c r="E2208" s="4" t="s">
        <v>21</v>
      </c>
      <c r="F2208" s="4">
        <f t="shared" si="2"/>
        <v>5</v>
      </c>
    </row>
    <row r="2209">
      <c r="A2209" s="5">
        <v>43501.56351851852</v>
      </c>
      <c r="B2209" s="7">
        <f t="shared" si="1"/>
        <v>43501</v>
      </c>
      <c r="C2209" s="33" t="s">
        <v>17</v>
      </c>
      <c r="D2209" s="4" t="s">
        <v>21</v>
      </c>
      <c r="E2209" s="4" t="s">
        <v>23</v>
      </c>
      <c r="F2209" s="4">
        <f t="shared" si="2"/>
        <v>6</v>
      </c>
    </row>
    <row r="2210">
      <c r="A2210" s="5">
        <v>43536.5490162037</v>
      </c>
      <c r="B2210" s="7">
        <f t="shared" si="1"/>
        <v>43536</v>
      </c>
      <c r="C2210" s="33" t="s">
        <v>17</v>
      </c>
      <c r="D2210" s="4" t="s">
        <v>21</v>
      </c>
      <c r="E2210" s="4" t="s">
        <v>21</v>
      </c>
      <c r="F2210" s="4">
        <f t="shared" si="2"/>
        <v>11</v>
      </c>
    </row>
    <row r="2211">
      <c r="A2211" s="5">
        <v>43563.48883101852</v>
      </c>
      <c r="B2211" s="7">
        <f t="shared" si="1"/>
        <v>43563</v>
      </c>
      <c r="C2211" s="33" t="s">
        <v>17</v>
      </c>
      <c r="D2211" s="4" t="s">
        <v>21</v>
      </c>
      <c r="E2211" s="4" t="s">
        <v>21</v>
      </c>
      <c r="F2211" s="4">
        <f t="shared" si="2"/>
        <v>15</v>
      </c>
    </row>
    <row r="2212">
      <c r="A2212" s="5">
        <v>43362.420625</v>
      </c>
      <c r="B2212" s="7">
        <f t="shared" si="1"/>
        <v>43362</v>
      </c>
      <c r="C2212" s="33" t="s">
        <v>17</v>
      </c>
      <c r="D2212" s="4" t="s">
        <v>21</v>
      </c>
      <c r="E2212" s="4" t="s">
        <v>21</v>
      </c>
      <c r="F2212" s="4">
        <f t="shared" si="2"/>
        <v>38</v>
      </c>
    </row>
    <row r="2213">
      <c r="A2213" s="5">
        <v>43363.42222222222</v>
      </c>
      <c r="B2213" s="7">
        <f t="shared" si="1"/>
        <v>43363</v>
      </c>
      <c r="C2213" s="33" t="s">
        <v>17</v>
      </c>
      <c r="D2213" s="4" t="s">
        <v>21</v>
      </c>
      <c r="E2213" s="4" t="s">
        <v>21</v>
      </c>
      <c r="F2213" s="4">
        <f t="shared" si="2"/>
        <v>38</v>
      </c>
    </row>
    <row r="2214">
      <c r="A2214" s="5">
        <v>43399.424097222225</v>
      </c>
      <c r="B2214" s="7">
        <f t="shared" si="1"/>
        <v>43399</v>
      </c>
      <c r="C2214" s="33" t="s">
        <v>17</v>
      </c>
      <c r="D2214" s="4" t="s">
        <v>21</v>
      </c>
      <c r="E2214" s="4" t="s">
        <v>21</v>
      </c>
      <c r="F2214" s="4">
        <f t="shared" si="2"/>
        <v>43</v>
      </c>
    </row>
    <row r="2215">
      <c r="A2215" s="5">
        <v>43419.38415509259</v>
      </c>
      <c r="B2215" s="7">
        <f t="shared" si="1"/>
        <v>43419</v>
      </c>
      <c r="C2215" s="33" t="s">
        <v>17</v>
      </c>
      <c r="D2215" s="4" t="s">
        <v>21</v>
      </c>
      <c r="E2215" s="4" t="s">
        <v>21</v>
      </c>
      <c r="F2215" s="4">
        <f t="shared" si="2"/>
        <v>46</v>
      </c>
    </row>
    <row r="2216">
      <c r="A2216" s="5">
        <v>43451.39577546297</v>
      </c>
      <c r="B2216" s="7">
        <f t="shared" si="1"/>
        <v>43451</v>
      </c>
      <c r="C2216" s="33" t="s">
        <v>17</v>
      </c>
      <c r="D2216" s="4" t="s">
        <v>21</v>
      </c>
      <c r="E2216" s="4" t="s">
        <v>21</v>
      </c>
      <c r="F2216" s="4">
        <f t="shared" si="2"/>
        <v>51</v>
      </c>
    </row>
    <row r="2217">
      <c r="A2217" s="5">
        <v>43538.31491898148</v>
      </c>
      <c r="B2217" s="7">
        <f t="shared" si="1"/>
        <v>43538</v>
      </c>
      <c r="C2217" s="33" t="s">
        <v>17</v>
      </c>
      <c r="D2217" s="4" t="s">
        <v>21</v>
      </c>
      <c r="E2217" s="4" t="s">
        <v>21</v>
      </c>
      <c r="F2217" s="4">
        <f t="shared" si="2"/>
        <v>11</v>
      </c>
    </row>
    <row r="2218">
      <c r="A2218" s="5">
        <v>43560.36133101852</v>
      </c>
      <c r="B2218" s="7">
        <f t="shared" si="1"/>
        <v>43560</v>
      </c>
      <c r="C2218" s="33" t="s">
        <v>17</v>
      </c>
      <c r="D2218" s="4" t="s">
        <v>21</v>
      </c>
      <c r="E2218" s="4" t="s">
        <v>21</v>
      </c>
      <c r="F2218" s="4">
        <f t="shared" si="2"/>
        <v>14</v>
      </c>
    </row>
    <row r="2219">
      <c r="A2219" s="5">
        <v>43565.190625</v>
      </c>
      <c r="B2219" s="7">
        <f t="shared" si="1"/>
        <v>43565</v>
      </c>
      <c r="C2219" s="33" t="s">
        <v>17</v>
      </c>
      <c r="D2219" s="4" t="s">
        <v>21</v>
      </c>
      <c r="E2219" s="4" t="s">
        <v>21</v>
      </c>
      <c r="F2219" s="4">
        <f t="shared" si="2"/>
        <v>15</v>
      </c>
    </row>
    <row r="2220">
      <c r="A2220" s="5">
        <v>43571.11783564815</v>
      </c>
      <c r="B2220" s="7">
        <f t="shared" si="1"/>
        <v>43571</v>
      </c>
      <c r="C2220" s="33" t="s">
        <v>17</v>
      </c>
      <c r="D2220" s="4" t="s">
        <v>21</v>
      </c>
      <c r="E2220" s="4" t="s">
        <v>21</v>
      </c>
      <c r="F2220" s="4">
        <f t="shared" si="2"/>
        <v>16</v>
      </c>
    </row>
    <row r="2221">
      <c r="A2221" s="5">
        <v>43630.86332175926</v>
      </c>
      <c r="B2221" s="7">
        <f t="shared" si="1"/>
        <v>43630</v>
      </c>
      <c r="C2221" s="33" t="s">
        <v>17</v>
      </c>
      <c r="D2221" s="4" t="s">
        <v>21</v>
      </c>
      <c r="E2221" s="4" t="s">
        <v>21</v>
      </c>
      <c r="F2221" s="4">
        <f t="shared" si="2"/>
        <v>24</v>
      </c>
    </row>
    <row r="2222">
      <c r="A2222" s="5">
        <v>43549.64745370371</v>
      </c>
      <c r="B2222" s="7">
        <f t="shared" si="1"/>
        <v>43549</v>
      </c>
      <c r="C2222" s="33" t="s">
        <v>17</v>
      </c>
      <c r="D2222" s="4" t="s">
        <v>21</v>
      </c>
      <c r="E2222" s="4" t="s">
        <v>21</v>
      </c>
      <c r="F2222" s="4">
        <f t="shared" si="2"/>
        <v>13</v>
      </c>
    </row>
    <row r="2223">
      <c r="A2223" s="5">
        <v>43628.52361111111</v>
      </c>
      <c r="B2223" s="7">
        <f t="shared" si="1"/>
        <v>43628</v>
      </c>
      <c r="C2223" s="33" t="s">
        <v>17</v>
      </c>
      <c r="D2223" s="4" t="s">
        <v>21</v>
      </c>
      <c r="E2223" s="4" t="s">
        <v>21</v>
      </c>
      <c r="F2223" s="4">
        <f t="shared" si="2"/>
        <v>24</v>
      </c>
    </row>
    <row r="2224">
      <c r="A2224" s="5">
        <v>43635.39545138889</v>
      </c>
      <c r="B2224" s="7">
        <f t="shared" si="1"/>
        <v>43635</v>
      </c>
      <c r="C2224" s="33" t="s">
        <v>17</v>
      </c>
      <c r="D2224" s="4" t="s">
        <v>21</v>
      </c>
      <c r="E2224" s="4" t="s">
        <v>21</v>
      </c>
      <c r="F2224" s="4">
        <f t="shared" si="2"/>
        <v>25</v>
      </c>
    </row>
    <row r="2225">
      <c r="A2225" s="5">
        <v>43515.39297453704</v>
      </c>
      <c r="B2225" s="7">
        <f t="shared" si="1"/>
        <v>43515</v>
      </c>
      <c r="C2225" s="33" t="s">
        <v>17</v>
      </c>
      <c r="D2225" s="4" t="s">
        <v>21</v>
      </c>
      <c r="E2225" s="4" t="s">
        <v>21</v>
      </c>
      <c r="F2225" s="4">
        <f t="shared" si="2"/>
        <v>8</v>
      </c>
    </row>
    <row r="2226">
      <c r="A2226" s="5">
        <v>43636.521527777775</v>
      </c>
      <c r="B2226" s="7">
        <f t="shared" si="1"/>
        <v>43636</v>
      </c>
      <c r="C2226" s="33" t="s">
        <v>17</v>
      </c>
      <c r="D2226" s="4" t="s">
        <v>21</v>
      </c>
      <c r="E2226" s="4" t="s">
        <v>21</v>
      </c>
      <c r="F2226" s="4">
        <f t="shared" si="2"/>
        <v>25</v>
      </c>
    </row>
    <row r="2227">
      <c r="A2227" s="5">
        <v>43399.42429398148</v>
      </c>
      <c r="B2227" s="7">
        <f t="shared" si="1"/>
        <v>43399</v>
      </c>
      <c r="C2227" s="33" t="s">
        <v>17</v>
      </c>
      <c r="D2227" s="4" t="s">
        <v>21</v>
      </c>
      <c r="E2227" s="4" t="s">
        <v>21</v>
      </c>
      <c r="F2227" s="4">
        <f t="shared" si="2"/>
        <v>43</v>
      </c>
    </row>
    <row r="2228">
      <c r="A2228" s="5">
        <v>43399.47974537037</v>
      </c>
      <c r="B2228" s="7">
        <f t="shared" si="1"/>
        <v>43399</v>
      </c>
      <c r="C2228" s="33" t="s">
        <v>17</v>
      </c>
      <c r="D2228" s="4" t="s">
        <v>21</v>
      </c>
      <c r="E2228" s="4" t="s">
        <v>21</v>
      </c>
      <c r="F2228" s="4">
        <f t="shared" si="2"/>
        <v>43</v>
      </c>
    </row>
    <row r="2229">
      <c r="A2229" s="5">
        <v>43399.47997685185</v>
      </c>
      <c r="B2229" s="7">
        <f t="shared" si="1"/>
        <v>43399</v>
      </c>
      <c r="C2229" s="33" t="s">
        <v>17</v>
      </c>
      <c r="D2229" s="4" t="s">
        <v>21</v>
      </c>
      <c r="E2229" s="4" t="s">
        <v>21</v>
      </c>
      <c r="F2229" s="4">
        <f t="shared" si="2"/>
        <v>43</v>
      </c>
    </row>
    <row r="2230">
      <c r="A2230" s="5">
        <v>43399.507893518516</v>
      </c>
      <c r="B2230" s="7">
        <f t="shared" si="1"/>
        <v>43399</v>
      </c>
      <c r="C2230" s="33" t="s">
        <v>17</v>
      </c>
      <c r="D2230" s="4" t="s">
        <v>21</v>
      </c>
      <c r="E2230" s="4" t="s">
        <v>21</v>
      </c>
      <c r="F2230" s="4">
        <f t="shared" si="2"/>
        <v>43</v>
      </c>
    </row>
    <row r="2231">
      <c r="A2231" s="5">
        <v>43413.465625</v>
      </c>
      <c r="B2231" s="7">
        <f t="shared" si="1"/>
        <v>43413</v>
      </c>
      <c r="C2231" s="33" t="s">
        <v>17</v>
      </c>
      <c r="D2231" s="4" t="s">
        <v>21</v>
      </c>
      <c r="E2231" s="4" t="s">
        <v>21</v>
      </c>
      <c r="F2231" s="4">
        <f t="shared" si="2"/>
        <v>45</v>
      </c>
    </row>
    <row r="2232">
      <c r="A2232" s="5">
        <v>43413.5490625</v>
      </c>
      <c r="B2232" s="7">
        <f t="shared" si="1"/>
        <v>43413</v>
      </c>
      <c r="C2232" s="33" t="s">
        <v>17</v>
      </c>
      <c r="D2232" s="4" t="s">
        <v>21</v>
      </c>
      <c r="E2232" s="4" t="s">
        <v>21</v>
      </c>
      <c r="F2232" s="4">
        <f t="shared" si="2"/>
        <v>45</v>
      </c>
    </row>
    <row r="2233">
      <c r="A2233" s="5">
        <v>43538.33530092592</v>
      </c>
      <c r="B2233" s="7">
        <f t="shared" si="1"/>
        <v>43538</v>
      </c>
      <c r="C2233" s="33" t="s">
        <v>17</v>
      </c>
      <c r="D2233" s="4" t="s">
        <v>21</v>
      </c>
      <c r="E2233" s="4" t="s">
        <v>21</v>
      </c>
      <c r="F2233" s="4">
        <f t="shared" si="2"/>
        <v>11</v>
      </c>
    </row>
    <row r="2234">
      <c r="A2234" s="5">
        <v>43635.57570601852</v>
      </c>
      <c r="B2234" s="7">
        <f t="shared" si="1"/>
        <v>43635</v>
      </c>
      <c r="C2234" s="33" t="s">
        <v>17</v>
      </c>
      <c r="D2234" s="4" t="s">
        <v>21</v>
      </c>
      <c r="E2234" s="4" t="s">
        <v>21</v>
      </c>
      <c r="F2234" s="4">
        <f t="shared" si="2"/>
        <v>25</v>
      </c>
    </row>
    <row r="2235">
      <c r="A2235" s="5">
        <v>43517.259560185186</v>
      </c>
      <c r="B2235" s="7">
        <f t="shared" si="1"/>
        <v>43517</v>
      </c>
      <c r="C2235" s="33" t="s">
        <v>17</v>
      </c>
      <c r="D2235" s="4" t="s">
        <v>21</v>
      </c>
      <c r="E2235" s="4" t="s">
        <v>21</v>
      </c>
      <c r="F2235" s="4">
        <f t="shared" si="2"/>
        <v>8</v>
      </c>
    </row>
    <row r="2236">
      <c r="A2236" s="5">
        <v>43539.1280787037</v>
      </c>
      <c r="B2236" s="7">
        <f t="shared" si="1"/>
        <v>43539</v>
      </c>
      <c r="C2236" s="33" t="s">
        <v>17</v>
      </c>
      <c r="D2236" s="4" t="s">
        <v>21</v>
      </c>
      <c r="E2236" s="4" t="s">
        <v>21</v>
      </c>
      <c r="F2236" s="4">
        <f t="shared" si="2"/>
        <v>11</v>
      </c>
    </row>
    <row r="2237">
      <c r="A2237" s="5">
        <v>43535.60836805555</v>
      </c>
      <c r="B2237" s="7">
        <f t="shared" si="1"/>
        <v>43535</v>
      </c>
      <c r="C2237" s="33" t="s">
        <v>17</v>
      </c>
      <c r="D2237" s="4" t="s">
        <v>21</v>
      </c>
      <c r="E2237" s="4" t="s">
        <v>21</v>
      </c>
      <c r="F2237" s="4">
        <f t="shared" si="2"/>
        <v>11</v>
      </c>
    </row>
    <row r="2238">
      <c r="A2238" s="5">
        <v>43419.652719907404</v>
      </c>
      <c r="B2238" s="7">
        <f t="shared" si="1"/>
        <v>43419</v>
      </c>
      <c r="C2238" s="33" t="s">
        <v>17</v>
      </c>
      <c r="D2238" s="4" t="s">
        <v>21</v>
      </c>
      <c r="E2238" s="4" t="s">
        <v>21</v>
      </c>
      <c r="F2238" s="4">
        <f t="shared" si="2"/>
        <v>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2"/>
</worksheet>
</file>